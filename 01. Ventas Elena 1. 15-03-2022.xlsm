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workbookProtection workbookPassword="C68E" lockStructure="1"/>
  <bookViews>
    <workbookView xWindow="240" yWindow="30" windowWidth="20115" windowHeight="7755"/>
  </bookViews>
  <sheets>
    <sheet name="Planilla" sheetId="1" r:id="rId1"/>
    <sheet name="Depósito" sheetId="15" r:id="rId2"/>
    <sheet name="Proforma" sheetId="14" r:id="rId3"/>
    <sheet name="A Domicilio" sheetId="7" r:id="rId4"/>
    <sheet name="A Sucursal" sheetId="8" r:id="rId5"/>
    <sheet name="Pago en Destino" sheetId="9" r:id="rId6"/>
    <sheet name="Retiro en Local" sheetId="13" r:id="rId7"/>
    <sheet name="Sucursales" sheetId="6" r:id="rId8"/>
    <sheet name="Capturas" sheetId="12" r:id="rId9"/>
    <sheet name="Talles y Colores" sheetId="3" state="hidden" r:id="rId10"/>
    <sheet name="Opciones" sheetId="4" state="hidden" r:id="rId11"/>
    <sheet name="Datos" sheetId="10" state="hidden" r:id="rId12"/>
    <sheet name="LINCE" sheetId="2" state="hidden" r:id="rId13"/>
  </sheets>
  <functionGroups builtInGroupCount="18"/>
  <definedNames>
    <definedName name="_xlnm._FilterDatabase" localSheetId="1" hidden="1">Depósito!$A$1:$G$1</definedName>
    <definedName name="_xlnm._FilterDatabase" localSheetId="0" hidden="1">Planilla!$A$1:$J$35</definedName>
    <definedName name="_xlnm._FilterDatabase" localSheetId="7" hidden="1">Sucursales!$A$3:$K$1575</definedName>
    <definedName name="_xlnm.Extract" localSheetId="0">Planilla!$F$2</definedName>
    <definedName name="_xlnm.Print_Area" localSheetId="1">Depósito!$A$1:$G$35</definedName>
    <definedName name="_xlnm.Print_Area" localSheetId="0">Planilla!$A$1:$M$35</definedName>
  </definedNames>
  <calcPr calcId="162913"/>
</workbook>
</file>

<file path=xl/calcChain.xml><?xml version="1.0" encoding="utf-8"?>
<calcChain xmlns="http://schemas.openxmlformats.org/spreadsheetml/2006/main">
  <c r="K35" i="3" l="1"/>
  <c r="K34" i="3"/>
  <c r="K33" i="3"/>
  <c r="K32" i="3"/>
  <c r="K31" i="3"/>
  <c r="K30" i="3"/>
  <c r="K29" i="3"/>
  <c r="K28" i="3"/>
  <c r="K27" i="3"/>
  <c r="K26" i="3"/>
  <c r="C35" i="15" l="1"/>
  <c r="F35" i="15"/>
  <c r="A2" i="2" l="1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501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565" i="2"/>
  <c r="A566" i="2"/>
  <c r="A567" i="2"/>
  <c r="A568" i="2"/>
  <c r="A569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A606" i="2"/>
  <c r="A607" i="2"/>
  <c r="A608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2" i="2"/>
  <c r="A633" i="2"/>
  <c r="A634" i="2"/>
  <c r="A635" i="2"/>
  <c r="A636" i="2"/>
  <c r="A637" i="2"/>
  <c r="A638" i="2"/>
  <c r="A639" i="2"/>
  <c r="A640" i="2"/>
  <c r="A641" i="2"/>
  <c r="A642" i="2"/>
  <c r="A643" i="2"/>
  <c r="A644" i="2"/>
  <c r="A645" i="2"/>
  <c r="A646" i="2"/>
  <c r="A647" i="2"/>
  <c r="A648" i="2"/>
  <c r="A649" i="2"/>
  <c r="A650" i="2"/>
  <c r="A651" i="2"/>
  <c r="A652" i="2"/>
  <c r="A653" i="2"/>
  <c r="A654" i="2"/>
  <c r="A655" i="2"/>
  <c r="A656" i="2"/>
  <c r="A657" i="2"/>
  <c r="A658" i="2"/>
  <c r="A659" i="2"/>
  <c r="A660" i="2"/>
  <c r="A661" i="2"/>
  <c r="A662" i="2"/>
  <c r="A663" i="2"/>
  <c r="A664" i="2"/>
  <c r="A665" i="2"/>
  <c r="A666" i="2"/>
  <c r="A667" i="2"/>
  <c r="A668" i="2"/>
  <c r="A669" i="2"/>
  <c r="A670" i="2"/>
  <c r="A671" i="2"/>
  <c r="A672" i="2"/>
  <c r="A673" i="2"/>
  <c r="A674" i="2"/>
  <c r="A675" i="2"/>
  <c r="A676" i="2"/>
  <c r="A677" i="2"/>
  <c r="A678" i="2"/>
  <c r="A679" i="2"/>
  <c r="A680" i="2"/>
  <c r="A681" i="2"/>
  <c r="A682" i="2"/>
  <c r="A683" i="2"/>
  <c r="A684" i="2"/>
  <c r="A685" i="2"/>
  <c r="A686" i="2"/>
  <c r="A687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09" i="2"/>
  <c r="A710" i="2"/>
  <c r="A711" i="2"/>
  <c r="A712" i="2"/>
  <c r="A713" i="2"/>
  <c r="A714" i="2"/>
  <c r="A715" i="2"/>
  <c r="A716" i="2"/>
  <c r="A717" i="2"/>
  <c r="A718" i="2"/>
  <c r="A719" i="2"/>
  <c r="A720" i="2"/>
  <c r="A721" i="2"/>
  <c r="A722" i="2"/>
  <c r="A723" i="2"/>
  <c r="A724" i="2"/>
  <c r="A725" i="2"/>
  <c r="A726" i="2"/>
  <c r="A727" i="2"/>
  <c r="A728" i="2"/>
  <c r="A729" i="2"/>
  <c r="A730" i="2"/>
  <c r="A731" i="2"/>
  <c r="A732" i="2"/>
  <c r="A733" i="2"/>
  <c r="A734" i="2"/>
  <c r="A735" i="2"/>
  <c r="A736" i="2"/>
  <c r="A737" i="2"/>
  <c r="A738" i="2"/>
  <c r="A739" i="2"/>
  <c r="A740" i="2"/>
  <c r="A741" i="2"/>
  <c r="A742" i="2"/>
  <c r="A743" i="2"/>
  <c r="A744" i="2"/>
  <c r="A745" i="2"/>
  <c r="A746" i="2"/>
  <c r="A747" i="2"/>
  <c r="A748" i="2"/>
  <c r="A749" i="2"/>
  <c r="A750" i="2"/>
  <c r="A751" i="2"/>
  <c r="A752" i="2"/>
  <c r="A753" i="2"/>
  <c r="A754" i="2"/>
  <c r="A755" i="2"/>
  <c r="A756" i="2"/>
  <c r="A757" i="2"/>
  <c r="A758" i="2"/>
  <c r="A759" i="2"/>
  <c r="A760" i="2"/>
  <c r="A761" i="2"/>
  <c r="A762" i="2"/>
  <c r="A763" i="2"/>
  <c r="A764" i="2"/>
  <c r="A765" i="2"/>
  <c r="A766" i="2"/>
  <c r="A767" i="2"/>
  <c r="A768" i="2"/>
  <c r="A769" i="2"/>
  <c r="A770" i="2"/>
  <c r="A771" i="2"/>
  <c r="A772" i="2"/>
  <c r="A773" i="2"/>
  <c r="A774" i="2"/>
  <c r="A775" i="2"/>
  <c r="A776" i="2"/>
  <c r="A777" i="2"/>
  <c r="A778" i="2"/>
  <c r="A779" i="2"/>
  <c r="A780" i="2"/>
  <c r="A781" i="2"/>
  <c r="A782" i="2"/>
  <c r="A783" i="2"/>
  <c r="A784" i="2"/>
  <c r="A785" i="2"/>
  <c r="A786" i="2"/>
  <c r="A787" i="2"/>
  <c r="A788" i="2"/>
  <c r="A789" i="2"/>
  <c r="A790" i="2"/>
  <c r="A791" i="2"/>
  <c r="A792" i="2"/>
  <c r="A793" i="2"/>
  <c r="A794" i="2"/>
  <c r="A795" i="2"/>
  <c r="A796" i="2"/>
  <c r="A797" i="2"/>
  <c r="A798" i="2"/>
  <c r="A799" i="2"/>
  <c r="A800" i="2"/>
  <c r="A801" i="2"/>
  <c r="A802" i="2"/>
  <c r="A803" i="2"/>
  <c r="A804" i="2"/>
  <c r="A805" i="2"/>
  <c r="A806" i="2"/>
  <c r="A807" i="2"/>
  <c r="A808" i="2"/>
  <c r="A809" i="2"/>
  <c r="A810" i="2"/>
  <c r="A811" i="2"/>
  <c r="A812" i="2"/>
  <c r="A813" i="2"/>
  <c r="A814" i="2"/>
  <c r="A815" i="2"/>
  <c r="A816" i="2"/>
  <c r="A817" i="2"/>
  <c r="A818" i="2"/>
  <c r="A819" i="2"/>
  <c r="A820" i="2"/>
  <c r="A821" i="2"/>
  <c r="A822" i="2"/>
  <c r="A823" i="2"/>
  <c r="A824" i="2"/>
  <c r="A825" i="2"/>
  <c r="A826" i="2"/>
  <c r="A827" i="2"/>
  <c r="A828" i="2"/>
  <c r="A829" i="2"/>
  <c r="A830" i="2"/>
  <c r="A831" i="2"/>
  <c r="A832" i="2"/>
  <c r="A833" i="2"/>
  <c r="A834" i="2"/>
  <c r="A835" i="2"/>
  <c r="A836" i="2"/>
  <c r="A837" i="2"/>
  <c r="A838" i="2"/>
  <c r="A839" i="2"/>
  <c r="A840" i="2"/>
  <c r="A841" i="2"/>
  <c r="A842" i="2"/>
  <c r="A843" i="2"/>
  <c r="A844" i="2"/>
  <c r="A845" i="2"/>
  <c r="A846" i="2"/>
  <c r="A847" i="2"/>
  <c r="A848" i="2"/>
  <c r="A849" i="2"/>
  <c r="A850" i="2"/>
  <c r="A851" i="2"/>
  <c r="A852" i="2"/>
  <c r="A853" i="2"/>
  <c r="A854" i="2"/>
  <c r="A855" i="2"/>
  <c r="A856" i="2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0" i="2"/>
  <c r="A881" i="2"/>
  <c r="A882" i="2"/>
  <c r="A883" i="2"/>
  <c r="A884" i="2"/>
  <c r="A885" i="2"/>
  <c r="A886" i="2"/>
  <c r="A887" i="2"/>
  <c r="A888" i="2"/>
  <c r="A889" i="2"/>
  <c r="A890" i="2"/>
  <c r="A891" i="2"/>
  <c r="A892" i="2"/>
  <c r="A893" i="2"/>
  <c r="A894" i="2"/>
  <c r="A895" i="2"/>
  <c r="A896" i="2"/>
  <c r="A897" i="2"/>
  <c r="A898" i="2"/>
  <c r="A899" i="2"/>
  <c r="A900" i="2"/>
  <c r="A901" i="2"/>
  <c r="A902" i="2"/>
  <c r="A903" i="2"/>
  <c r="A904" i="2"/>
  <c r="A905" i="2"/>
  <c r="A906" i="2"/>
  <c r="A907" i="2"/>
  <c r="A908" i="2"/>
  <c r="A909" i="2"/>
  <c r="A910" i="2"/>
  <c r="A911" i="2"/>
  <c r="A912" i="2"/>
  <c r="A913" i="2"/>
  <c r="A914" i="2"/>
  <c r="A915" i="2"/>
  <c r="A916" i="2"/>
  <c r="A917" i="2"/>
  <c r="A918" i="2"/>
  <c r="A919" i="2"/>
  <c r="A920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4" i="2"/>
  <c r="A935" i="2"/>
  <c r="A936" i="2"/>
  <c r="A937" i="2"/>
  <c r="A938" i="2"/>
  <c r="A939" i="2"/>
  <c r="A940" i="2"/>
  <c r="A941" i="2"/>
  <c r="A942" i="2"/>
  <c r="A943" i="2"/>
  <c r="A944" i="2"/>
  <c r="A945" i="2"/>
  <c r="A946" i="2"/>
  <c r="A947" i="2"/>
  <c r="A948" i="2"/>
  <c r="A949" i="2"/>
  <c r="A950" i="2"/>
  <c r="A951" i="2"/>
  <c r="A952" i="2"/>
  <c r="A953" i="2"/>
  <c r="A954" i="2"/>
  <c r="A955" i="2"/>
  <c r="A956" i="2"/>
  <c r="A957" i="2"/>
  <c r="A958" i="2"/>
  <c r="A959" i="2"/>
  <c r="A960" i="2"/>
  <c r="A961" i="2"/>
  <c r="A962" i="2"/>
  <c r="A963" i="2"/>
  <c r="A964" i="2"/>
  <c r="A965" i="2"/>
  <c r="A966" i="2"/>
  <c r="A967" i="2"/>
  <c r="A968" i="2"/>
  <c r="A969" i="2"/>
  <c r="A970" i="2"/>
  <c r="A971" i="2"/>
  <c r="A972" i="2"/>
  <c r="A973" i="2"/>
  <c r="A974" i="2"/>
  <c r="A975" i="2"/>
  <c r="A976" i="2"/>
  <c r="A977" i="2"/>
  <c r="A978" i="2"/>
  <c r="A979" i="2"/>
  <c r="A980" i="2"/>
  <c r="A981" i="2"/>
  <c r="A982" i="2"/>
  <c r="A983" i="2"/>
  <c r="A984" i="2"/>
  <c r="A985" i="2"/>
  <c r="A986" i="2"/>
  <c r="A987" i="2"/>
  <c r="A988" i="2"/>
  <c r="A989" i="2"/>
  <c r="A990" i="2"/>
  <c r="A991" i="2"/>
  <c r="A992" i="2"/>
  <c r="A993" i="2"/>
  <c r="A994" i="2"/>
  <c r="A995" i="2"/>
  <c r="A996" i="2"/>
  <c r="A997" i="2"/>
  <c r="A998" i="2"/>
  <c r="A999" i="2"/>
  <c r="A1000" i="2"/>
  <c r="A1001" i="2"/>
  <c r="A1002" i="2"/>
  <c r="A1003" i="2"/>
  <c r="A1004" i="2"/>
  <c r="A1005" i="2"/>
  <c r="A1006" i="2"/>
  <c r="A1007" i="2"/>
  <c r="A1008" i="2"/>
  <c r="A1009" i="2"/>
  <c r="A1010" i="2"/>
  <c r="A1011" i="2"/>
  <c r="A1012" i="2"/>
  <c r="A1013" i="2"/>
  <c r="A1014" i="2"/>
  <c r="A1015" i="2"/>
  <c r="A1016" i="2"/>
  <c r="A1017" i="2"/>
  <c r="A1018" i="2"/>
  <c r="A1019" i="2"/>
  <c r="A1020" i="2"/>
  <c r="A1021" i="2"/>
  <c r="A1022" i="2"/>
  <c r="A1023" i="2"/>
  <c r="A1024" i="2"/>
  <c r="A1025" i="2"/>
  <c r="A1026" i="2"/>
  <c r="A1027" i="2"/>
  <c r="A1028" i="2"/>
  <c r="A1029" i="2"/>
  <c r="A1030" i="2"/>
  <c r="A1031" i="2"/>
  <c r="A1032" i="2"/>
  <c r="A1033" i="2"/>
  <c r="A1034" i="2"/>
  <c r="A1035" i="2"/>
  <c r="A1036" i="2"/>
  <c r="A1037" i="2"/>
  <c r="A1038" i="2"/>
  <c r="A1039" i="2"/>
  <c r="A1040" i="2"/>
  <c r="A1041" i="2"/>
  <c r="A1042" i="2"/>
  <c r="A1043" i="2"/>
  <c r="A1044" i="2"/>
  <c r="A1045" i="2"/>
  <c r="A1046" i="2"/>
  <c r="A1047" i="2"/>
  <c r="A1048" i="2"/>
  <c r="A1049" i="2"/>
  <c r="A1050" i="2"/>
  <c r="A1051" i="2"/>
  <c r="A1052" i="2"/>
  <c r="A1053" i="2"/>
  <c r="A1054" i="2"/>
  <c r="A1055" i="2"/>
  <c r="A1056" i="2"/>
  <c r="A1057" i="2"/>
  <c r="A1058" i="2"/>
  <c r="A1059" i="2"/>
  <c r="A1060" i="2"/>
  <c r="A1061" i="2"/>
  <c r="A1062" i="2"/>
  <c r="A1063" i="2"/>
  <c r="A1064" i="2"/>
  <c r="A1065" i="2"/>
  <c r="A1066" i="2"/>
  <c r="A1067" i="2"/>
  <c r="A1068" i="2"/>
  <c r="A1069" i="2"/>
  <c r="A1070" i="2"/>
  <c r="A1071" i="2"/>
  <c r="A1072" i="2"/>
  <c r="A1073" i="2"/>
  <c r="A1074" i="2"/>
  <c r="A1075" i="2"/>
  <c r="A1076" i="2"/>
  <c r="A1077" i="2"/>
  <c r="A1078" i="2"/>
  <c r="A1079" i="2"/>
  <c r="A1080" i="2"/>
  <c r="A1081" i="2"/>
  <c r="A1082" i="2"/>
  <c r="A1083" i="2"/>
  <c r="A1084" i="2"/>
  <c r="A1085" i="2"/>
  <c r="A1086" i="2"/>
  <c r="A1087" i="2"/>
  <c r="A1088" i="2"/>
  <c r="A1089" i="2"/>
  <c r="A1090" i="2"/>
  <c r="A1091" i="2"/>
  <c r="A1092" i="2"/>
  <c r="A1093" i="2"/>
  <c r="A1094" i="2"/>
  <c r="A1095" i="2"/>
  <c r="A1096" i="2"/>
  <c r="A1097" i="2"/>
  <c r="A1098" i="2"/>
  <c r="A1099" i="2"/>
  <c r="A1100" i="2"/>
  <c r="A1101" i="2"/>
  <c r="A1102" i="2"/>
  <c r="A1103" i="2"/>
  <c r="A1104" i="2"/>
  <c r="A1105" i="2"/>
  <c r="A1106" i="2"/>
  <c r="A1107" i="2"/>
  <c r="A1108" i="2"/>
  <c r="A1109" i="2"/>
  <c r="A1110" i="2"/>
  <c r="A1111" i="2"/>
  <c r="A1112" i="2"/>
  <c r="A1113" i="2"/>
  <c r="A1114" i="2"/>
  <c r="A1115" i="2"/>
  <c r="A1116" i="2"/>
  <c r="A1117" i="2"/>
  <c r="A1118" i="2"/>
  <c r="A1119" i="2"/>
  <c r="A1120" i="2"/>
  <c r="A1121" i="2"/>
  <c r="A1122" i="2"/>
  <c r="A1123" i="2"/>
  <c r="A1124" i="2"/>
  <c r="A1125" i="2"/>
  <c r="A1126" i="2"/>
  <c r="A1127" i="2"/>
  <c r="A1128" i="2"/>
  <c r="A1129" i="2"/>
  <c r="A1130" i="2"/>
  <c r="A1131" i="2"/>
  <c r="A1132" i="2"/>
  <c r="A1133" i="2"/>
  <c r="A1134" i="2"/>
  <c r="A1135" i="2"/>
  <c r="A1136" i="2"/>
  <c r="A1137" i="2"/>
  <c r="A1138" i="2"/>
  <c r="A1139" i="2"/>
  <c r="A1140" i="2"/>
  <c r="A1141" i="2"/>
  <c r="A1142" i="2"/>
  <c r="A1143" i="2"/>
  <c r="A1144" i="2"/>
  <c r="A1145" i="2"/>
  <c r="A1146" i="2"/>
  <c r="A1147" i="2"/>
  <c r="A1148" i="2"/>
  <c r="A1149" i="2"/>
  <c r="A1150" i="2"/>
  <c r="A1151" i="2"/>
  <c r="A1152" i="2"/>
  <c r="A1153" i="2"/>
  <c r="A1154" i="2"/>
  <c r="A1155" i="2"/>
  <c r="A1156" i="2"/>
  <c r="A1157" i="2"/>
  <c r="A1158" i="2"/>
  <c r="A1159" i="2"/>
  <c r="A1160" i="2"/>
  <c r="A1161" i="2"/>
  <c r="A1162" i="2"/>
  <c r="A1163" i="2"/>
  <c r="A1164" i="2"/>
  <c r="A1165" i="2"/>
  <c r="A1166" i="2"/>
  <c r="A1167" i="2"/>
  <c r="A1168" i="2"/>
  <c r="A1169" i="2"/>
  <c r="A1170" i="2"/>
  <c r="A1171" i="2"/>
  <c r="A1172" i="2"/>
  <c r="A1173" i="2"/>
  <c r="A1174" i="2"/>
  <c r="A1175" i="2"/>
  <c r="A1176" i="2"/>
  <c r="A1177" i="2"/>
  <c r="A1178" i="2"/>
  <c r="A1179" i="2"/>
  <c r="A1180" i="2"/>
  <c r="A1181" i="2"/>
  <c r="A1182" i="2"/>
  <c r="A1183" i="2"/>
  <c r="A1184" i="2"/>
  <c r="A1185" i="2"/>
  <c r="A1186" i="2"/>
  <c r="A1187" i="2"/>
  <c r="A1188" i="2"/>
  <c r="A1189" i="2"/>
  <c r="A1190" i="2"/>
  <c r="A1191" i="2"/>
  <c r="A1192" i="2"/>
  <c r="A1193" i="2"/>
  <c r="A1194" i="2"/>
  <c r="A1195" i="2"/>
  <c r="A1196" i="2"/>
  <c r="A1197" i="2"/>
  <c r="A1198" i="2"/>
  <c r="A1199" i="2"/>
  <c r="A1200" i="2"/>
  <c r="A1201" i="2"/>
  <c r="A1202" i="2"/>
  <c r="A1203" i="2"/>
  <c r="A1204" i="2"/>
  <c r="A1205" i="2"/>
  <c r="A1206" i="2"/>
  <c r="A1207" i="2"/>
  <c r="A1208" i="2"/>
  <c r="A1209" i="2"/>
  <c r="A1210" i="2"/>
  <c r="A1211" i="2"/>
  <c r="A1212" i="2"/>
  <c r="A1213" i="2"/>
  <c r="A1214" i="2"/>
  <c r="A1215" i="2"/>
  <c r="A1216" i="2"/>
  <c r="A1217" i="2"/>
  <c r="A1218" i="2"/>
  <c r="A1219" i="2"/>
  <c r="A1220" i="2"/>
  <c r="A1221" i="2"/>
  <c r="A1222" i="2"/>
  <c r="A1223" i="2"/>
  <c r="A1224" i="2"/>
  <c r="A1225" i="2"/>
  <c r="A1226" i="2"/>
  <c r="A1227" i="2"/>
  <c r="A1228" i="2"/>
  <c r="A1229" i="2"/>
  <c r="A1230" i="2"/>
  <c r="A1231" i="2"/>
  <c r="A1232" i="2"/>
  <c r="A1233" i="2"/>
  <c r="A1234" i="2"/>
  <c r="A1235" i="2"/>
  <c r="A1236" i="2"/>
  <c r="A1237" i="2"/>
  <c r="A1238" i="2"/>
  <c r="A1239" i="2"/>
  <c r="A1240" i="2"/>
  <c r="A1241" i="2"/>
  <c r="A1242" i="2"/>
  <c r="A1243" i="2"/>
  <c r="A1244" i="2"/>
  <c r="A1245" i="2"/>
  <c r="A1246" i="2"/>
  <c r="A1247" i="2"/>
  <c r="A1248" i="2"/>
  <c r="A1249" i="2"/>
  <c r="A1250" i="2"/>
  <c r="A1251" i="2"/>
  <c r="A1252" i="2"/>
  <c r="A1253" i="2"/>
  <c r="A1254" i="2"/>
  <c r="A1255" i="2"/>
  <c r="A1256" i="2"/>
  <c r="A1257" i="2"/>
  <c r="A1258" i="2"/>
  <c r="A1259" i="2"/>
  <c r="A1260" i="2"/>
  <c r="A1261" i="2"/>
  <c r="A1262" i="2"/>
  <c r="A1263" i="2"/>
  <c r="A1264" i="2"/>
  <c r="A1265" i="2"/>
  <c r="A1266" i="2"/>
  <c r="A1267" i="2"/>
  <c r="A1268" i="2"/>
  <c r="A1269" i="2"/>
  <c r="A1270" i="2"/>
  <c r="A1271" i="2"/>
  <c r="A1272" i="2"/>
  <c r="A1273" i="2"/>
  <c r="A1274" i="2"/>
  <c r="A1275" i="2"/>
  <c r="A1276" i="2"/>
  <c r="A1277" i="2"/>
  <c r="A1278" i="2"/>
  <c r="A1279" i="2"/>
  <c r="A1280" i="2"/>
  <c r="A1281" i="2"/>
  <c r="A1282" i="2"/>
  <c r="A1283" i="2"/>
  <c r="A1284" i="2"/>
  <c r="A1285" i="2"/>
  <c r="A1286" i="2"/>
  <c r="A1287" i="2"/>
  <c r="A1288" i="2"/>
  <c r="A1289" i="2"/>
  <c r="A1290" i="2"/>
  <c r="A1291" i="2"/>
  <c r="A1292" i="2"/>
  <c r="A1293" i="2"/>
  <c r="A1294" i="2"/>
  <c r="A1295" i="2"/>
  <c r="A1296" i="2"/>
  <c r="A1297" i="2"/>
  <c r="A1298" i="2"/>
  <c r="A1299" i="2"/>
  <c r="A1300" i="2"/>
  <c r="A1301" i="2"/>
  <c r="A1302" i="2"/>
  <c r="A1303" i="2"/>
  <c r="A1304" i="2"/>
  <c r="A1305" i="2"/>
  <c r="A1306" i="2"/>
  <c r="A1307" i="2"/>
  <c r="A1308" i="2"/>
  <c r="A1309" i="2"/>
  <c r="A1310" i="2"/>
  <c r="A1311" i="2"/>
  <c r="A1312" i="2"/>
  <c r="A1313" i="2"/>
  <c r="A1314" i="2"/>
  <c r="A1315" i="2"/>
  <c r="A1316" i="2"/>
  <c r="A1317" i="2"/>
  <c r="A1318" i="2"/>
  <c r="A1319" i="2"/>
  <c r="A1320" i="2"/>
  <c r="A1321" i="2"/>
  <c r="A1322" i="2"/>
  <c r="A1323" i="2"/>
  <c r="A1324" i="2"/>
  <c r="A1325" i="2"/>
  <c r="A1326" i="2"/>
  <c r="A1327" i="2"/>
  <c r="A1328" i="2"/>
  <c r="A1329" i="2"/>
  <c r="A1330" i="2"/>
  <c r="A1331" i="2"/>
  <c r="A1332" i="2"/>
  <c r="A1333" i="2"/>
  <c r="A1334" i="2"/>
  <c r="A1335" i="2"/>
  <c r="A1336" i="2"/>
  <c r="A1337" i="2"/>
  <c r="A1338" i="2"/>
  <c r="A1339" i="2"/>
  <c r="A1340" i="2"/>
  <c r="A1341" i="2"/>
  <c r="A1342" i="2"/>
  <c r="A1343" i="2"/>
  <c r="A1344" i="2"/>
  <c r="A1345" i="2"/>
  <c r="A1346" i="2"/>
  <c r="A1347" i="2"/>
  <c r="A1348" i="2"/>
  <c r="A1349" i="2"/>
  <c r="A1350" i="2"/>
  <c r="A1351" i="2"/>
  <c r="A1352" i="2"/>
  <c r="A1353" i="2"/>
  <c r="A1354" i="2"/>
  <c r="A1355" i="2"/>
  <c r="A1356" i="2"/>
  <c r="A1357" i="2"/>
  <c r="A1358" i="2"/>
  <c r="A1359" i="2"/>
  <c r="A1360" i="2"/>
  <c r="A1361" i="2"/>
  <c r="A1362" i="2"/>
  <c r="A1363" i="2"/>
  <c r="A1364" i="2"/>
  <c r="A1365" i="2"/>
  <c r="A1366" i="2"/>
  <c r="A1367" i="2"/>
  <c r="A1368" i="2"/>
  <c r="A1369" i="2"/>
  <c r="A1370" i="2"/>
  <c r="A1371" i="2"/>
  <c r="A1372" i="2"/>
  <c r="A1373" i="2"/>
  <c r="A1374" i="2"/>
  <c r="A1375" i="2"/>
  <c r="A1376" i="2"/>
  <c r="A1377" i="2"/>
  <c r="A1378" i="2"/>
  <c r="A1379" i="2"/>
  <c r="A1380" i="2"/>
  <c r="A1381" i="2"/>
  <c r="A1382" i="2"/>
  <c r="A1383" i="2"/>
  <c r="A1384" i="2"/>
  <c r="A1385" i="2"/>
  <c r="A1386" i="2"/>
  <c r="A1387" i="2"/>
  <c r="A1388" i="2"/>
  <c r="A1389" i="2"/>
  <c r="A1390" i="2"/>
  <c r="A1391" i="2"/>
  <c r="A1392" i="2"/>
  <c r="A1393" i="2"/>
  <c r="A1394" i="2"/>
  <c r="A1395" i="2"/>
  <c r="A1396" i="2"/>
  <c r="A1397" i="2"/>
  <c r="A1398" i="2"/>
  <c r="A1399" i="2"/>
  <c r="A1400" i="2"/>
  <c r="A1401" i="2"/>
  <c r="A1402" i="2"/>
  <c r="A1403" i="2"/>
  <c r="A1404" i="2"/>
  <c r="A1405" i="2"/>
  <c r="A1406" i="2"/>
  <c r="A1407" i="2"/>
  <c r="A1408" i="2"/>
  <c r="A1409" i="2"/>
  <c r="A1410" i="2"/>
  <c r="A1411" i="2"/>
  <c r="A1412" i="2"/>
  <c r="A1413" i="2"/>
  <c r="A1414" i="2"/>
  <c r="A1415" i="2"/>
  <c r="A1416" i="2"/>
  <c r="A1417" i="2"/>
  <c r="A1418" i="2"/>
  <c r="A1419" i="2"/>
  <c r="A1420" i="2"/>
  <c r="A1421" i="2"/>
  <c r="A1422" i="2"/>
  <c r="A1423" i="2"/>
  <c r="A1424" i="2"/>
  <c r="A1425" i="2"/>
  <c r="A1426" i="2"/>
  <c r="A1427" i="2"/>
  <c r="A1428" i="2"/>
  <c r="A1429" i="2"/>
  <c r="A1430" i="2"/>
  <c r="A1431" i="2"/>
  <c r="A1432" i="2"/>
  <c r="A1433" i="2"/>
  <c r="A1434" i="2"/>
  <c r="A1435" i="2"/>
  <c r="A1436" i="2"/>
  <c r="A1437" i="2"/>
  <c r="A1438" i="2"/>
  <c r="A1439" i="2"/>
  <c r="A1440" i="2"/>
  <c r="A1441" i="2"/>
  <c r="A1442" i="2"/>
  <c r="A1443" i="2"/>
  <c r="A1444" i="2"/>
  <c r="A1445" i="2"/>
  <c r="A1446" i="2"/>
  <c r="A1447" i="2"/>
  <c r="A1448" i="2"/>
  <c r="A1449" i="2"/>
  <c r="A1450" i="2"/>
  <c r="A1451" i="2"/>
  <c r="A1452" i="2"/>
  <c r="A1453" i="2"/>
  <c r="A1454" i="2"/>
  <c r="A1455" i="2"/>
  <c r="A1456" i="2"/>
  <c r="A1457" i="2"/>
  <c r="A1458" i="2"/>
  <c r="A1459" i="2"/>
  <c r="A1460" i="2"/>
  <c r="A1461" i="2"/>
  <c r="A1462" i="2"/>
  <c r="A1463" i="2"/>
  <c r="A1464" i="2"/>
  <c r="A1465" i="2"/>
  <c r="A1466" i="2"/>
  <c r="A1467" i="2"/>
  <c r="A1468" i="2"/>
  <c r="A1469" i="2"/>
  <c r="A1470" i="2"/>
  <c r="A1471" i="2"/>
  <c r="A1472" i="2"/>
  <c r="A1473" i="2"/>
  <c r="A1474" i="2"/>
  <c r="A1475" i="2"/>
  <c r="A1476" i="2"/>
  <c r="A1477" i="2"/>
  <c r="A1478" i="2"/>
  <c r="A1479" i="2"/>
  <c r="A1480" i="2"/>
  <c r="A1481" i="2"/>
  <c r="A1482" i="2"/>
  <c r="A1483" i="2"/>
  <c r="A1484" i="2"/>
  <c r="A1485" i="2"/>
  <c r="A1486" i="2"/>
  <c r="A1487" i="2"/>
  <c r="A1488" i="2"/>
  <c r="A1489" i="2"/>
  <c r="A1490" i="2"/>
  <c r="A1491" i="2"/>
  <c r="A1492" i="2"/>
  <c r="A1493" i="2"/>
  <c r="A1494" i="2"/>
  <c r="A1495" i="2"/>
  <c r="A1496" i="2"/>
  <c r="A1497" i="2"/>
  <c r="A1498" i="2"/>
  <c r="A1499" i="2"/>
  <c r="A1500" i="2"/>
  <c r="A1501" i="2"/>
  <c r="A1502" i="2"/>
  <c r="A1503" i="2"/>
  <c r="A1504" i="2"/>
  <c r="A1505" i="2"/>
  <c r="A1506" i="2"/>
  <c r="A1507" i="2"/>
  <c r="A1508" i="2"/>
  <c r="A1509" i="2"/>
  <c r="A1510" i="2"/>
  <c r="A1511" i="2"/>
  <c r="A1512" i="2"/>
  <c r="A1513" i="2"/>
  <c r="A1514" i="2"/>
  <c r="A1515" i="2"/>
  <c r="A1516" i="2"/>
  <c r="A1517" i="2"/>
  <c r="A1518" i="2"/>
  <c r="A1519" i="2"/>
  <c r="A1520" i="2"/>
  <c r="A1521" i="2"/>
  <c r="A1522" i="2"/>
  <c r="A1523" i="2"/>
  <c r="A1524" i="2"/>
  <c r="A1525" i="2"/>
  <c r="A1526" i="2"/>
  <c r="A1527" i="2"/>
  <c r="A1528" i="2"/>
  <c r="A1529" i="2"/>
  <c r="A1530" i="2"/>
  <c r="A1531" i="2"/>
  <c r="A1532" i="2"/>
  <c r="A1533" i="2"/>
  <c r="A1534" i="2"/>
  <c r="A1535" i="2"/>
  <c r="A1536" i="2"/>
  <c r="A1537" i="2"/>
  <c r="A1538" i="2"/>
  <c r="A1539" i="2"/>
  <c r="A1540" i="2"/>
  <c r="A1541" i="2"/>
  <c r="A1542" i="2"/>
  <c r="A1543" i="2"/>
  <c r="A1544" i="2"/>
  <c r="A1545" i="2"/>
  <c r="A1546" i="2"/>
  <c r="A1547" i="2"/>
  <c r="A1548" i="2"/>
  <c r="A1549" i="2"/>
  <c r="A1550" i="2"/>
  <c r="A1551" i="2"/>
  <c r="A1552" i="2"/>
  <c r="A1553" i="2"/>
  <c r="A1554" i="2"/>
  <c r="A1555" i="2"/>
  <c r="A1556" i="2"/>
  <c r="A1557" i="2"/>
  <c r="A1558" i="2"/>
  <c r="A1559" i="2"/>
  <c r="A1560" i="2"/>
  <c r="A1561" i="2"/>
  <c r="A1562" i="2"/>
  <c r="A1563" i="2"/>
  <c r="A1564" i="2"/>
  <c r="A1565" i="2"/>
  <c r="A1566" i="2"/>
  <c r="A1567" i="2"/>
  <c r="A1568" i="2"/>
  <c r="A1569" i="2"/>
  <c r="A1570" i="2"/>
  <c r="A1571" i="2"/>
  <c r="A1572" i="2"/>
  <c r="A1573" i="2"/>
  <c r="A1574" i="2"/>
  <c r="A1575" i="2"/>
  <c r="A1576" i="2"/>
  <c r="A1577" i="2"/>
  <c r="A1578" i="2"/>
  <c r="A1579" i="2"/>
  <c r="A1580" i="2"/>
  <c r="A1581" i="2"/>
  <c r="A1582" i="2"/>
  <c r="A1583" i="2"/>
  <c r="A1584" i="2"/>
  <c r="A1585" i="2"/>
  <c r="A1586" i="2"/>
  <c r="A1587" i="2"/>
  <c r="A1588" i="2"/>
  <c r="A1589" i="2"/>
  <c r="A1590" i="2"/>
  <c r="A1591" i="2"/>
  <c r="A1592" i="2"/>
  <c r="A1593" i="2"/>
  <c r="A1594" i="2"/>
  <c r="A1595" i="2"/>
  <c r="A1596" i="2"/>
  <c r="A1597" i="2"/>
  <c r="A1598" i="2"/>
  <c r="A1599" i="2"/>
  <c r="A1600" i="2"/>
  <c r="A1601" i="2"/>
  <c r="A1602" i="2"/>
  <c r="A1603" i="2"/>
  <c r="A1604" i="2"/>
  <c r="A1605" i="2"/>
  <c r="A1606" i="2"/>
  <c r="A1607" i="2"/>
  <c r="A1608" i="2"/>
  <c r="A1609" i="2"/>
  <c r="A1610" i="2"/>
  <c r="A1611" i="2"/>
  <c r="A1612" i="2"/>
  <c r="A1613" i="2"/>
  <c r="A1614" i="2"/>
  <c r="A1615" i="2"/>
  <c r="A1616" i="2"/>
  <c r="A1617" i="2"/>
  <c r="A1618" i="2"/>
  <c r="A1619" i="2"/>
  <c r="A1620" i="2"/>
  <c r="A1621" i="2"/>
  <c r="A1622" i="2"/>
  <c r="A1623" i="2"/>
  <c r="A1624" i="2"/>
  <c r="A1625" i="2"/>
  <c r="A1626" i="2"/>
  <c r="A1627" i="2"/>
  <c r="A1628" i="2"/>
  <c r="A1629" i="2"/>
  <c r="A1630" i="2"/>
  <c r="A1631" i="2"/>
  <c r="A1632" i="2"/>
  <c r="A1633" i="2"/>
  <c r="A1634" i="2"/>
  <c r="A1635" i="2"/>
  <c r="A1636" i="2"/>
  <c r="A1637" i="2"/>
  <c r="A1638" i="2"/>
  <c r="A1639" i="2"/>
  <c r="A1640" i="2"/>
  <c r="A1641" i="2"/>
  <c r="A1642" i="2"/>
  <c r="A1643" i="2"/>
  <c r="A1644" i="2"/>
  <c r="A1645" i="2"/>
  <c r="A1646" i="2"/>
  <c r="A1647" i="2"/>
  <c r="A1648" i="2"/>
  <c r="A1649" i="2"/>
  <c r="A1650" i="2"/>
  <c r="A1651" i="2"/>
  <c r="A1652" i="2"/>
  <c r="A1653" i="2"/>
  <c r="A1654" i="2"/>
  <c r="A1655" i="2"/>
  <c r="A1656" i="2"/>
  <c r="A1657" i="2"/>
  <c r="A1658" i="2"/>
  <c r="A1659" i="2"/>
  <c r="A1660" i="2"/>
  <c r="A1661" i="2"/>
  <c r="A1662" i="2"/>
  <c r="A1663" i="2"/>
  <c r="A1664" i="2"/>
  <c r="A1665" i="2"/>
  <c r="A1666" i="2"/>
  <c r="A1667" i="2"/>
  <c r="A1668" i="2"/>
  <c r="A1669" i="2"/>
  <c r="A1670" i="2"/>
  <c r="A1671" i="2"/>
  <c r="A1672" i="2"/>
  <c r="A1673" i="2"/>
  <c r="A1674" i="2"/>
  <c r="A1675" i="2"/>
  <c r="A1676" i="2"/>
  <c r="A1677" i="2"/>
  <c r="A1678" i="2"/>
  <c r="A1679" i="2"/>
  <c r="A1680" i="2"/>
  <c r="A1681" i="2"/>
  <c r="A1682" i="2"/>
  <c r="A1683" i="2"/>
  <c r="A1684" i="2"/>
  <c r="A1685" i="2"/>
  <c r="A1686" i="2"/>
  <c r="A1687" i="2"/>
  <c r="A1688" i="2"/>
  <c r="A1689" i="2"/>
  <c r="A1690" i="2"/>
  <c r="A1691" i="2"/>
  <c r="A1692" i="2"/>
  <c r="A1693" i="2"/>
  <c r="A1694" i="2"/>
  <c r="A1695" i="2"/>
  <c r="A1696" i="2"/>
  <c r="A1697" i="2"/>
  <c r="A1698" i="2"/>
  <c r="A1699" i="2"/>
  <c r="A1700" i="2"/>
  <c r="A1701" i="2"/>
  <c r="A1702" i="2"/>
  <c r="A1703" i="2"/>
  <c r="A1704" i="2"/>
  <c r="A1705" i="2"/>
  <c r="A1706" i="2"/>
  <c r="A1707" i="2"/>
  <c r="A1708" i="2"/>
  <c r="A1709" i="2"/>
  <c r="A1710" i="2"/>
  <c r="A1711" i="2"/>
  <c r="A1712" i="2"/>
  <c r="A1713" i="2"/>
  <c r="A1714" i="2"/>
  <c r="A1715" i="2"/>
  <c r="A1716" i="2"/>
  <c r="A1717" i="2"/>
  <c r="A1718" i="2"/>
  <c r="A1719" i="2"/>
  <c r="A1720" i="2"/>
  <c r="A1721" i="2"/>
  <c r="A1722" i="2"/>
  <c r="A1723" i="2"/>
  <c r="A1724" i="2"/>
  <c r="A1725" i="2"/>
  <c r="A1726" i="2"/>
  <c r="A1727" i="2"/>
  <c r="A1728" i="2"/>
  <c r="A1729" i="2"/>
  <c r="A1730" i="2"/>
  <c r="A1731" i="2"/>
  <c r="A1732" i="2"/>
  <c r="A1733" i="2"/>
  <c r="A1734" i="2"/>
  <c r="A1735" i="2"/>
  <c r="A1736" i="2"/>
  <c r="A1737" i="2"/>
  <c r="A1738" i="2"/>
  <c r="A1739" i="2"/>
  <c r="A1740" i="2"/>
  <c r="A1741" i="2"/>
  <c r="A1742" i="2"/>
  <c r="A1743" i="2"/>
  <c r="A1744" i="2"/>
  <c r="A1745" i="2"/>
  <c r="A1746" i="2"/>
  <c r="A1747" i="2"/>
  <c r="A1748" i="2"/>
  <c r="A1749" i="2"/>
  <c r="A1750" i="2"/>
  <c r="A1751" i="2"/>
  <c r="A1752" i="2"/>
  <c r="A1753" i="2"/>
  <c r="A1754" i="2"/>
  <c r="A1755" i="2"/>
  <c r="A1756" i="2"/>
  <c r="A1757" i="2"/>
  <c r="A1758" i="2"/>
  <c r="A1759" i="2"/>
  <c r="A1760" i="2"/>
  <c r="A1761" i="2"/>
  <c r="A1762" i="2"/>
  <c r="A1763" i="2"/>
  <c r="A1764" i="2"/>
  <c r="A1765" i="2"/>
  <c r="A1766" i="2"/>
  <c r="A1767" i="2"/>
  <c r="A1768" i="2"/>
  <c r="A1769" i="2"/>
  <c r="A1770" i="2"/>
  <c r="A1771" i="2"/>
  <c r="A1772" i="2"/>
  <c r="A1773" i="2"/>
  <c r="A1774" i="2"/>
  <c r="A1775" i="2"/>
  <c r="A1776" i="2"/>
  <c r="A1777" i="2"/>
  <c r="A1778" i="2"/>
  <c r="A1779" i="2"/>
  <c r="A1780" i="2"/>
  <c r="A1781" i="2"/>
  <c r="A1782" i="2"/>
  <c r="A1783" i="2"/>
  <c r="A1784" i="2"/>
  <c r="A1785" i="2"/>
  <c r="A1786" i="2"/>
  <c r="A1787" i="2"/>
  <c r="A1788" i="2"/>
  <c r="A1789" i="2"/>
  <c r="A1790" i="2"/>
  <c r="A1791" i="2"/>
  <c r="A1792" i="2"/>
  <c r="A1793" i="2"/>
  <c r="A1794" i="2"/>
  <c r="A1795" i="2"/>
  <c r="A1796" i="2"/>
  <c r="A1797" i="2"/>
  <c r="A1798" i="2"/>
  <c r="A1799" i="2"/>
  <c r="A1800" i="2"/>
  <c r="A1801" i="2"/>
  <c r="A1802" i="2"/>
  <c r="A1803" i="2"/>
  <c r="A1804" i="2"/>
  <c r="A1805" i="2"/>
  <c r="A1806" i="2"/>
  <c r="A1807" i="2"/>
  <c r="A1808" i="2"/>
  <c r="A1809" i="2"/>
  <c r="A1810" i="2"/>
  <c r="A1811" i="2"/>
  <c r="A1812" i="2"/>
  <c r="A1813" i="2"/>
  <c r="A1814" i="2"/>
  <c r="A1815" i="2"/>
  <c r="A1816" i="2"/>
  <c r="A1817" i="2"/>
  <c r="A1818" i="2"/>
  <c r="A1819" i="2"/>
  <c r="A1820" i="2"/>
  <c r="A1821" i="2"/>
  <c r="A1822" i="2"/>
  <c r="A1823" i="2"/>
  <c r="A1824" i="2"/>
  <c r="A1825" i="2"/>
  <c r="A1826" i="2"/>
  <c r="A1827" i="2"/>
  <c r="A1828" i="2"/>
  <c r="A1829" i="2"/>
  <c r="A1830" i="2"/>
  <c r="A1831" i="2"/>
  <c r="A1832" i="2"/>
  <c r="A1833" i="2"/>
  <c r="A1834" i="2"/>
  <c r="A1835" i="2"/>
  <c r="A1836" i="2"/>
  <c r="A1837" i="2"/>
  <c r="A1838" i="2"/>
  <c r="A1839" i="2"/>
  <c r="A1840" i="2"/>
  <c r="A1841" i="2"/>
  <c r="A1842" i="2"/>
  <c r="A1843" i="2"/>
  <c r="A1844" i="2"/>
  <c r="A1845" i="2"/>
  <c r="A1846" i="2"/>
  <c r="A1847" i="2"/>
  <c r="A1848" i="2"/>
  <c r="A1849" i="2"/>
  <c r="A1850" i="2"/>
  <c r="A1851" i="2"/>
  <c r="A1852" i="2"/>
  <c r="A1853" i="2"/>
  <c r="A1854" i="2"/>
  <c r="A1855" i="2"/>
  <c r="A1856" i="2"/>
  <c r="A1857" i="2"/>
  <c r="A1858" i="2"/>
  <c r="A1859" i="2"/>
  <c r="A1860" i="2"/>
  <c r="A1861" i="2"/>
  <c r="A1862" i="2"/>
  <c r="A1863" i="2"/>
  <c r="A1864" i="2"/>
  <c r="A1865" i="2"/>
  <c r="A1866" i="2"/>
  <c r="A1867" i="2"/>
  <c r="A1868" i="2"/>
  <c r="A1869" i="2"/>
  <c r="A1870" i="2"/>
  <c r="A1871" i="2"/>
  <c r="A1872" i="2"/>
  <c r="A1873" i="2"/>
  <c r="A1874" i="2"/>
  <c r="A1875" i="2"/>
  <c r="A1876" i="2"/>
  <c r="A1877" i="2"/>
  <c r="A1878" i="2"/>
  <c r="A1879" i="2"/>
  <c r="A1880" i="2"/>
  <c r="A1881" i="2"/>
  <c r="A1882" i="2"/>
  <c r="A1883" i="2"/>
  <c r="A1884" i="2"/>
  <c r="A1885" i="2"/>
  <c r="A1886" i="2"/>
  <c r="A1887" i="2"/>
  <c r="A1888" i="2"/>
  <c r="A1889" i="2"/>
  <c r="A1890" i="2"/>
  <c r="A1891" i="2"/>
  <c r="A1892" i="2"/>
  <c r="A1893" i="2"/>
  <c r="A1894" i="2"/>
  <c r="A1895" i="2"/>
  <c r="A1896" i="2"/>
  <c r="A1897" i="2"/>
  <c r="A1898" i="2"/>
  <c r="A1899" i="2"/>
  <c r="A1900" i="2"/>
  <c r="A1901" i="2"/>
  <c r="A1902" i="2"/>
  <c r="A1903" i="2"/>
  <c r="A1904" i="2"/>
  <c r="A1905" i="2"/>
  <c r="A1906" i="2"/>
  <c r="A1907" i="2"/>
  <c r="A1908" i="2"/>
  <c r="A1909" i="2"/>
  <c r="A1910" i="2"/>
  <c r="A1911" i="2"/>
  <c r="A1912" i="2"/>
  <c r="A1913" i="2"/>
  <c r="A1914" i="2"/>
  <c r="A1915" i="2"/>
  <c r="A1916" i="2"/>
  <c r="A1917" i="2"/>
  <c r="A1918" i="2"/>
  <c r="A1919" i="2"/>
  <c r="A1920" i="2"/>
  <c r="A1921" i="2"/>
  <c r="A1922" i="2"/>
  <c r="A1923" i="2"/>
  <c r="A1924" i="2"/>
  <c r="A1925" i="2"/>
  <c r="A1926" i="2"/>
  <c r="A1927" i="2"/>
  <c r="A1928" i="2"/>
  <c r="A1929" i="2"/>
  <c r="A1930" i="2"/>
  <c r="A1931" i="2"/>
  <c r="A1932" i="2"/>
  <c r="A1933" i="2"/>
  <c r="A1934" i="2"/>
  <c r="A1935" i="2"/>
  <c r="A1936" i="2"/>
  <c r="A1937" i="2"/>
  <c r="A1938" i="2"/>
  <c r="A1939" i="2"/>
  <c r="A1940" i="2"/>
  <c r="A1941" i="2"/>
  <c r="A1942" i="2"/>
  <c r="A1943" i="2"/>
  <c r="A1944" i="2"/>
  <c r="A1945" i="2"/>
  <c r="A1946" i="2"/>
  <c r="A1947" i="2"/>
  <c r="A1948" i="2"/>
  <c r="A1949" i="2"/>
  <c r="A1950" i="2"/>
  <c r="A1951" i="2"/>
  <c r="A1952" i="2"/>
  <c r="A1953" i="2"/>
  <c r="A1954" i="2"/>
  <c r="A1955" i="2"/>
  <c r="A1956" i="2"/>
  <c r="A1957" i="2"/>
  <c r="A1958" i="2"/>
  <c r="A1959" i="2"/>
  <c r="A1960" i="2"/>
  <c r="A1961" i="2"/>
  <c r="A1962" i="2"/>
  <c r="A1963" i="2"/>
  <c r="A1964" i="2"/>
  <c r="A1965" i="2"/>
  <c r="A1966" i="2"/>
  <c r="A1967" i="2"/>
  <c r="A1968" i="2"/>
  <c r="A1969" i="2"/>
  <c r="A1970" i="2"/>
  <c r="A1971" i="2"/>
  <c r="A1972" i="2"/>
  <c r="A1973" i="2"/>
  <c r="A1974" i="2"/>
  <c r="A1975" i="2"/>
  <c r="A1976" i="2"/>
  <c r="A1977" i="2"/>
  <c r="A1978" i="2"/>
  <c r="A1979" i="2"/>
  <c r="A1980" i="2"/>
  <c r="A1981" i="2"/>
  <c r="A1982" i="2"/>
  <c r="A1983" i="2"/>
  <c r="A1984" i="2"/>
  <c r="A1985" i="2"/>
  <c r="A1986" i="2"/>
  <c r="A1987" i="2"/>
  <c r="A1988" i="2"/>
  <c r="A1989" i="2"/>
  <c r="A1990" i="2"/>
  <c r="A1991" i="2"/>
  <c r="A1992" i="2"/>
  <c r="A1993" i="2"/>
  <c r="A1994" i="2"/>
  <c r="A1995" i="2"/>
  <c r="A1996" i="2"/>
  <c r="A1997" i="2"/>
  <c r="A1998" i="2"/>
  <c r="A1999" i="2"/>
  <c r="A2000" i="2"/>
  <c r="A2001" i="2"/>
  <c r="A2002" i="2"/>
  <c r="A2003" i="2"/>
  <c r="A2004" i="2"/>
  <c r="A2005" i="2"/>
  <c r="A2006" i="2"/>
  <c r="A2007" i="2"/>
  <c r="A2008" i="2"/>
  <c r="A2009" i="2"/>
  <c r="A2010" i="2"/>
  <c r="A2011" i="2"/>
  <c r="A2012" i="2"/>
  <c r="A2013" i="2"/>
  <c r="A2014" i="2"/>
  <c r="A2015" i="2"/>
  <c r="A2016" i="2"/>
  <c r="A2017" i="2"/>
  <c r="A2018" i="2"/>
  <c r="A2019" i="2"/>
  <c r="A2020" i="2"/>
  <c r="A2021" i="2"/>
  <c r="A2022" i="2"/>
  <c r="A2023" i="2"/>
  <c r="A2024" i="2"/>
  <c r="A2025" i="2"/>
  <c r="A2026" i="2"/>
  <c r="A2027" i="2"/>
  <c r="A2028" i="2"/>
  <c r="A2029" i="2"/>
  <c r="A2030" i="2"/>
  <c r="A2031" i="2"/>
  <c r="A2032" i="2"/>
  <c r="A2033" i="2"/>
  <c r="A2034" i="2"/>
  <c r="A2035" i="2"/>
  <c r="A2036" i="2"/>
  <c r="A2037" i="2"/>
  <c r="A2038" i="2"/>
  <c r="A2039" i="2"/>
  <c r="A2040" i="2"/>
  <c r="A2041" i="2"/>
  <c r="A2042" i="2"/>
  <c r="A2043" i="2"/>
  <c r="A2044" i="2"/>
  <c r="A2045" i="2"/>
  <c r="A2046" i="2"/>
  <c r="A2047" i="2"/>
  <c r="A2048" i="2"/>
  <c r="A2049" i="2"/>
  <c r="A2050" i="2"/>
  <c r="A2051" i="2"/>
  <c r="A2052" i="2"/>
  <c r="A2053" i="2"/>
  <c r="A2054" i="2"/>
  <c r="A2055" i="2"/>
  <c r="A2056" i="2"/>
  <c r="A2057" i="2"/>
  <c r="A2058" i="2"/>
  <c r="A2059" i="2"/>
  <c r="A2060" i="2"/>
  <c r="A2061" i="2"/>
  <c r="A2062" i="2"/>
  <c r="A2063" i="2"/>
  <c r="A2064" i="2"/>
  <c r="A2065" i="2"/>
  <c r="A2066" i="2"/>
  <c r="A2067" i="2"/>
  <c r="A2068" i="2"/>
  <c r="A2069" i="2"/>
  <c r="A2070" i="2"/>
  <c r="A2071" i="2"/>
  <c r="A2072" i="2"/>
  <c r="A2073" i="2"/>
  <c r="A2074" i="2"/>
  <c r="A2075" i="2"/>
  <c r="A2076" i="2"/>
  <c r="A2077" i="2"/>
  <c r="A2078" i="2"/>
  <c r="A2079" i="2"/>
  <c r="A2080" i="2"/>
  <c r="A2081" i="2"/>
  <c r="A2082" i="2"/>
  <c r="A2083" i="2"/>
  <c r="A2084" i="2"/>
  <c r="A2085" i="2"/>
  <c r="A2086" i="2"/>
  <c r="A2087" i="2"/>
  <c r="A2088" i="2"/>
  <c r="A2089" i="2"/>
  <c r="A2090" i="2"/>
  <c r="A2091" i="2"/>
  <c r="A2092" i="2"/>
  <c r="A2093" i="2"/>
  <c r="A2094" i="2"/>
  <c r="A2095" i="2"/>
  <c r="A2096" i="2"/>
  <c r="A2097" i="2"/>
  <c r="A2098" i="2"/>
  <c r="A2099" i="2"/>
  <c r="A2100" i="2"/>
  <c r="A2101" i="2"/>
  <c r="A2102" i="2"/>
  <c r="A2103" i="2"/>
  <c r="A2104" i="2"/>
  <c r="A2105" i="2"/>
  <c r="A2106" i="2"/>
  <c r="A2107" i="2"/>
  <c r="A2108" i="2"/>
  <c r="A2109" i="2"/>
  <c r="A2110" i="2"/>
  <c r="A2111" i="2"/>
  <c r="A2112" i="2"/>
  <c r="A2113" i="2"/>
  <c r="A2114" i="2"/>
  <c r="A2115" i="2"/>
  <c r="A2116" i="2"/>
  <c r="A2117" i="2"/>
  <c r="A2118" i="2"/>
  <c r="A2119" i="2"/>
  <c r="A2120" i="2"/>
  <c r="A2121" i="2"/>
  <c r="A2122" i="2"/>
  <c r="A2123" i="2"/>
  <c r="A2124" i="2"/>
  <c r="A2125" i="2"/>
  <c r="A2126" i="2"/>
  <c r="A2127" i="2"/>
  <c r="A2128" i="2"/>
  <c r="A2129" i="2"/>
  <c r="A2130" i="2"/>
  <c r="A2131" i="2"/>
  <c r="A2132" i="2"/>
  <c r="A2133" i="2"/>
  <c r="A2134" i="2"/>
  <c r="A2135" i="2"/>
  <c r="A2136" i="2"/>
  <c r="A2137" i="2"/>
  <c r="A2138" i="2"/>
  <c r="A2139" i="2"/>
  <c r="A2140" i="2"/>
  <c r="A2141" i="2"/>
  <c r="A2142" i="2"/>
  <c r="A2143" i="2"/>
  <c r="A2144" i="2"/>
  <c r="A2145" i="2"/>
  <c r="A2146" i="2"/>
  <c r="A2147" i="2"/>
  <c r="A2148" i="2"/>
  <c r="A2149" i="2"/>
  <c r="A2150" i="2"/>
  <c r="A2151" i="2"/>
  <c r="A2152" i="2"/>
  <c r="A2153" i="2"/>
  <c r="A2154" i="2"/>
  <c r="A2155" i="2"/>
  <c r="A2156" i="2"/>
  <c r="A2157" i="2"/>
  <c r="A2158" i="2"/>
  <c r="A2159" i="2"/>
  <c r="A2160" i="2"/>
  <c r="A2161" i="2"/>
  <c r="A2162" i="2"/>
  <c r="A2163" i="2"/>
  <c r="A2164" i="2"/>
  <c r="A2165" i="2"/>
  <c r="A2166" i="2"/>
  <c r="A2167" i="2"/>
  <c r="A2168" i="2"/>
  <c r="A2169" i="2"/>
  <c r="A2170" i="2"/>
  <c r="A2171" i="2"/>
  <c r="A2172" i="2"/>
  <c r="A2173" i="2"/>
  <c r="A2174" i="2"/>
  <c r="A2175" i="2"/>
  <c r="A2176" i="2"/>
  <c r="A2177" i="2"/>
  <c r="A2178" i="2"/>
  <c r="A2179" i="2"/>
  <c r="A2180" i="2"/>
  <c r="A2181" i="2"/>
  <c r="A2182" i="2"/>
  <c r="A2183" i="2"/>
  <c r="A2184" i="2"/>
  <c r="A2185" i="2"/>
  <c r="A2186" i="2"/>
  <c r="A2187" i="2"/>
  <c r="A2188" i="2"/>
  <c r="A2189" i="2"/>
  <c r="A2190" i="2"/>
  <c r="A2191" i="2"/>
  <c r="A2192" i="2"/>
  <c r="A2193" i="2"/>
  <c r="A2194" i="2"/>
  <c r="A2195" i="2"/>
  <c r="A2196" i="2"/>
  <c r="A2197" i="2"/>
  <c r="A2198" i="2"/>
  <c r="A2199" i="2"/>
  <c r="A2200" i="2"/>
  <c r="A2201" i="2"/>
  <c r="A2202" i="2"/>
  <c r="A2203" i="2"/>
  <c r="A2204" i="2"/>
  <c r="A2205" i="2"/>
  <c r="A2206" i="2"/>
  <c r="A2207" i="2"/>
  <c r="A2208" i="2"/>
  <c r="A2209" i="2"/>
  <c r="A2210" i="2"/>
  <c r="A2211" i="2"/>
  <c r="A2212" i="2"/>
  <c r="A2213" i="2"/>
  <c r="A2214" i="2"/>
  <c r="A2215" i="2"/>
  <c r="A2216" i="2"/>
  <c r="A2217" i="2"/>
  <c r="A2218" i="2"/>
  <c r="A2219" i="2"/>
  <c r="A2220" i="2"/>
  <c r="A2221" i="2"/>
  <c r="A2222" i="2"/>
  <c r="A2223" i="2"/>
  <c r="A2224" i="2"/>
  <c r="A2225" i="2"/>
  <c r="A2226" i="2"/>
  <c r="A2227" i="2"/>
  <c r="A2228" i="2"/>
  <c r="A2229" i="2"/>
  <c r="A2230" i="2"/>
  <c r="A2231" i="2"/>
  <c r="A2232" i="2"/>
  <c r="A2233" i="2"/>
  <c r="A2234" i="2"/>
  <c r="A2235" i="2"/>
  <c r="A2236" i="2"/>
  <c r="A2237" i="2"/>
  <c r="A2238" i="2"/>
  <c r="A2239" i="2"/>
  <c r="A2240" i="2"/>
  <c r="A2241" i="2"/>
  <c r="A2242" i="2"/>
  <c r="A2243" i="2"/>
  <c r="A2244" i="2"/>
  <c r="A2245" i="2"/>
  <c r="A2246" i="2"/>
  <c r="A2247" i="2"/>
  <c r="A2248" i="2"/>
  <c r="A2249" i="2"/>
  <c r="A2250" i="2"/>
  <c r="A2251" i="2"/>
  <c r="A2252" i="2"/>
  <c r="A2253" i="2"/>
  <c r="A2254" i="2"/>
  <c r="A2255" i="2"/>
  <c r="A2256" i="2"/>
  <c r="A2257" i="2"/>
  <c r="A2258" i="2"/>
  <c r="A2259" i="2"/>
  <c r="A2260" i="2"/>
  <c r="A2261" i="2"/>
  <c r="A2262" i="2"/>
  <c r="A2263" i="2"/>
  <c r="A2264" i="2"/>
  <c r="A2265" i="2"/>
  <c r="A2266" i="2"/>
  <c r="A2267" i="2"/>
  <c r="A2268" i="2"/>
  <c r="A2269" i="2"/>
  <c r="A2270" i="2"/>
  <c r="A2271" i="2"/>
  <c r="A2272" i="2"/>
  <c r="A2273" i="2"/>
  <c r="A2274" i="2"/>
  <c r="A2275" i="2"/>
  <c r="A2276" i="2"/>
  <c r="A2277" i="2"/>
  <c r="A2278" i="2"/>
  <c r="A2279" i="2"/>
  <c r="A2280" i="2"/>
  <c r="A2281" i="2"/>
  <c r="A2282" i="2"/>
  <c r="A2283" i="2"/>
  <c r="A2284" i="2"/>
  <c r="A2285" i="2"/>
  <c r="A2286" i="2"/>
  <c r="A2287" i="2"/>
  <c r="A2288" i="2"/>
  <c r="A2289" i="2"/>
  <c r="A2290" i="2"/>
  <c r="A2291" i="2"/>
  <c r="A2292" i="2"/>
  <c r="A2293" i="2"/>
  <c r="A2294" i="2"/>
  <c r="A2295" i="2"/>
  <c r="A2296" i="2"/>
  <c r="A2297" i="2"/>
  <c r="A2298" i="2"/>
  <c r="A2299" i="2"/>
  <c r="A2300" i="2"/>
  <c r="A2301" i="2"/>
  <c r="A2302" i="2"/>
  <c r="A2303" i="2"/>
  <c r="A2304" i="2"/>
  <c r="A2305" i="2"/>
  <c r="A2306" i="2"/>
  <c r="A2307" i="2"/>
  <c r="A2308" i="2"/>
  <c r="A2309" i="2"/>
  <c r="A2310" i="2"/>
  <c r="A2311" i="2"/>
  <c r="A2312" i="2"/>
  <c r="A2313" i="2"/>
  <c r="A2314" i="2"/>
  <c r="A2315" i="2"/>
  <c r="A2316" i="2"/>
  <c r="A2317" i="2"/>
  <c r="A2318" i="2"/>
  <c r="A2319" i="2"/>
  <c r="A2320" i="2"/>
  <c r="A2321" i="2"/>
  <c r="A2322" i="2"/>
  <c r="A2323" i="2"/>
  <c r="A2324" i="2"/>
  <c r="A2325" i="2"/>
  <c r="A2326" i="2"/>
  <c r="A2327" i="2"/>
  <c r="A2328" i="2"/>
  <c r="A2329" i="2"/>
  <c r="A2330" i="2"/>
  <c r="A2331" i="2"/>
  <c r="A2332" i="2"/>
  <c r="A2333" i="2"/>
  <c r="A2334" i="2"/>
  <c r="A2335" i="2"/>
  <c r="A2336" i="2"/>
  <c r="A2337" i="2"/>
  <c r="A2338" i="2"/>
  <c r="A2339" i="2"/>
  <c r="A2340" i="2"/>
  <c r="A2341" i="2"/>
  <c r="A2342" i="2"/>
  <c r="A2343" i="2"/>
  <c r="A2344" i="2"/>
  <c r="A2345" i="2"/>
  <c r="A2346" i="2"/>
  <c r="A2347" i="2"/>
  <c r="A2348" i="2"/>
  <c r="A2349" i="2"/>
  <c r="A2350" i="2"/>
  <c r="A2351" i="2"/>
  <c r="A2352" i="2"/>
  <c r="A2353" i="2"/>
  <c r="A2354" i="2"/>
  <c r="A2355" i="2"/>
  <c r="A2356" i="2"/>
  <c r="A2357" i="2"/>
  <c r="A2358" i="2"/>
  <c r="A2359" i="2"/>
  <c r="A2360" i="2"/>
  <c r="A2361" i="2"/>
  <c r="A2362" i="2"/>
  <c r="A2363" i="2"/>
  <c r="A2364" i="2"/>
  <c r="A2365" i="2"/>
  <c r="A2366" i="2"/>
  <c r="A2367" i="2"/>
  <c r="A2368" i="2"/>
  <c r="A2369" i="2"/>
  <c r="A2370" i="2"/>
  <c r="A2371" i="2"/>
  <c r="A2372" i="2"/>
  <c r="A2373" i="2"/>
  <c r="A2374" i="2"/>
  <c r="A2375" i="2"/>
  <c r="A2376" i="2"/>
  <c r="A2377" i="2"/>
  <c r="A2378" i="2"/>
  <c r="A2379" i="2"/>
  <c r="A2380" i="2"/>
  <c r="A2381" i="2"/>
  <c r="A2382" i="2"/>
  <c r="A2383" i="2"/>
  <c r="A2384" i="2"/>
  <c r="A2385" i="2"/>
  <c r="A2386" i="2"/>
  <c r="A2387" i="2"/>
  <c r="A2388" i="2"/>
  <c r="A2389" i="2"/>
  <c r="A2390" i="2"/>
  <c r="A2391" i="2"/>
  <c r="A2392" i="2"/>
  <c r="A2393" i="2"/>
  <c r="A2394" i="2"/>
  <c r="A2395" i="2"/>
  <c r="A2396" i="2"/>
  <c r="A2397" i="2"/>
  <c r="A2398" i="2"/>
  <c r="A2399" i="2"/>
  <c r="A2400" i="2"/>
  <c r="A2401" i="2"/>
  <c r="A2402" i="2"/>
  <c r="A2403" i="2"/>
  <c r="A2404" i="2"/>
  <c r="A2405" i="2"/>
  <c r="A2406" i="2"/>
  <c r="A2407" i="2"/>
  <c r="A2408" i="2"/>
  <c r="A2409" i="2"/>
  <c r="A2410" i="2"/>
  <c r="A2411" i="2"/>
  <c r="A2412" i="2"/>
  <c r="A2413" i="2"/>
  <c r="A2414" i="2"/>
  <c r="A2415" i="2"/>
  <c r="A2416" i="2"/>
  <c r="A2417" i="2"/>
  <c r="A2418" i="2"/>
  <c r="A2419" i="2"/>
  <c r="A2420" i="2"/>
  <c r="A2421" i="2"/>
  <c r="A2422" i="2"/>
  <c r="A2423" i="2"/>
  <c r="A2424" i="2"/>
  <c r="A2425" i="2"/>
  <c r="A2426" i="2"/>
  <c r="A2427" i="2"/>
  <c r="A2428" i="2"/>
  <c r="A2429" i="2"/>
  <c r="A2430" i="2"/>
  <c r="A2431" i="2"/>
  <c r="A2432" i="2"/>
  <c r="A2433" i="2"/>
  <c r="A2434" i="2"/>
  <c r="A2435" i="2"/>
  <c r="A2436" i="2"/>
  <c r="A2437" i="2"/>
  <c r="A2438" i="2"/>
  <c r="A2439" i="2"/>
  <c r="A2440" i="2"/>
  <c r="A2441" i="2"/>
  <c r="A2442" i="2"/>
  <c r="A2443" i="2"/>
  <c r="A2444" i="2"/>
  <c r="A2445" i="2"/>
  <c r="A2446" i="2"/>
  <c r="A2447" i="2"/>
  <c r="A2448" i="2"/>
  <c r="A2449" i="2"/>
  <c r="A2450" i="2"/>
  <c r="A2451" i="2"/>
  <c r="A2452" i="2"/>
  <c r="A2453" i="2"/>
  <c r="A2454" i="2"/>
  <c r="A2455" i="2"/>
  <c r="A2456" i="2"/>
  <c r="A2457" i="2"/>
  <c r="A2458" i="2"/>
  <c r="A2459" i="2"/>
  <c r="A2460" i="2"/>
  <c r="A2461" i="2"/>
  <c r="A2462" i="2"/>
  <c r="A2463" i="2"/>
  <c r="A2464" i="2"/>
  <c r="A2465" i="2"/>
  <c r="A2466" i="2"/>
  <c r="A2467" i="2"/>
  <c r="A2468" i="2"/>
  <c r="A2469" i="2"/>
  <c r="A2470" i="2"/>
  <c r="A2471" i="2"/>
  <c r="A2472" i="2"/>
  <c r="A2473" i="2"/>
  <c r="A2474" i="2"/>
  <c r="A2475" i="2"/>
  <c r="A2476" i="2"/>
  <c r="A2477" i="2"/>
  <c r="A2478" i="2"/>
  <c r="A2479" i="2"/>
  <c r="A2480" i="2"/>
  <c r="A2481" i="2"/>
  <c r="A2482" i="2"/>
  <c r="A2483" i="2"/>
  <c r="A2484" i="2"/>
  <c r="A2485" i="2"/>
  <c r="A2486" i="2"/>
  <c r="A2487" i="2"/>
  <c r="A2488" i="2"/>
  <c r="A2489" i="2"/>
  <c r="A2490" i="2"/>
  <c r="A2491" i="2"/>
  <c r="A2492" i="2"/>
  <c r="A2493" i="2"/>
  <c r="A2494" i="2"/>
  <c r="A2495" i="2"/>
  <c r="A2496" i="2"/>
  <c r="A2497" i="2"/>
  <c r="A2498" i="2"/>
  <c r="A2499" i="2"/>
  <c r="A2500" i="2"/>
  <c r="A2501" i="2"/>
  <c r="A2502" i="2"/>
  <c r="A2503" i="2"/>
  <c r="A2504" i="2"/>
  <c r="A2505" i="2"/>
  <c r="A2506" i="2"/>
  <c r="A2507" i="2"/>
  <c r="A2508" i="2"/>
  <c r="A2509" i="2"/>
  <c r="A2510" i="2"/>
  <c r="A2511" i="2"/>
  <c r="A2512" i="2"/>
  <c r="A2513" i="2"/>
  <c r="A2514" i="2"/>
  <c r="A2515" i="2"/>
  <c r="A2516" i="2"/>
  <c r="A2517" i="2"/>
  <c r="A2518" i="2"/>
  <c r="A2519" i="2"/>
  <c r="A2520" i="2"/>
  <c r="A2521" i="2"/>
  <c r="A2522" i="2"/>
  <c r="A2523" i="2"/>
  <c r="A2524" i="2"/>
  <c r="A2525" i="2"/>
  <c r="A2526" i="2"/>
  <c r="A2527" i="2"/>
  <c r="A2528" i="2"/>
  <c r="A2529" i="2"/>
  <c r="A2530" i="2"/>
  <c r="A2531" i="2"/>
  <c r="A2532" i="2"/>
  <c r="A2533" i="2"/>
  <c r="A2534" i="2"/>
  <c r="A2535" i="2"/>
  <c r="A2536" i="2"/>
  <c r="A2537" i="2"/>
  <c r="A2538" i="2"/>
  <c r="A2539" i="2"/>
  <c r="A2540" i="2"/>
  <c r="A2541" i="2"/>
  <c r="A2542" i="2"/>
  <c r="A2543" i="2"/>
  <c r="A2544" i="2"/>
  <c r="A2545" i="2"/>
  <c r="A2546" i="2"/>
  <c r="A2547" i="2"/>
  <c r="A2548" i="2"/>
  <c r="A2549" i="2"/>
  <c r="A2550" i="2"/>
  <c r="A2551" i="2"/>
  <c r="A2552" i="2"/>
  <c r="A2553" i="2"/>
  <c r="A2554" i="2"/>
  <c r="A2555" i="2"/>
  <c r="A2556" i="2"/>
  <c r="A2557" i="2"/>
  <c r="A2558" i="2"/>
  <c r="A2559" i="2"/>
  <c r="A2560" i="2"/>
  <c r="A2561" i="2"/>
  <c r="A2562" i="2"/>
  <c r="A2563" i="2"/>
  <c r="A2564" i="2"/>
  <c r="A2565" i="2"/>
  <c r="A2566" i="2"/>
  <c r="A2567" i="2"/>
  <c r="A2568" i="2"/>
  <c r="A2569" i="2"/>
  <c r="A2570" i="2"/>
  <c r="A2571" i="2"/>
  <c r="A2572" i="2"/>
  <c r="A2573" i="2"/>
  <c r="A2574" i="2"/>
  <c r="A2575" i="2"/>
  <c r="A2576" i="2"/>
  <c r="A2577" i="2"/>
  <c r="A2578" i="2"/>
  <c r="A2579" i="2"/>
  <c r="A2580" i="2"/>
  <c r="A2581" i="2"/>
  <c r="A2582" i="2"/>
  <c r="A2583" i="2"/>
  <c r="A2584" i="2"/>
  <c r="A2585" i="2"/>
  <c r="A2586" i="2"/>
  <c r="A2587" i="2"/>
  <c r="A2588" i="2"/>
  <c r="A2589" i="2"/>
  <c r="A2590" i="2"/>
  <c r="A2591" i="2"/>
  <c r="A2592" i="2"/>
  <c r="A2593" i="2"/>
  <c r="A2594" i="2"/>
  <c r="A2595" i="2"/>
  <c r="A2596" i="2"/>
  <c r="A2597" i="2"/>
  <c r="A2598" i="2"/>
  <c r="A2599" i="2"/>
  <c r="A2600" i="2"/>
  <c r="A2601" i="2"/>
  <c r="A2602" i="2"/>
  <c r="A2603" i="2"/>
  <c r="A2604" i="2"/>
  <c r="A2605" i="2"/>
  <c r="A2606" i="2"/>
  <c r="A2607" i="2"/>
  <c r="A2608" i="2"/>
  <c r="A2609" i="2"/>
  <c r="A2610" i="2"/>
  <c r="A2611" i="2"/>
  <c r="A2612" i="2"/>
  <c r="A2613" i="2"/>
  <c r="A2614" i="2"/>
  <c r="A2615" i="2"/>
  <c r="A2616" i="2"/>
  <c r="A2617" i="2"/>
  <c r="A2618" i="2"/>
  <c r="A2619" i="2"/>
  <c r="A2620" i="2"/>
  <c r="A2621" i="2"/>
  <c r="A2622" i="2"/>
  <c r="A2623" i="2"/>
  <c r="A2624" i="2"/>
  <c r="A2625" i="2"/>
  <c r="A2626" i="2"/>
  <c r="A2627" i="2"/>
  <c r="A2628" i="2"/>
  <c r="A2629" i="2"/>
  <c r="A2630" i="2"/>
  <c r="A2631" i="2"/>
  <c r="A2632" i="2"/>
  <c r="A2633" i="2"/>
  <c r="A2634" i="2"/>
  <c r="A2635" i="2"/>
  <c r="A2636" i="2"/>
  <c r="A2637" i="2"/>
  <c r="A2638" i="2"/>
  <c r="A2639" i="2"/>
  <c r="A2640" i="2"/>
  <c r="A2641" i="2"/>
  <c r="A2642" i="2"/>
  <c r="A2643" i="2"/>
  <c r="A2644" i="2"/>
  <c r="A2645" i="2"/>
  <c r="A2646" i="2"/>
  <c r="A2647" i="2"/>
  <c r="A2648" i="2"/>
  <c r="A2649" i="2"/>
  <c r="A2650" i="2"/>
  <c r="A2651" i="2"/>
  <c r="A2652" i="2"/>
  <c r="A2653" i="2"/>
  <c r="A2654" i="2"/>
  <c r="A2655" i="2"/>
  <c r="A2656" i="2"/>
  <c r="A2657" i="2"/>
  <c r="A2658" i="2"/>
  <c r="A2659" i="2"/>
  <c r="A2660" i="2"/>
  <c r="A2661" i="2"/>
  <c r="A2662" i="2"/>
  <c r="A2663" i="2"/>
  <c r="A2664" i="2"/>
  <c r="A2665" i="2"/>
  <c r="A2666" i="2"/>
  <c r="A2667" i="2"/>
  <c r="A2668" i="2"/>
  <c r="A2669" i="2"/>
  <c r="A2670" i="2"/>
  <c r="A2671" i="2"/>
  <c r="A2672" i="2"/>
  <c r="A2673" i="2"/>
  <c r="A2674" i="2"/>
  <c r="A2675" i="2"/>
  <c r="A2676" i="2"/>
  <c r="A2677" i="2"/>
  <c r="A2678" i="2"/>
  <c r="A2679" i="2"/>
  <c r="A2680" i="2"/>
  <c r="A2681" i="2"/>
  <c r="A2682" i="2"/>
  <c r="A2683" i="2"/>
  <c r="A2684" i="2"/>
  <c r="A2685" i="2"/>
  <c r="A2686" i="2"/>
  <c r="A2687" i="2"/>
  <c r="A2688" i="2"/>
  <c r="A2689" i="2"/>
  <c r="A2690" i="2"/>
  <c r="A2691" i="2"/>
  <c r="A2692" i="2"/>
  <c r="A2693" i="2"/>
  <c r="A2694" i="2"/>
  <c r="A2695" i="2"/>
  <c r="A2696" i="2"/>
  <c r="A2697" i="2"/>
  <c r="A2698" i="2"/>
  <c r="A2699" i="2"/>
  <c r="A2700" i="2"/>
  <c r="A2701" i="2"/>
  <c r="A2702" i="2"/>
  <c r="A2703" i="2"/>
  <c r="A2704" i="2"/>
  <c r="A2705" i="2"/>
  <c r="A2706" i="2"/>
  <c r="A2707" i="2"/>
  <c r="A2708" i="2"/>
  <c r="A2709" i="2"/>
  <c r="A2710" i="2"/>
  <c r="A2711" i="2"/>
  <c r="A2712" i="2"/>
  <c r="A2713" i="2"/>
  <c r="A2714" i="2"/>
  <c r="A2715" i="2"/>
  <c r="A2716" i="2"/>
  <c r="A2717" i="2"/>
  <c r="A2718" i="2"/>
  <c r="A2719" i="2"/>
  <c r="A2720" i="2"/>
  <c r="A2721" i="2"/>
  <c r="A2722" i="2"/>
  <c r="A2723" i="2"/>
  <c r="A2724" i="2"/>
  <c r="A2725" i="2"/>
  <c r="A2726" i="2"/>
  <c r="A2727" i="2"/>
  <c r="A2728" i="2"/>
  <c r="A2729" i="2"/>
  <c r="A2730" i="2"/>
  <c r="A2731" i="2"/>
  <c r="A2732" i="2"/>
  <c r="A2733" i="2"/>
  <c r="A2734" i="2"/>
  <c r="A2735" i="2"/>
  <c r="A2736" i="2"/>
  <c r="A2737" i="2"/>
  <c r="A2738" i="2"/>
  <c r="A2739" i="2"/>
  <c r="A2740" i="2"/>
  <c r="A2741" i="2"/>
  <c r="A2742" i="2"/>
  <c r="A2743" i="2"/>
  <c r="A2744" i="2"/>
  <c r="A2745" i="2"/>
  <c r="A2746" i="2"/>
  <c r="A2747" i="2"/>
  <c r="A2748" i="2"/>
  <c r="A2749" i="2"/>
  <c r="A2750" i="2"/>
  <c r="A2751" i="2"/>
  <c r="A2752" i="2"/>
  <c r="A2753" i="2"/>
  <c r="A2754" i="2"/>
  <c r="A2755" i="2"/>
  <c r="A2756" i="2"/>
  <c r="A2757" i="2"/>
  <c r="A2758" i="2"/>
  <c r="A2759" i="2"/>
  <c r="A2760" i="2"/>
  <c r="A2761" i="2"/>
  <c r="A2762" i="2"/>
  <c r="A2763" i="2"/>
  <c r="A2764" i="2"/>
  <c r="A2765" i="2"/>
  <c r="A2766" i="2"/>
  <c r="A2767" i="2"/>
  <c r="A2768" i="2"/>
  <c r="A2769" i="2"/>
  <c r="A2770" i="2"/>
  <c r="A2771" i="2"/>
  <c r="A2772" i="2"/>
  <c r="A2773" i="2"/>
  <c r="A2774" i="2"/>
  <c r="A2775" i="2"/>
  <c r="A2776" i="2"/>
  <c r="A2777" i="2"/>
  <c r="A2778" i="2"/>
  <c r="A2779" i="2"/>
  <c r="A2780" i="2"/>
  <c r="A2781" i="2"/>
  <c r="A2782" i="2"/>
  <c r="A2783" i="2"/>
  <c r="A2784" i="2"/>
  <c r="A2785" i="2"/>
  <c r="A2786" i="2"/>
  <c r="A2787" i="2"/>
  <c r="A2788" i="2"/>
  <c r="A2789" i="2"/>
  <c r="A2790" i="2"/>
  <c r="A2791" i="2"/>
  <c r="A2792" i="2"/>
  <c r="A2793" i="2"/>
  <c r="A2794" i="2"/>
  <c r="A2795" i="2"/>
  <c r="A2796" i="2"/>
  <c r="A2797" i="2"/>
  <c r="A2798" i="2"/>
  <c r="A2799" i="2"/>
  <c r="A2800" i="2"/>
  <c r="A2801" i="2"/>
  <c r="A2802" i="2"/>
  <c r="A2803" i="2"/>
  <c r="A2804" i="2"/>
  <c r="A2805" i="2"/>
  <c r="A2806" i="2"/>
  <c r="A2807" i="2"/>
  <c r="A2808" i="2"/>
  <c r="A2809" i="2"/>
  <c r="A2810" i="2"/>
  <c r="A2811" i="2"/>
  <c r="A2812" i="2"/>
  <c r="A2813" i="2"/>
  <c r="A2814" i="2"/>
  <c r="A2815" i="2"/>
  <c r="A2816" i="2"/>
  <c r="A2817" i="2"/>
  <c r="A2818" i="2"/>
  <c r="A2819" i="2"/>
  <c r="A2820" i="2"/>
  <c r="A2821" i="2"/>
  <c r="A2822" i="2"/>
  <c r="A2823" i="2"/>
  <c r="A2824" i="2"/>
  <c r="A2825" i="2"/>
  <c r="A2826" i="2"/>
  <c r="A2827" i="2"/>
  <c r="A2828" i="2"/>
  <c r="A2829" i="2"/>
  <c r="A2830" i="2"/>
  <c r="A2831" i="2"/>
  <c r="A2832" i="2"/>
  <c r="A2833" i="2"/>
  <c r="A2834" i="2"/>
  <c r="A2835" i="2"/>
  <c r="A2836" i="2"/>
  <c r="A2837" i="2"/>
  <c r="A2838" i="2"/>
  <c r="A2839" i="2"/>
  <c r="A2840" i="2"/>
  <c r="A2841" i="2"/>
  <c r="A2842" i="2"/>
  <c r="A2843" i="2"/>
  <c r="A2844" i="2"/>
  <c r="A2845" i="2"/>
  <c r="A2846" i="2"/>
  <c r="A2847" i="2"/>
  <c r="A2848" i="2"/>
  <c r="A2849" i="2"/>
  <c r="A2850" i="2"/>
  <c r="A2851" i="2"/>
  <c r="A2852" i="2"/>
  <c r="A2853" i="2"/>
  <c r="A2854" i="2"/>
  <c r="A2855" i="2"/>
  <c r="A2856" i="2"/>
  <c r="A2857" i="2"/>
  <c r="A2858" i="2"/>
  <c r="A2859" i="2"/>
  <c r="A2860" i="2"/>
  <c r="A2861" i="2"/>
  <c r="A2862" i="2"/>
  <c r="A2863" i="2"/>
  <c r="A2864" i="2"/>
  <c r="A2865" i="2"/>
  <c r="A2866" i="2"/>
  <c r="A2867" i="2"/>
  <c r="A2868" i="2"/>
  <c r="A2869" i="2"/>
  <c r="A2870" i="2"/>
  <c r="A2871" i="2"/>
  <c r="A2872" i="2"/>
  <c r="A2873" i="2"/>
  <c r="A2874" i="2"/>
  <c r="A2875" i="2"/>
  <c r="A2876" i="2"/>
  <c r="A2877" i="2"/>
  <c r="A2878" i="2"/>
  <c r="A2879" i="2"/>
  <c r="A2880" i="2"/>
  <c r="A2881" i="2"/>
  <c r="A2882" i="2"/>
  <c r="A2883" i="2"/>
  <c r="A2884" i="2"/>
  <c r="A2885" i="2"/>
  <c r="A2886" i="2"/>
  <c r="A2887" i="2"/>
  <c r="A2888" i="2"/>
  <c r="A2889" i="2"/>
  <c r="A2890" i="2"/>
  <c r="A2891" i="2"/>
  <c r="A2892" i="2"/>
  <c r="A2893" i="2"/>
  <c r="A2894" i="2"/>
  <c r="A2895" i="2"/>
  <c r="A2896" i="2"/>
  <c r="A2897" i="2"/>
  <c r="A2898" i="2"/>
  <c r="A2899" i="2"/>
  <c r="A2900" i="2"/>
  <c r="A2901" i="2"/>
  <c r="A2902" i="2"/>
  <c r="A2903" i="2"/>
  <c r="A2904" i="2"/>
  <c r="A2905" i="2"/>
  <c r="A2906" i="2"/>
  <c r="A2907" i="2"/>
  <c r="A2908" i="2"/>
  <c r="A2909" i="2"/>
  <c r="A2910" i="2"/>
  <c r="A2911" i="2"/>
  <c r="A2912" i="2"/>
  <c r="A2913" i="2"/>
  <c r="A2914" i="2"/>
  <c r="A2915" i="2"/>
  <c r="A2916" i="2"/>
  <c r="A2917" i="2"/>
  <c r="A2918" i="2"/>
  <c r="A2919" i="2"/>
  <c r="A2920" i="2"/>
  <c r="A2921" i="2"/>
  <c r="A2922" i="2"/>
  <c r="A2923" i="2"/>
  <c r="A2924" i="2"/>
  <c r="A2925" i="2"/>
  <c r="A2926" i="2"/>
  <c r="A2927" i="2"/>
  <c r="A2928" i="2"/>
  <c r="A2929" i="2"/>
  <c r="A2930" i="2"/>
  <c r="A2931" i="2"/>
  <c r="A2932" i="2"/>
  <c r="A2933" i="2"/>
  <c r="A2934" i="2"/>
  <c r="A2935" i="2"/>
  <c r="A2936" i="2"/>
  <c r="A2937" i="2"/>
  <c r="A2938" i="2"/>
  <c r="A2939" i="2"/>
  <c r="A2940" i="2"/>
  <c r="A2941" i="2"/>
  <c r="A2942" i="2"/>
  <c r="A2943" i="2"/>
  <c r="A2944" i="2"/>
  <c r="A2945" i="2"/>
  <c r="A2946" i="2"/>
  <c r="A2947" i="2"/>
  <c r="A2948" i="2"/>
  <c r="A2949" i="2"/>
  <c r="A2950" i="2"/>
  <c r="A2951" i="2"/>
  <c r="A2952" i="2"/>
  <c r="A2953" i="2"/>
  <c r="A2954" i="2"/>
  <c r="A2955" i="2"/>
  <c r="A2956" i="2"/>
  <c r="A2957" i="2"/>
  <c r="A2958" i="2"/>
  <c r="A2959" i="2"/>
  <c r="A2960" i="2"/>
  <c r="A2961" i="2"/>
  <c r="A2962" i="2"/>
  <c r="A2963" i="2"/>
  <c r="A2964" i="2"/>
  <c r="A2965" i="2"/>
  <c r="A2966" i="2"/>
  <c r="A2967" i="2"/>
  <c r="A2968" i="2"/>
  <c r="A2969" i="2"/>
  <c r="A2970" i="2"/>
  <c r="A2971" i="2"/>
  <c r="A2972" i="2"/>
  <c r="A2973" i="2"/>
  <c r="A2974" i="2"/>
  <c r="A2975" i="2"/>
  <c r="A2976" i="2"/>
  <c r="A2977" i="2"/>
  <c r="A2978" i="2"/>
  <c r="A2979" i="2"/>
  <c r="A2980" i="2"/>
  <c r="A2981" i="2"/>
  <c r="A2982" i="2"/>
  <c r="A2983" i="2"/>
  <c r="A2984" i="2"/>
  <c r="A2985" i="2"/>
  <c r="A2986" i="2"/>
  <c r="A2987" i="2"/>
  <c r="A2988" i="2"/>
  <c r="A2989" i="2"/>
  <c r="A2990" i="2"/>
  <c r="A2991" i="2"/>
  <c r="A2992" i="2"/>
  <c r="A2993" i="2"/>
  <c r="A2994" i="2"/>
  <c r="A2995" i="2"/>
  <c r="A2996" i="2"/>
  <c r="A2997" i="2"/>
  <c r="A2998" i="2"/>
  <c r="A2999" i="2"/>
  <c r="A3000" i="2"/>
  <c r="A3001" i="2"/>
  <c r="A3002" i="2"/>
  <c r="A3003" i="2"/>
  <c r="A3004" i="2"/>
  <c r="A3005" i="2"/>
  <c r="A3006" i="2"/>
  <c r="A3007" i="2"/>
  <c r="A3008" i="2"/>
  <c r="A3009" i="2"/>
  <c r="A3010" i="2"/>
  <c r="A3011" i="2"/>
  <c r="A3012" i="2"/>
  <c r="A3013" i="2"/>
  <c r="A3014" i="2"/>
  <c r="A3015" i="2"/>
  <c r="A3016" i="2"/>
  <c r="A3017" i="2"/>
  <c r="A3018" i="2"/>
  <c r="A3019" i="2"/>
  <c r="A3020" i="2"/>
  <c r="A3021" i="2"/>
  <c r="A3022" i="2"/>
  <c r="A3023" i="2"/>
  <c r="A3024" i="2"/>
  <c r="A3025" i="2"/>
  <c r="A3026" i="2"/>
  <c r="A3027" i="2"/>
  <c r="A3028" i="2"/>
  <c r="A3029" i="2"/>
  <c r="A3030" i="2"/>
  <c r="A3031" i="2"/>
  <c r="A3032" i="2"/>
  <c r="A3033" i="2"/>
  <c r="A3034" i="2"/>
  <c r="A3035" i="2"/>
  <c r="A3036" i="2"/>
  <c r="A3037" i="2"/>
  <c r="A3038" i="2"/>
  <c r="A3039" i="2"/>
  <c r="A3040" i="2"/>
  <c r="A3041" i="2"/>
  <c r="A3042" i="2"/>
  <c r="A3043" i="2"/>
  <c r="A3044" i="2"/>
  <c r="A3045" i="2"/>
  <c r="A3046" i="2"/>
  <c r="A3047" i="2"/>
  <c r="A3048" i="2"/>
  <c r="A3049" i="2"/>
  <c r="A3050" i="2"/>
  <c r="A3051" i="2"/>
  <c r="A3052" i="2"/>
  <c r="A3053" i="2"/>
  <c r="A3054" i="2"/>
  <c r="A3055" i="2"/>
  <c r="A3056" i="2"/>
  <c r="A3057" i="2"/>
  <c r="A3058" i="2"/>
  <c r="A3059" i="2"/>
  <c r="A3060" i="2"/>
  <c r="A3061" i="2"/>
  <c r="A3062" i="2"/>
  <c r="A3063" i="2"/>
  <c r="A3064" i="2"/>
  <c r="A3065" i="2"/>
  <c r="A3066" i="2"/>
  <c r="A3067" i="2"/>
  <c r="A3068" i="2"/>
  <c r="A3069" i="2"/>
  <c r="A3070" i="2"/>
  <c r="A3071" i="2"/>
  <c r="A3072" i="2"/>
  <c r="A3073" i="2"/>
  <c r="A3074" i="2"/>
  <c r="A3075" i="2"/>
  <c r="A3076" i="2"/>
  <c r="A3077" i="2"/>
  <c r="A3078" i="2"/>
  <c r="A3079" i="2"/>
  <c r="A3080" i="2"/>
  <c r="A3081" i="2"/>
  <c r="A3082" i="2"/>
  <c r="A3083" i="2"/>
  <c r="A3084" i="2"/>
  <c r="A3085" i="2"/>
  <c r="A3086" i="2"/>
  <c r="A3087" i="2"/>
  <c r="A3088" i="2"/>
  <c r="A3089" i="2"/>
  <c r="A3090" i="2"/>
  <c r="A3091" i="2"/>
  <c r="A3092" i="2"/>
  <c r="A3093" i="2"/>
  <c r="A3094" i="2"/>
  <c r="A3095" i="2"/>
  <c r="A3096" i="2"/>
  <c r="A3097" i="2"/>
  <c r="A3098" i="2"/>
  <c r="A3099" i="2"/>
  <c r="A3100" i="2"/>
  <c r="A3101" i="2"/>
  <c r="A3102" i="2"/>
  <c r="A3103" i="2"/>
  <c r="A3104" i="2"/>
  <c r="A3105" i="2"/>
  <c r="A3106" i="2"/>
  <c r="A3107" i="2"/>
  <c r="A3108" i="2"/>
  <c r="A3109" i="2"/>
  <c r="A3110" i="2"/>
  <c r="A3111" i="2"/>
  <c r="A3112" i="2"/>
  <c r="A3113" i="2"/>
  <c r="A3114" i="2"/>
  <c r="A3115" i="2"/>
  <c r="A3116" i="2"/>
  <c r="A3117" i="2"/>
  <c r="A3118" i="2"/>
  <c r="A3119" i="2"/>
  <c r="A3120" i="2"/>
  <c r="A3121" i="2"/>
  <c r="A3122" i="2"/>
  <c r="A3123" i="2"/>
  <c r="A3124" i="2"/>
  <c r="A3125" i="2"/>
  <c r="A3126" i="2"/>
  <c r="A3127" i="2"/>
  <c r="A3128" i="2"/>
  <c r="A3129" i="2"/>
  <c r="A3130" i="2"/>
  <c r="A3131" i="2"/>
  <c r="A3132" i="2"/>
  <c r="A3133" i="2"/>
  <c r="A3134" i="2"/>
  <c r="A3135" i="2"/>
  <c r="A3136" i="2"/>
  <c r="A3137" i="2"/>
  <c r="A3138" i="2"/>
  <c r="A3139" i="2"/>
  <c r="A3140" i="2"/>
  <c r="A3141" i="2"/>
  <c r="A3142" i="2"/>
  <c r="A3143" i="2"/>
  <c r="A3144" i="2"/>
  <c r="A3145" i="2"/>
  <c r="A3146" i="2"/>
  <c r="A3147" i="2"/>
  <c r="A3148" i="2"/>
  <c r="A3149" i="2"/>
  <c r="A3150" i="2"/>
  <c r="A3151" i="2"/>
  <c r="A3152" i="2"/>
  <c r="A3153" i="2"/>
  <c r="A3154" i="2"/>
  <c r="A3155" i="2"/>
  <c r="A3156" i="2"/>
  <c r="A3157" i="2"/>
  <c r="A3158" i="2"/>
  <c r="A3159" i="2"/>
  <c r="A3160" i="2"/>
  <c r="A3161" i="2"/>
  <c r="A3162" i="2"/>
  <c r="A3163" i="2"/>
  <c r="A3164" i="2"/>
  <c r="A3165" i="2"/>
  <c r="A3166" i="2"/>
  <c r="A3167" i="2"/>
  <c r="A3168" i="2"/>
  <c r="A3169" i="2"/>
  <c r="A3170" i="2"/>
  <c r="A3171" i="2"/>
  <c r="A3172" i="2"/>
  <c r="A3173" i="2"/>
  <c r="A3174" i="2"/>
  <c r="A3175" i="2"/>
  <c r="A3176" i="2"/>
  <c r="A3177" i="2"/>
  <c r="A3178" i="2"/>
  <c r="A3179" i="2"/>
  <c r="A3180" i="2"/>
  <c r="A3181" i="2"/>
  <c r="A3182" i="2"/>
  <c r="A3183" i="2"/>
  <c r="A3184" i="2"/>
  <c r="A3185" i="2"/>
  <c r="A3186" i="2"/>
  <c r="A3187" i="2"/>
  <c r="A3188" i="2"/>
  <c r="A3189" i="2"/>
  <c r="A3190" i="2"/>
  <c r="A3191" i="2"/>
  <c r="A3192" i="2"/>
  <c r="A3193" i="2"/>
  <c r="A3194" i="2"/>
  <c r="A3195" i="2"/>
  <c r="A3196" i="2"/>
  <c r="A3197" i="2"/>
  <c r="A3198" i="2"/>
  <c r="A3199" i="2"/>
  <c r="A3200" i="2"/>
  <c r="A3201" i="2"/>
  <c r="A3202" i="2"/>
  <c r="A3203" i="2"/>
  <c r="A3204" i="2"/>
  <c r="A3205" i="2"/>
  <c r="A3206" i="2"/>
  <c r="A3207" i="2"/>
  <c r="A3208" i="2"/>
  <c r="A3209" i="2"/>
  <c r="A3210" i="2"/>
  <c r="A3211" i="2"/>
  <c r="A3212" i="2"/>
  <c r="A3213" i="2"/>
  <c r="A3214" i="2"/>
  <c r="A3215" i="2"/>
  <c r="A3216" i="2"/>
  <c r="A3217" i="2"/>
  <c r="A3218" i="2"/>
  <c r="E12" i="14" l="1"/>
  <c r="I22" i="14" l="1"/>
  <c r="I31" i="14"/>
  <c r="I32" i="14"/>
  <c r="I33" i="14"/>
  <c r="I34" i="14"/>
  <c r="I35" i="14"/>
  <c r="I36" i="14"/>
  <c r="I37" i="14"/>
  <c r="I38" i="14"/>
  <c r="I39" i="14"/>
  <c r="I40" i="14"/>
  <c r="I41" i="14"/>
  <c r="I42" i="14"/>
  <c r="I43" i="14"/>
  <c r="I44" i="14"/>
  <c r="I45" i="14"/>
  <c r="I46" i="14"/>
  <c r="I47" i="14"/>
  <c r="I48" i="14"/>
  <c r="I49" i="14"/>
  <c r="I21" i="14"/>
  <c r="A50" i="14" l="1"/>
  <c r="E9" i="14"/>
  <c r="I50" i="14" l="1"/>
  <c r="E17" i="14"/>
  <c r="I15" i="14"/>
  <c r="E13" i="14"/>
  <c r="E11" i="14"/>
  <c r="E7" i="14"/>
  <c r="I4" i="14"/>
  <c r="E7" i="13" l="1"/>
  <c r="F18" i="13" l="1"/>
  <c r="I35" i="1" l="1"/>
  <c r="A4316" i="2" l="1"/>
  <c r="A4315" i="2"/>
  <c r="A4314" i="2"/>
  <c r="A4313" i="2"/>
  <c r="A4312" i="2"/>
  <c r="A4311" i="2"/>
  <c r="A4310" i="2"/>
  <c r="A4309" i="2"/>
  <c r="A4308" i="2"/>
  <c r="A4307" i="2"/>
  <c r="A4306" i="2"/>
  <c r="A4305" i="2"/>
  <c r="A4304" i="2"/>
  <c r="A4303" i="2"/>
  <c r="A4302" i="2"/>
  <c r="A4301" i="2"/>
  <c r="A4300" i="2"/>
  <c r="A4299" i="2"/>
  <c r="A4298" i="2"/>
  <c r="A4297" i="2"/>
  <c r="A4296" i="2"/>
  <c r="A4295" i="2"/>
  <c r="A4294" i="2"/>
  <c r="A4293" i="2"/>
  <c r="A4292" i="2"/>
  <c r="A4291" i="2"/>
  <c r="A4290" i="2"/>
  <c r="A4289" i="2"/>
  <c r="A4288" i="2"/>
  <c r="A4287" i="2"/>
  <c r="A4286" i="2"/>
  <c r="A4285" i="2"/>
  <c r="A4284" i="2"/>
  <c r="A4283" i="2"/>
  <c r="A4282" i="2"/>
  <c r="A4281" i="2"/>
  <c r="A4280" i="2"/>
  <c r="A4279" i="2"/>
  <c r="A4278" i="2"/>
  <c r="A4277" i="2"/>
  <c r="A4276" i="2"/>
  <c r="A4275" i="2"/>
  <c r="A4274" i="2"/>
  <c r="A4273" i="2"/>
  <c r="A4272" i="2"/>
  <c r="A4271" i="2"/>
  <c r="A4270" i="2"/>
  <c r="A4269" i="2"/>
  <c r="A4268" i="2"/>
  <c r="A4267" i="2"/>
  <c r="A4266" i="2"/>
  <c r="A4265" i="2"/>
  <c r="A4264" i="2"/>
  <c r="A4263" i="2"/>
  <c r="A4262" i="2"/>
  <c r="A4261" i="2"/>
  <c r="A4260" i="2"/>
  <c r="A4259" i="2"/>
  <c r="A4258" i="2"/>
  <c r="A4257" i="2"/>
  <c r="A4256" i="2"/>
  <c r="A4255" i="2"/>
  <c r="A4254" i="2"/>
  <c r="A4253" i="2"/>
  <c r="A4252" i="2"/>
  <c r="A4251" i="2"/>
  <c r="A4250" i="2"/>
  <c r="A4249" i="2"/>
  <c r="A4248" i="2"/>
  <c r="A4247" i="2"/>
  <c r="A4246" i="2"/>
  <c r="A4245" i="2"/>
  <c r="A4244" i="2"/>
  <c r="A4243" i="2"/>
  <c r="A4242" i="2"/>
  <c r="A4241" i="2"/>
  <c r="A4240" i="2"/>
  <c r="A4239" i="2"/>
  <c r="A4238" i="2"/>
  <c r="A4237" i="2"/>
  <c r="A4236" i="2"/>
  <c r="A4235" i="2"/>
  <c r="A4234" i="2"/>
  <c r="A4233" i="2"/>
  <c r="A4232" i="2"/>
  <c r="A4231" i="2"/>
  <c r="A4230" i="2"/>
  <c r="A4229" i="2"/>
  <c r="A4228" i="2"/>
  <c r="A4227" i="2"/>
  <c r="A4226" i="2"/>
  <c r="A4225" i="2"/>
  <c r="A4224" i="2"/>
  <c r="A4223" i="2"/>
  <c r="A4222" i="2"/>
  <c r="A4221" i="2"/>
  <c r="A4220" i="2"/>
  <c r="A4219" i="2"/>
  <c r="A4218" i="2"/>
  <c r="A4217" i="2"/>
  <c r="A4216" i="2"/>
  <c r="A4215" i="2"/>
  <c r="A4214" i="2"/>
  <c r="A4213" i="2"/>
  <c r="A4212" i="2"/>
  <c r="A4211" i="2"/>
  <c r="A4210" i="2"/>
  <c r="A4209" i="2"/>
  <c r="A4208" i="2"/>
  <c r="A4207" i="2"/>
  <c r="A4206" i="2"/>
  <c r="A4205" i="2"/>
  <c r="A4204" i="2"/>
  <c r="A4203" i="2"/>
  <c r="A4202" i="2"/>
  <c r="A4201" i="2"/>
  <c r="A4200" i="2"/>
  <c r="A4199" i="2"/>
  <c r="A4198" i="2"/>
  <c r="A4197" i="2"/>
  <c r="A4196" i="2"/>
  <c r="A4195" i="2"/>
  <c r="A4194" i="2"/>
  <c r="A4193" i="2"/>
  <c r="A4192" i="2"/>
  <c r="A4191" i="2"/>
  <c r="A4190" i="2"/>
  <c r="A4189" i="2"/>
  <c r="A4188" i="2"/>
  <c r="A4187" i="2"/>
  <c r="A4186" i="2"/>
  <c r="A4185" i="2"/>
  <c r="A4184" i="2"/>
  <c r="A4183" i="2"/>
  <c r="A4182" i="2"/>
  <c r="A4181" i="2"/>
  <c r="A4180" i="2"/>
  <c r="A4179" i="2"/>
  <c r="A4178" i="2"/>
  <c r="A4177" i="2"/>
  <c r="A4176" i="2"/>
  <c r="A4175" i="2"/>
  <c r="A4174" i="2"/>
  <c r="A4173" i="2"/>
  <c r="A4172" i="2"/>
  <c r="A4171" i="2"/>
  <c r="A4170" i="2"/>
  <c r="A4169" i="2"/>
  <c r="A4168" i="2"/>
  <c r="A4167" i="2"/>
  <c r="A4166" i="2"/>
  <c r="A4165" i="2"/>
  <c r="A4164" i="2"/>
  <c r="A4163" i="2"/>
  <c r="A4162" i="2"/>
  <c r="A4161" i="2"/>
  <c r="A4160" i="2"/>
  <c r="A4159" i="2"/>
  <c r="A4158" i="2"/>
  <c r="A4157" i="2"/>
  <c r="A4156" i="2"/>
  <c r="A4155" i="2"/>
  <c r="A4154" i="2"/>
  <c r="A4153" i="2"/>
  <c r="A4152" i="2"/>
  <c r="A4151" i="2"/>
  <c r="A4150" i="2"/>
  <c r="A4149" i="2"/>
  <c r="A4148" i="2"/>
  <c r="A4147" i="2"/>
  <c r="A4146" i="2"/>
  <c r="A4145" i="2"/>
  <c r="A4144" i="2"/>
  <c r="A4143" i="2"/>
  <c r="A4142" i="2"/>
  <c r="A4141" i="2"/>
  <c r="A4140" i="2"/>
  <c r="A4139" i="2"/>
  <c r="A4138" i="2"/>
  <c r="A4137" i="2"/>
  <c r="A4136" i="2"/>
  <c r="A4135" i="2"/>
  <c r="A4134" i="2"/>
  <c r="A4133" i="2"/>
  <c r="A4132" i="2"/>
  <c r="A4131" i="2"/>
  <c r="A4130" i="2"/>
  <c r="A4129" i="2"/>
  <c r="A4128" i="2"/>
  <c r="A4127" i="2"/>
  <c r="A4126" i="2"/>
  <c r="A4125" i="2"/>
  <c r="A4124" i="2"/>
  <c r="A4123" i="2"/>
  <c r="A4122" i="2"/>
  <c r="A4121" i="2"/>
  <c r="A4120" i="2"/>
  <c r="A4119" i="2"/>
  <c r="A4118" i="2"/>
  <c r="A4117" i="2"/>
  <c r="A4116" i="2"/>
  <c r="A4115" i="2"/>
  <c r="A4114" i="2"/>
  <c r="A4113" i="2"/>
  <c r="A4112" i="2"/>
  <c r="A4111" i="2"/>
  <c r="A4110" i="2"/>
  <c r="A4109" i="2"/>
  <c r="A4108" i="2"/>
  <c r="A4107" i="2"/>
  <c r="A4106" i="2"/>
  <c r="A4105" i="2"/>
  <c r="A4104" i="2"/>
  <c r="A4103" i="2"/>
  <c r="A4102" i="2"/>
  <c r="A4101" i="2"/>
  <c r="A4100" i="2"/>
  <c r="A4099" i="2"/>
  <c r="A4098" i="2"/>
  <c r="A4097" i="2"/>
  <c r="A4096" i="2"/>
  <c r="A4095" i="2"/>
  <c r="A4094" i="2"/>
  <c r="A4093" i="2"/>
  <c r="A4092" i="2"/>
  <c r="A4091" i="2"/>
  <c r="A4090" i="2"/>
  <c r="A4089" i="2"/>
  <c r="A4088" i="2"/>
  <c r="A4087" i="2"/>
  <c r="A4086" i="2"/>
  <c r="A4085" i="2"/>
  <c r="A4084" i="2"/>
  <c r="A4083" i="2"/>
  <c r="A4082" i="2"/>
  <c r="A4081" i="2"/>
  <c r="A4080" i="2"/>
  <c r="A4079" i="2"/>
  <c r="A4078" i="2"/>
  <c r="A4077" i="2"/>
  <c r="A4076" i="2"/>
  <c r="A4075" i="2"/>
  <c r="A4074" i="2"/>
  <c r="A4073" i="2"/>
  <c r="A4072" i="2"/>
  <c r="A4071" i="2"/>
  <c r="A4070" i="2"/>
  <c r="A4069" i="2"/>
  <c r="A4068" i="2"/>
  <c r="A4067" i="2"/>
  <c r="A4066" i="2"/>
  <c r="A4065" i="2"/>
  <c r="A4064" i="2"/>
  <c r="A4063" i="2"/>
  <c r="A4062" i="2"/>
  <c r="A4061" i="2"/>
  <c r="A4060" i="2"/>
  <c r="A4059" i="2"/>
  <c r="A4058" i="2"/>
  <c r="A4057" i="2"/>
  <c r="A4056" i="2"/>
  <c r="A4055" i="2"/>
  <c r="A4054" i="2"/>
  <c r="A4053" i="2"/>
  <c r="A4052" i="2"/>
  <c r="A4051" i="2"/>
  <c r="A4050" i="2"/>
  <c r="A4049" i="2"/>
  <c r="A4048" i="2"/>
  <c r="A4047" i="2"/>
  <c r="A4046" i="2"/>
  <c r="A4045" i="2"/>
  <c r="A4044" i="2"/>
  <c r="A4043" i="2"/>
  <c r="A4042" i="2"/>
  <c r="A4041" i="2"/>
  <c r="A4040" i="2"/>
  <c r="A4039" i="2"/>
  <c r="A4038" i="2"/>
  <c r="A4037" i="2"/>
  <c r="A4036" i="2"/>
  <c r="A4035" i="2"/>
  <c r="A4034" i="2"/>
  <c r="A4033" i="2"/>
  <c r="A4032" i="2"/>
  <c r="A4031" i="2"/>
  <c r="A4030" i="2"/>
  <c r="A4029" i="2"/>
  <c r="A4028" i="2"/>
  <c r="A4027" i="2"/>
  <c r="A4026" i="2"/>
  <c r="A4025" i="2"/>
  <c r="A4024" i="2"/>
  <c r="A4023" i="2"/>
  <c r="A4022" i="2"/>
  <c r="A4021" i="2"/>
  <c r="A4020" i="2"/>
  <c r="A4019" i="2"/>
  <c r="A4018" i="2"/>
  <c r="A4017" i="2"/>
  <c r="A4016" i="2"/>
  <c r="A4015" i="2"/>
  <c r="A4014" i="2"/>
  <c r="A4013" i="2"/>
  <c r="A4012" i="2"/>
  <c r="A4011" i="2"/>
  <c r="A4010" i="2"/>
  <c r="A4009" i="2"/>
  <c r="A4008" i="2"/>
  <c r="A4007" i="2"/>
  <c r="A4006" i="2"/>
  <c r="A4005" i="2"/>
  <c r="A4004" i="2"/>
  <c r="A4003" i="2"/>
  <c r="A4002" i="2"/>
  <c r="A4001" i="2"/>
  <c r="A4000" i="2"/>
  <c r="A3999" i="2"/>
  <c r="A3998" i="2"/>
  <c r="A3997" i="2"/>
  <c r="A3996" i="2"/>
  <c r="A3995" i="2"/>
  <c r="A3994" i="2"/>
  <c r="A3993" i="2"/>
  <c r="A3992" i="2"/>
  <c r="A3991" i="2"/>
  <c r="A3990" i="2"/>
  <c r="A3989" i="2"/>
  <c r="A3988" i="2"/>
  <c r="A3987" i="2"/>
  <c r="A3986" i="2"/>
  <c r="A3985" i="2"/>
  <c r="A3984" i="2"/>
  <c r="A3983" i="2"/>
  <c r="A3982" i="2"/>
  <c r="A3981" i="2"/>
  <c r="A3980" i="2"/>
  <c r="A3979" i="2"/>
  <c r="A3978" i="2"/>
  <c r="A3977" i="2"/>
  <c r="A3976" i="2"/>
  <c r="A3975" i="2"/>
  <c r="A3974" i="2"/>
  <c r="A3973" i="2"/>
  <c r="A3972" i="2"/>
  <c r="A3971" i="2"/>
  <c r="A3970" i="2"/>
  <c r="A3969" i="2"/>
  <c r="A3968" i="2"/>
  <c r="A3967" i="2"/>
  <c r="A3966" i="2"/>
  <c r="A3965" i="2"/>
  <c r="A3964" i="2"/>
  <c r="A3963" i="2"/>
  <c r="A3962" i="2"/>
  <c r="A3961" i="2"/>
  <c r="A3960" i="2"/>
  <c r="A3959" i="2"/>
  <c r="A3958" i="2"/>
  <c r="A3957" i="2"/>
  <c r="A3956" i="2"/>
  <c r="A3955" i="2"/>
  <c r="A3954" i="2"/>
  <c r="A3953" i="2"/>
  <c r="A3952" i="2"/>
  <c r="A3951" i="2"/>
  <c r="A3950" i="2"/>
  <c r="A3949" i="2"/>
  <c r="A3948" i="2"/>
  <c r="A3947" i="2"/>
  <c r="A3946" i="2"/>
  <c r="A3945" i="2"/>
  <c r="A3944" i="2"/>
  <c r="A3943" i="2"/>
  <c r="A3942" i="2"/>
  <c r="A3941" i="2"/>
  <c r="A3940" i="2"/>
  <c r="A3939" i="2"/>
  <c r="A3938" i="2"/>
  <c r="A3937" i="2"/>
  <c r="A3936" i="2"/>
  <c r="A3935" i="2"/>
  <c r="A3934" i="2"/>
  <c r="A3933" i="2"/>
  <c r="A3932" i="2"/>
  <c r="A3931" i="2"/>
  <c r="A3930" i="2"/>
  <c r="A3929" i="2"/>
  <c r="A3928" i="2"/>
  <c r="A3927" i="2"/>
  <c r="A3926" i="2"/>
  <c r="A3925" i="2"/>
  <c r="A3924" i="2"/>
  <c r="A3923" i="2"/>
  <c r="A3922" i="2"/>
  <c r="A3921" i="2"/>
  <c r="A3920" i="2"/>
  <c r="A3919" i="2"/>
  <c r="A3918" i="2"/>
  <c r="A3917" i="2"/>
  <c r="A3916" i="2"/>
  <c r="A3915" i="2"/>
  <c r="A3914" i="2"/>
  <c r="A3913" i="2"/>
  <c r="A3912" i="2"/>
  <c r="A3911" i="2"/>
  <c r="A3910" i="2"/>
  <c r="A3909" i="2"/>
  <c r="A3908" i="2"/>
  <c r="A3907" i="2"/>
  <c r="A3906" i="2"/>
  <c r="A3905" i="2"/>
  <c r="A3904" i="2"/>
  <c r="A3903" i="2"/>
  <c r="A3902" i="2"/>
  <c r="A3901" i="2"/>
  <c r="A3900" i="2"/>
  <c r="A3899" i="2"/>
  <c r="A3898" i="2"/>
  <c r="A3897" i="2"/>
  <c r="A3896" i="2"/>
  <c r="A3895" i="2"/>
  <c r="A3894" i="2"/>
  <c r="A3893" i="2"/>
  <c r="A3892" i="2"/>
  <c r="A3891" i="2"/>
  <c r="A3890" i="2"/>
  <c r="A3889" i="2"/>
  <c r="A3888" i="2"/>
  <c r="A3887" i="2"/>
  <c r="A3886" i="2"/>
  <c r="A3885" i="2"/>
  <c r="A3884" i="2"/>
  <c r="A3883" i="2"/>
  <c r="A3882" i="2"/>
  <c r="A3881" i="2"/>
  <c r="A3880" i="2"/>
  <c r="A3879" i="2"/>
  <c r="A3878" i="2"/>
  <c r="A3877" i="2"/>
  <c r="A3876" i="2"/>
  <c r="A3875" i="2"/>
  <c r="A3874" i="2"/>
  <c r="A3873" i="2"/>
  <c r="A3872" i="2"/>
  <c r="A3871" i="2"/>
  <c r="A3870" i="2"/>
  <c r="A3869" i="2"/>
  <c r="A3868" i="2"/>
  <c r="A3867" i="2"/>
  <c r="A3866" i="2"/>
  <c r="A3865" i="2"/>
  <c r="A3864" i="2"/>
  <c r="A3863" i="2"/>
  <c r="A3862" i="2"/>
  <c r="A3861" i="2"/>
  <c r="A3860" i="2"/>
  <c r="A3859" i="2"/>
  <c r="A3858" i="2"/>
  <c r="A3857" i="2"/>
  <c r="A3856" i="2"/>
  <c r="A3855" i="2"/>
  <c r="A3854" i="2"/>
  <c r="A3853" i="2"/>
  <c r="A3852" i="2"/>
  <c r="A3851" i="2"/>
  <c r="A3850" i="2"/>
  <c r="A3849" i="2"/>
  <c r="A3848" i="2"/>
  <c r="A3847" i="2"/>
  <c r="A3846" i="2"/>
  <c r="A3845" i="2"/>
  <c r="A3844" i="2"/>
  <c r="A3843" i="2"/>
  <c r="A3842" i="2"/>
  <c r="A3841" i="2"/>
  <c r="A3840" i="2"/>
  <c r="A3839" i="2"/>
  <c r="A3838" i="2"/>
  <c r="A3837" i="2"/>
  <c r="A3836" i="2"/>
  <c r="A3835" i="2"/>
  <c r="A3834" i="2"/>
  <c r="A3833" i="2"/>
  <c r="A3832" i="2"/>
  <c r="A3831" i="2"/>
  <c r="A3830" i="2"/>
  <c r="A3829" i="2"/>
  <c r="A3828" i="2"/>
  <c r="A3827" i="2"/>
  <c r="A3826" i="2"/>
  <c r="A3825" i="2"/>
  <c r="A3824" i="2"/>
  <c r="A3823" i="2"/>
  <c r="A3822" i="2"/>
  <c r="A3821" i="2"/>
  <c r="A3820" i="2"/>
  <c r="A3819" i="2"/>
  <c r="A3818" i="2"/>
  <c r="A3817" i="2"/>
  <c r="A3816" i="2"/>
  <c r="A3815" i="2"/>
  <c r="A3814" i="2"/>
  <c r="A3813" i="2"/>
  <c r="A3812" i="2"/>
  <c r="A3811" i="2"/>
  <c r="A3810" i="2"/>
  <c r="A3809" i="2"/>
  <c r="A3808" i="2"/>
  <c r="A3807" i="2"/>
  <c r="A3806" i="2"/>
  <c r="A3805" i="2"/>
  <c r="A3804" i="2"/>
  <c r="A3803" i="2"/>
  <c r="A3802" i="2"/>
  <c r="A3801" i="2"/>
  <c r="A3800" i="2"/>
  <c r="A3799" i="2"/>
  <c r="A3798" i="2"/>
  <c r="A3797" i="2"/>
  <c r="A3796" i="2"/>
  <c r="A3795" i="2"/>
  <c r="A3794" i="2"/>
  <c r="A3793" i="2"/>
  <c r="A3792" i="2"/>
  <c r="A3791" i="2"/>
  <c r="A3790" i="2"/>
  <c r="A3789" i="2"/>
  <c r="A3788" i="2"/>
  <c r="A3787" i="2"/>
  <c r="A3786" i="2"/>
  <c r="A3785" i="2"/>
  <c r="A3784" i="2"/>
  <c r="A3783" i="2"/>
  <c r="A3782" i="2"/>
  <c r="A3781" i="2"/>
  <c r="A3780" i="2"/>
  <c r="A3779" i="2"/>
  <c r="A3778" i="2"/>
  <c r="A3777" i="2"/>
  <c r="A3776" i="2"/>
  <c r="A3775" i="2"/>
  <c r="A3774" i="2"/>
  <c r="A3773" i="2"/>
  <c r="A3772" i="2"/>
  <c r="A3771" i="2"/>
  <c r="A3770" i="2"/>
  <c r="A3769" i="2"/>
  <c r="A3768" i="2"/>
  <c r="A3767" i="2"/>
  <c r="A3766" i="2"/>
  <c r="A3765" i="2"/>
  <c r="A3764" i="2"/>
  <c r="A3763" i="2"/>
  <c r="A3762" i="2"/>
  <c r="A3761" i="2"/>
  <c r="A3760" i="2"/>
  <c r="A3759" i="2"/>
  <c r="A3758" i="2"/>
  <c r="A3757" i="2"/>
  <c r="A3756" i="2"/>
  <c r="A3755" i="2"/>
  <c r="A3754" i="2"/>
  <c r="A3753" i="2"/>
  <c r="A3752" i="2"/>
  <c r="A3751" i="2"/>
  <c r="A3750" i="2"/>
  <c r="A3749" i="2"/>
  <c r="A3748" i="2"/>
  <c r="A3747" i="2"/>
  <c r="A3746" i="2"/>
  <c r="A3745" i="2"/>
  <c r="A3744" i="2"/>
  <c r="A3743" i="2"/>
  <c r="A3742" i="2"/>
  <c r="A3741" i="2"/>
  <c r="A3740" i="2"/>
  <c r="A3739" i="2"/>
  <c r="A3738" i="2"/>
  <c r="A3737" i="2"/>
  <c r="A3736" i="2"/>
  <c r="A3735" i="2"/>
  <c r="A3734" i="2"/>
  <c r="A3733" i="2"/>
  <c r="A3732" i="2"/>
  <c r="A3731" i="2"/>
  <c r="A3730" i="2"/>
  <c r="A3729" i="2"/>
  <c r="A3728" i="2"/>
  <c r="A3727" i="2"/>
  <c r="A3726" i="2"/>
  <c r="A3725" i="2"/>
  <c r="A3724" i="2"/>
  <c r="A3723" i="2"/>
  <c r="A3722" i="2"/>
  <c r="A3721" i="2"/>
  <c r="A3720" i="2"/>
  <c r="A3719" i="2"/>
  <c r="A3718" i="2"/>
  <c r="A3717" i="2"/>
  <c r="A3716" i="2"/>
  <c r="A3715" i="2"/>
  <c r="A3714" i="2"/>
  <c r="A3713" i="2"/>
  <c r="A3712" i="2"/>
  <c r="A3711" i="2"/>
  <c r="A3710" i="2"/>
  <c r="A3709" i="2"/>
  <c r="A3708" i="2"/>
  <c r="A3707" i="2"/>
  <c r="A3706" i="2"/>
  <c r="A3705" i="2"/>
  <c r="A3704" i="2"/>
  <c r="A3703" i="2"/>
  <c r="A3702" i="2"/>
  <c r="A3701" i="2"/>
  <c r="A3700" i="2"/>
  <c r="A3699" i="2"/>
  <c r="A3698" i="2"/>
  <c r="A3697" i="2"/>
  <c r="A3696" i="2"/>
  <c r="A3695" i="2"/>
  <c r="A3694" i="2"/>
  <c r="A3693" i="2"/>
  <c r="A3692" i="2"/>
  <c r="A3691" i="2"/>
  <c r="A3690" i="2"/>
  <c r="A3689" i="2"/>
  <c r="A3688" i="2"/>
  <c r="A3687" i="2"/>
  <c r="A3686" i="2"/>
  <c r="A3685" i="2"/>
  <c r="A3684" i="2"/>
  <c r="A3683" i="2"/>
  <c r="A3682" i="2"/>
  <c r="A3681" i="2"/>
  <c r="A3680" i="2"/>
  <c r="A3679" i="2"/>
  <c r="A3678" i="2"/>
  <c r="A3677" i="2"/>
  <c r="A3676" i="2"/>
  <c r="A3675" i="2"/>
  <c r="A3674" i="2"/>
  <c r="A3673" i="2"/>
  <c r="A3672" i="2"/>
  <c r="A3671" i="2"/>
  <c r="A3670" i="2"/>
  <c r="A3669" i="2"/>
  <c r="A3668" i="2"/>
  <c r="A3667" i="2"/>
  <c r="A3666" i="2"/>
  <c r="A3665" i="2"/>
  <c r="A3664" i="2"/>
  <c r="A3663" i="2"/>
  <c r="A3662" i="2"/>
  <c r="A3661" i="2"/>
  <c r="A3660" i="2"/>
  <c r="A3659" i="2"/>
  <c r="A3658" i="2"/>
  <c r="A3657" i="2"/>
  <c r="A3656" i="2"/>
  <c r="A3655" i="2"/>
  <c r="A3654" i="2"/>
  <c r="A3653" i="2"/>
  <c r="A3652" i="2"/>
  <c r="A3651" i="2"/>
  <c r="A3650" i="2"/>
  <c r="A3649" i="2"/>
  <c r="A3648" i="2"/>
  <c r="A3647" i="2"/>
  <c r="A3646" i="2"/>
  <c r="A3645" i="2"/>
  <c r="A3644" i="2"/>
  <c r="A3643" i="2"/>
  <c r="A3642" i="2"/>
  <c r="A3641" i="2"/>
  <c r="A3640" i="2"/>
  <c r="A3639" i="2"/>
  <c r="A3638" i="2"/>
  <c r="A3637" i="2"/>
  <c r="A3636" i="2"/>
  <c r="A3635" i="2"/>
  <c r="A3634" i="2"/>
  <c r="A3633" i="2"/>
  <c r="A3632" i="2"/>
  <c r="A3631" i="2"/>
  <c r="A3630" i="2"/>
  <c r="A3629" i="2"/>
  <c r="A3628" i="2"/>
  <c r="A3627" i="2"/>
  <c r="A3626" i="2"/>
  <c r="A3625" i="2"/>
  <c r="A3624" i="2"/>
  <c r="A3623" i="2"/>
  <c r="A3622" i="2"/>
  <c r="A3621" i="2"/>
  <c r="A3620" i="2"/>
  <c r="A3619" i="2"/>
  <c r="A3618" i="2"/>
  <c r="A3617" i="2"/>
  <c r="A3616" i="2"/>
  <c r="A3615" i="2"/>
  <c r="A3614" i="2"/>
  <c r="A3613" i="2"/>
  <c r="A3612" i="2"/>
  <c r="A3611" i="2"/>
  <c r="A3610" i="2"/>
  <c r="A3609" i="2"/>
  <c r="A3608" i="2"/>
  <c r="A3607" i="2"/>
  <c r="A3606" i="2"/>
  <c r="A3605" i="2"/>
  <c r="A3604" i="2"/>
  <c r="A3603" i="2"/>
  <c r="A3602" i="2"/>
  <c r="A3601" i="2"/>
  <c r="A3600" i="2"/>
  <c r="A3599" i="2"/>
  <c r="A3598" i="2"/>
  <c r="A3597" i="2"/>
  <c r="A3596" i="2"/>
  <c r="A3595" i="2"/>
  <c r="A3594" i="2"/>
  <c r="A3593" i="2"/>
  <c r="A3592" i="2"/>
  <c r="A3591" i="2"/>
  <c r="A3590" i="2"/>
  <c r="A3589" i="2"/>
  <c r="A3588" i="2"/>
  <c r="A3587" i="2"/>
  <c r="A3586" i="2"/>
  <c r="A3585" i="2"/>
  <c r="A3584" i="2"/>
  <c r="A3583" i="2"/>
  <c r="A3582" i="2"/>
  <c r="A3581" i="2"/>
  <c r="A3580" i="2"/>
  <c r="A3579" i="2"/>
  <c r="A3578" i="2"/>
  <c r="A3577" i="2"/>
  <c r="A3576" i="2"/>
  <c r="A3575" i="2"/>
  <c r="A3574" i="2"/>
  <c r="A3573" i="2"/>
  <c r="A3572" i="2"/>
  <c r="A3571" i="2"/>
  <c r="A3570" i="2"/>
  <c r="A3569" i="2"/>
  <c r="A3568" i="2"/>
  <c r="A3567" i="2"/>
  <c r="A3566" i="2"/>
  <c r="A3565" i="2"/>
  <c r="A3564" i="2"/>
  <c r="A3563" i="2"/>
  <c r="A3562" i="2"/>
  <c r="A3561" i="2"/>
  <c r="A3560" i="2"/>
  <c r="A3559" i="2"/>
  <c r="A3558" i="2"/>
  <c r="A3557" i="2"/>
  <c r="A3556" i="2"/>
  <c r="A3555" i="2"/>
  <c r="A3554" i="2"/>
  <c r="A3553" i="2"/>
  <c r="A3552" i="2"/>
  <c r="A3551" i="2"/>
  <c r="A3550" i="2"/>
  <c r="A3549" i="2"/>
  <c r="A3548" i="2"/>
  <c r="A3547" i="2"/>
  <c r="A3546" i="2"/>
  <c r="A3545" i="2"/>
  <c r="A3544" i="2"/>
  <c r="A3543" i="2"/>
  <c r="A3542" i="2"/>
  <c r="A3541" i="2"/>
  <c r="A3540" i="2"/>
  <c r="A3539" i="2"/>
  <c r="A3538" i="2"/>
  <c r="A3537" i="2"/>
  <c r="A3536" i="2"/>
  <c r="A3535" i="2"/>
  <c r="A3534" i="2"/>
  <c r="A3533" i="2"/>
  <c r="A3532" i="2"/>
  <c r="A3531" i="2"/>
  <c r="A3530" i="2"/>
  <c r="A3529" i="2"/>
  <c r="A3528" i="2"/>
  <c r="A3527" i="2"/>
  <c r="A3526" i="2"/>
  <c r="A3525" i="2"/>
  <c r="A3524" i="2"/>
  <c r="A3523" i="2"/>
  <c r="A3522" i="2"/>
  <c r="A3521" i="2"/>
  <c r="A3520" i="2"/>
  <c r="A3519" i="2"/>
  <c r="A3518" i="2"/>
  <c r="A3517" i="2"/>
  <c r="A3516" i="2"/>
  <c r="A3515" i="2"/>
  <c r="A3514" i="2"/>
  <c r="A3513" i="2"/>
  <c r="A3512" i="2"/>
  <c r="A3511" i="2"/>
  <c r="A3510" i="2"/>
  <c r="A3509" i="2"/>
  <c r="A3508" i="2"/>
  <c r="A3507" i="2"/>
  <c r="A3506" i="2"/>
  <c r="A3505" i="2"/>
  <c r="A3504" i="2"/>
  <c r="A3503" i="2"/>
  <c r="A3502" i="2"/>
  <c r="A3501" i="2"/>
  <c r="A3500" i="2"/>
  <c r="A3499" i="2"/>
  <c r="A3498" i="2"/>
  <c r="A3497" i="2"/>
  <c r="A3496" i="2"/>
  <c r="A3495" i="2"/>
  <c r="A3494" i="2"/>
  <c r="A3493" i="2"/>
  <c r="A3492" i="2"/>
  <c r="A3491" i="2"/>
  <c r="A3490" i="2"/>
  <c r="A3489" i="2"/>
  <c r="A3488" i="2"/>
  <c r="A3487" i="2"/>
  <c r="A3486" i="2"/>
  <c r="A3485" i="2"/>
  <c r="A3484" i="2"/>
  <c r="A3483" i="2"/>
  <c r="A3482" i="2"/>
  <c r="A3481" i="2"/>
  <c r="A3480" i="2"/>
  <c r="A3479" i="2"/>
  <c r="A3478" i="2"/>
  <c r="A3477" i="2"/>
  <c r="A3476" i="2"/>
  <c r="A3475" i="2"/>
  <c r="A3474" i="2"/>
  <c r="A3473" i="2"/>
  <c r="A3472" i="2"/>
  <c r="A3471" i="2"/>
  <c r="A3470" i="2"/>
  <c r="A3469" i="2"/>
  <c r="A3468" i="2"/>
  <c r="A3467" i="2"/>
  <c r="A3466" i="2"/>
  <c r="A3465" i="2"/>
  <c r="A3464" i="2"/>
  <c r="A3463" i="2"/>
  <c r="A3462" i="2"/>
  <c r="A3461" i="2"/>
  <c r="A3460" i="2"/>
  <c r="A3459" i="2"/>
  <c r="A3458" i="2"/>
  <c r="A3457" i="2"/>
  <c r="A3456" i="2"/>
  <c r="A3455" i="2"/>
  <c r="A3454" i="2"/>
  <c r="A3453" i="2"/>
  <c r="A3452" i="2"/>
  <c r="A3451" i="2"/>
  <c r="A3450" i="2"/>
  <c r="A3449" i="2"/>
  <c r="A3448" i="2"/>
  <c r="A3447" i="2"/>
  <c r="A3446" i="2"/>
  <c r="A3445" i="2"/>
  <c r="A3444" i="2"/>
  <c r="A3443" i="2"/>
  <c r="A3442" i="2"/>
  <c r="A3441" i="2"/>
  <c r="A3440" i="2"/>
  <c r="A3439" i="2"/>
  <c r="A3438" i="2"/>
  <c r="A3437" i="2"/>
  <c r="A3436" i="2"/>
  <c r="A3435" i="2"/>
  <c r="A3434" i="2"/>
  <c r="A3433" i="2"/>
  <c r="A3432" i="2"/>
  <c r="A3431" i="2"/>
  <c r="A3430" i="2"/>
  <c r="A3429" i="2"/>
  <c r="A3428" i="2"/>
  <c r="A3427" i="2"/>
  <c r="A3426" i="2"/>
  <c r="A3425" i="2"/>
  <c r="A3424" i="2"/>
  <c r="A3423" i="2"/>
  <c r="A3422" i="2"/>
  <c r="A3421" i="2"/>
  <c r="A3420" i="2"/>
  <c r="A3419" i="2"/>
  <c r="A3418" i="2"/>
  <c r="A3417" i="2"/>
  <c r="A3416" i="2"/>
  <c r="A3415" i="2"/>
  <c r="A3414" i="2"/>
  <c r="A3413" i="2"/>
  <c r="A3412" i="2"/>
  <c r="A3411" i="2"/>
  <c r="A3410" i="2"/>
  <c r="A3409" i="2"/>
  <c r="A3408" i="2"/>
  <c r="A3407" i="2"/>
  <c r="A3406" i="2"/>
  <c r="A3405" i="2"/>
  <c r="A3404" i="2"/>
  <c r="A3403" i="2"/>
  <c r="A3402" i="2"/>
  <c r="A3401" i="2"/>
  <c r="A3400" i="2"/>
  <c r="A3399" i="2"/>
  <c r="A3398" i="2"/>
  <c r="A3397" i="2"/>
  <c r="A3396" i="2"/>
  <c r="A3395" i="2"/>
  <c r="A3394" i="2"/>
  <c r="A3393" i="2"/>
  <c r="A3392" i="2"/>
  <c r="A3391" i="2"/>
  <c r="A3390" i="2"/>
  <c r="A3389" i="2"/>
  <c r="A3388" i="2"/>
  <c r="A3387" i="2"/>
  <c r="A3386" i="2"/>
  <c r="A3385" i="2"/>
  <c r="A3384" i="2"/>
  <c r="A3383" i="2"/>
  <c r="A3382" i="2"/>
  <c r="A3381" i="2"/>
  <c r="A3380" i="2"/>
  <c r="A3379" i="2"/>
  <c r="A3378" i="2"/>
  <c r="A3377" i="2"/>
  <c r="A3376" i="2"/>
  <c r="A3375" i="2"/>
  <c r="A3374" i="2"/>
  <c r="A3373" i="2"/>
  <c r="A3372" i="2"/>
  <c r="A3371" i="2"/>
  <c r="A3370" i="2"/>
  <c r="A3369" i="2"/>
  <c r="A3368" i="2"/>
  <c r="A3367" i="2"/>
  <c r="A3366" i="2"/>
  <c r="A3365" i="2"/>
  <c r="A3364" i="2"/>
  <c r="A3363" i="2"/>
  <c r="A3362" i="2"/>
  <c r="A3361" i="2"/>
  <c r="A3360" i="2"/>
  <c r="A3359" i="2"/>
  <c r="A3358" i="2"/>
  <c r="A3357" i="2"/>
  <c r="A3356" i="2"/>
  <c r="A3355" i="2"/>
  <c r="A3354" i="2"/>
  <c r="A3353" i="2"/>
  <c r="A3352" i="2"/>
  <c r="A3351" i="2"/>
  <c r="A3350" i="2"/>
  <c r="A3349" i="2"/>
  <c r="A3348" i="2"/>
  <c r="A3347" i="2"/>
  <c r="A3346" i="2"/>
  <c r="A3345" i="2"/>
  <c r="A3344" i="2"/>
  <c r="A3343" i="2"/>
  <c r="A3342" i="2"/>
  <c r="A3341" i="2"/>
  <c r="A3340" i="2"/>
  <c r="A3339" i="2"/>
  <c r="A3338" i="2"/>
  <c r="A3337" i="2"/>
  <c r="A3336" i="2"/>
  <c r="A3335" i="2"/>
  <c r="A3334" i="2"/>
  <c r="A3333" i="2"/>
  <c r="A3332" i="2"/>
  <c r="A3331" i="2"/>
  <c r="A3330" i="2"/>
  <c r="A3329" i="2"/>
  <c r="A3328" i="2"/>
  <c r="A3327" i="2"/>
  <c r="A3326" i="2"/>
  <c r="A3325" i="2"/>
  <c r="A3324" i="2"/>
  <c r="A3323" i="2"/>
  <c r="A3322" i="2"/>
  <c r="A3321" i="2"/>
  <c r="A3320" i="2"/>
  <c r="A3319" i="2"/>
  <c r="A3318" i="2"/>
  <c r="A3317" i="2"/>
  <c r="A3316" i="2"/>
  <c r="A3315" i="2"/>
  <c r="A3314" i="2"/>
  <c r="A3313" i="2"/>
  <c r="A3312" i="2"/>
  <c r="A3311" i="2"/>
  <c r="A3310" i="2"/>
  <c r="A3309" i="2"/>
  <c r="A3308" i="2"/>
  <c r="A3307" i="2"/>
  <c r="A3306" i="2"/>
  <c r="A3305" i="2"/>
  <c r="A3304" i="2"/>
  <c r="A3303" i="2"/>
  <c r="A3302" i="2"/>
  <c r="A3301" i="2"/>
  <c r="A3300" i="2"/>
  <c r="A3299" i="2"/>
  <c r="A3298" i="2"/>
  <c r="A3297" i="2"/>
  <c r="A3296" i="2"/>
  <c r="A3295" i="2"/>
  <c r="A3294" i="2"/>
  <c r="A3293" i="2"/>
  <c r="A3292" i="2"/>
  <c r="A3291" i="2"/>
  <c r="A3290" i="2"/>
  <c r="A3289" i="2"/>
  <c r="A3288" i="2"/>
  <c r="A3287" i="2"/>
  <c r="A3286" i="2"/>
  <c r="A3285" i="2"/>
  <c r="A3284" i="2"/>
  <c r="A3283" i="2"/>
  <c r="A3282" i="2"/>
  <c r="A3281" i="2"/>
  <c r="A3280" i="2"/>
  <c r="A3279" i="2"/>
  <c r="A3278" i="2"/>
  <c r="A3277" i="2"/>
  <c r="A3276" i="2"/>
  <c r="A3275" i="2"/>
  <c r="A3274" i="2"/>
  <c r="A3273" i="2"/>
  <c r="A3272" i="2"/>
  <c r="A3271" i="2"/>
  <c r="A3270" i="2"/>
  <c r="A3269" i="2"/>
  <c r="A3268" i="2"/>
  <c r="A3267" i="2"/>
  <c r="A3266" i="2"/>
  <c r="A3265" i="2"/>
  <c r="A3264" i="2"/>
  <c r="A3263" i="2"/>
  <c r="A3262" i="2"/>
  <c r="A3261" i="2"/>
  <c r="A3260" i="2"/>
  <c r="A3259" i="2"/>
  <c r="A3258" i="2"/>
  <c r="A3257" i="2"/>
  <c r="A3256" i="2"/>
  <c r="A3255" i="2"/>
  <c r="A3254" i="2"/>
  <c r="A3253" i="2"/>
  <c r="A3252" i="2"/>
  <c r="A3251" i="2"/>
  <c r="A3250" i="2"/>
  <c r="A3249" i="2"/>
  <c r="A3248" i="2"/>
  <c r="A3247" i="2"/>
  <c r="A3246" i="2"/>
  <c r="A3245" i="2"/>
  <c r="A3244" i="2"/>
  <c r="A3243" i="2"/>
  <c r="A3242" i="2"/>
  <c r="A3241" i="2"/>
  <c r="A3240" i="2"/>
  <c r="A3239" i="2"/>
  <c r="A3238" i="2"/>
  <c r="A3237" i="2"/>
  <c r="A3236" i="2"/>
  <c r="A3235" i="2"/>
  <c r="A3234" i="2"/>
  <c r="A3233" i="2"/>
  <c r="A3232" i="2"/>
  <c r="A3231" i="2"/>
  <c r="A3230" i="2"/>
  <c r="A3229" i="2"/>
  <c r="A3228" i="2"/>
  <c r="A3227" i="2"/>
  <c r="A3226" i="2"/>
  <c r="A3225" i="2"/>
  <c r="A3224" i="2"/>
  <c r="A3223" i="2"/>
  <c r="A3222" i="2"/>
  <c r="A3221" i="2"/>
  <c r="A3220" i="2"/>
  <c r="A3219" i="2"/>
  <c r="B32" i="15" l="1"/>
  <c r="B34" i="15"/>
  <c r="B23" i="15"/>
  <c r="B33" i="15"/>
  <c r="B28" i="15"/>
  <c r="B25" i="15"/>
  <c r="B30" i="15"/>
  <c r="B24" i="15"/>
  <c r="B27" i="15"/>
  <c r="B31" i="15"/>
  <c r="B26" i="15"/>
  <c r="B22" i="15"/>
  <c r="B29" i="15"/>
  <c r="E21" i="14"/>
  <c r="E23" i="14"/>
  <c r="E42" i="14"/>
  <c r="E46" i="14"/>
  <c r="E22" i="14"/>
  <c r="E27" i="14"/>
  <c r="E31" i="14"/>
  <c r="E35" i="14"/>
  <c r="E39" i="14"/>
  <c r="E48" i="14"/>
  <c r="E25" i="14"/>
  <c r="E37" i="14"/>
  <c r="E41" i="14"/>
  <c r="E49" i="14"/>
  <c r="E38" i="14"/>
  <c r="E43" i="14"/>
  <c r="E47" i="14"/>
  <c r="E24" i="14"/>
  <c r="E28" i="14"/>
  <c r="E32" i="14"/>
  <c r="E36" i="14"/>
  <c r="E40" i="14"/>
  <c r="E44" i="14"/>
  <c r="E29" i="14"/>
  <c r="E33" i="14"/>
  <c r="E45" i="14"/>
  <c r="E26" i="14"/>
  <c r="E30" i="14"/>
  <c r="E34" i="14"/>
  <c r="D3" i="1"/>
  <c r="D34" i="1"/>
  <c r="D30" i="1"/>
  <c r="D26" i="1"/>
  <c r="D22" i="1"/>
  <c r="D18" i="1"/>
  <c r="D14" i="1"/>
  <c r="D10" i="1"/>
  <c r="D33" i="1"/>
  <c r="D29" i="1"/>
  <c r="D25" i="1"/>
  <c r="D21" i="1"/>
  <c r="D17" i="1"/>
  <c r="D13" i="1"/>
  <c r="D9" i="1"/>
  <c r="D5" i="1"/>
  <c r="D6" i="1"/>
  <c r="D32" i="1"/>
  <c r="D28" i="1"/>
  <c r="D24" i="1"/>
  <c r="D20" i="1"/>
  <c r="D16" i="1"/>
  <c r="D12" i="1"/>
  <c r="D8" i="1"/>
  <c r="D4" i="1"/>
  <c r="D2" i="1"/>
  <c r="D31" i="1"/>
  <c r="D27" i="1"/>
  <c r="D23" i="1"/>
  <c r="D19" i="1"/>
  <c r="D15" i="1"/>
  <c r="D11" i="1"/>
  <c r="D7" i="1"/>
  <c r="E7" i="9"/>
  <c r="E7" i="8"/>
  <c r="D7" i="7"/>
  <c r="L6" i="7" l="1"/>
  <c r="B6" i="7"/>
  <c r="L5" i="7"/>
  <c r="B5" i="7"/>
  <c r="G4" i="7"/>
  <c r="B4" i="7"/>
  <c r="M3" i="7"/>
  <c r="G3" i="7"/>
  <c r="B3" i="7"/>
  <c r="B2" i="7"/>
  <c r="C21" i="8"/>
  <c r="H20" i="8"/>
  <c r="C20" i="8"/>
  <c r="F18" i="8"/>
  <c r="M6" i="8"/>
  <c r="C6" i="8"/>
  <c r="M5" i="8"/>
  <c r="C5" i="8"/>
  <c r="H4" i="8"/>
  <c r="C4" i="8"/>
  <c r="N3" i="8"/>
  <c r="H3" i="8"/>
  <c r="C3" i="8"/>
  <c r="C2" i="8"/>
  <c r="C21" i="9"/>
  <c r="H20" i="9"/>
  <c r="C20" i="9"/>
  <c r="F18" i="9"/>
  <c r="M6" i="9"/>
  <c r="C6" i="9"/>
  <c r="M5" i="9"/>
  <c r="C5" i="9"/>
  <c r="H4" i="9"/>
  <c r="C4" i="9"/>
  <c r="N3" i="9"/>
  <c r="H3" i="9"/>
  <c r="C3" i="9"/>
  <c r="C2" i="9"/>
  <c r="K183" i="3" l="1"/>
  <c r="K184" i="3"/>
  <c r="K185" i="3"/>
  <c r="K186" i="3"/>
  <c r="K187" i="3"/>
  <c r="K188" i="3"/>
  <c r="K189" i="3"/>
  <c r="K190" i="3"/>
  <c r="K191" i="3"/>
  <c r="K192" i="3"/>
  <c r="K193" i="3"/>
  <c r="K194" i="3"/>
  <c r="K195" i="3"/>
  <c r="K196" i="3"/>
  <c r="K197" i="3"/>
  <c r="K198" i="3"/>
  <c r="K199" i="3"/>
  <c r="K200" i="3"/>
  <c r="K201" i="3"/>
  <c r="K202" i="3"/>
  <c r="K203" i="3"/>
  <c r="K204" i="3"/>
  <c r="K205" i="3"/>
  <c r="K206" i="3"/>
  <c r="K207" i="3"/>
  <c r="K208" i="3"/>
  <c r="K209" i="3"/>
  <c r="K210" i="3"/>
  <c r="K211" i="3"/>
  <c r="K3" i="3"/>
  <c r="K25" i="3"/>
  <c r="K24" i="3"/>
  <c r="K23" i="3"/>
  <c r="K22" i="3"/>
  <c r="K21" i="3"/>
  <c r="K20" i="3"/>
  <c r="K19" i="3"/>
  <c r="K18" i="3"/>
  <c r="K17" i="3"/>
  <c r="K16" i="3"/>
  <c r="K15" i="3"/>
  <c r="K14" i="3"/>
  <c r="K13" i="3"/>
  <c r="K12" i="3"/>
  <c r="K11" i="3"/>
  <c r="K10" i="3"/>
  <c r="K9" i="3"/>
  <c r="K8" i="3"/>
  <c r="K7" i="3"/>
  <c r="K6" i="3"/>
  <c r="K5" i="3"/>
  <c r="K4" i="3"/>
  <c r="A35" i="1" l="1"/>
  <c r="G35" i="1" l="1"/>
</calcChain>
</file>

<file path=xl/comments1.xml><?xml version="1.0" encoding="utf-8"?>
<comments xmlns="http://schemas.openxmlformats.org/spreadsheetml/2006/main">
  <authors>
    <author>electronica</author>
  </authors>
  <commentList>
    <comment ref="W2" authorId="0" shapeId="0">
      <text>
        <r>
          <rPr>
            <b/>
            <sz val="9"/>
            <color indexed="81"/>
            <rFont val="Tahoma"/>
            <family val="2"/>
          </rPr>
          <t>Tenés que escribir qué viajante, sucursal o vendedor sos.</t>
        </r>
      </text>
    </comment>
  </commentList>
</comments>
</file>

<file path=xl/sharedStrings.xml><?xml version="1.0" encoding="utf-8"?>
<sst xmlns="http://schemas.openxmlformats.org/spreadsheetml/2006/main" count="22415" uniqueCount="14215">
  <si>
    <t>DESCRIPCION</t>
  </si>
  <si>
    <t>-COMPRAS</t>
  </si>
  <si>
    <t>18</t>
  </si>
  <si>
    <t>17</t>
  </si>
  <si>
    <t>-GASTOS NOGRA</t>
  </si>
  <si>
    <t>GASTOS NO GRAVADOS</t>
  </si>
  <si>
    <t>0000120</t>
  </si>
  <si>
    <t>VTC BORCEGUI</t>
  </si>
  <si>
    <t>0000123</t>
  </si>
  <si>
    <t>CASQ VTC</t>
  </si>
  <si>
    <t>0000124</t>
  </si>
  <si>
    <t>VTC CHOMBA BICOLOR</t>
  </si>
  <si>
    <t>15</t>
  </si>
  <si>
    <t>0000126</t>
  </si>
  <si>
    <t>VTC CINTURON AMERICANO</t>
  </si>
  <si>
    <t>0000127</t>
  </si>
  <si>
    <t>VTC BOMB AMERICANA NEGRA</t>
  </si>
  <si>
    <t>0000128</t>
  </si>
  <si>
    <t>VTC CAMPERA PALMAJ</t>
  </si>
  <si>
    <t>0000129</t>
  </si>
  <si>
    <t>VTC BORCEGUI OFERTA 39/44</t>
  </si>
  <si>
    <t>01</t>
  </si>
  <si>
    <t>01 CENTAVO</t>
  </si>
  <si>
    <t>1</t>
  </si>
  <si>
    <t>PARA ANULAR FCS</t>
  </si>
  <si>
    <t>10</t>
  </si>
  <si>
    <t>RECARGO POR PAGO TARJETA DE CREDITO</t>
  </si>
  <si>
    <t>100</t>
  </si>
  <si>
    <t>1000040</t>
  </si>
  <si>
    <t>BOLSO TRANSPORTE</t>
  </si>
  <si>
    <t>1000195</t>
  </si>
  <si>
    <t>AGEN ENO ESC CHICO RER</t>
  </si>
  <si>
    <t>1000198</t>
  </si>
  <si>
    <t>AGEN ENO BANDERA RER</t>
  </si>
  <si>
    <t>1000256</t>
  </si>
  <si>
    <t>MORRAL LMGE AZUL RER</t>
  </si>
  <si>
    <t>16</t>
  </si>
  <si>
    <t>1000257</t>
  </si>
  <si>
    <t>MORRAL LMGE VERDE RER</t>
  </si>
  <si>
    <t>1000798</t>
  </si>
  <si>
    <t>MAXI MALL BORD LOGO FRTE IZ BI</t>
  </si>
  <si>
    <t>19</t>
  </si>
  <si>
    <t>1000799</t>
  </si>
  <si>
    <t>AGEN SEGURYTEC BORD ESCUDO GRANDE BI</t>
  </si>
  <si>
    <t>1000800</t>
  </si>
  <si>
    <t>AGEN SEGURYTEC BORD GORRA RER</t>
  </si>
  <si>
    <t>20</t>
  </si>
  <si>
    <t>1000802</t>
  </si>
  <si>
    <t>AGEN SEGURYTEC APLIQ PALABRA SEGURYTE BI</t>
  </si>
  <si>
    <t>1000803</t>
  </si>
  <si>
    <t>AGEN SEGURYTEC BANDERA PARA CAMISA BI</t>
  </si>
  <si>
    <t>1000808</t>
  </si>
  <si>
    <t>AGEN SEGURYTEC ESC CHICO PARA CAMISA BI</t>
  </si>
  <si>
    <t>1000809</t>
  </si>
  <si>
    <t>1000810</t>
  </si>
  <si>
    <t>AGEN SEGURYTEC HOMBRERAS BI</t>
  </si>
  <si>
    <t>1000811</t>
  </si>
  <si>
    <t>AGEN SEGURYTEC APLIQUE GRANDE ESPALDA</t>
  </si>
  <si>
    <t>1000888</t>
  </si>
  <si>
    <t>AGEN OSS ESCUDO BORDADO RER</t>
  </si>
  <si>
    <t>1000950</t>
  </si>
  <si>
    <t>UNIFORME IUSP COMPLETO</t>
  </si>
  <si>
    <t>1000960</t>
  </si>
  <si>
    <t>UNIFORME GALA LMGE RER</t>
  </si>
  <si>
    <t>1000970</t>
  </si>
  <si>
    <t>KIT UNIFORME COMPLETO RER</t>
  </si>
  <si>
    <t>1000984</t>
  </si>
  <si>
    <t>AGEN. PULENTA CAMP CORT BORDA RER</t>
  </si>
  <si>
    <t>1000985</t>
  </si>
  <si>
    <t>AGEN. PULENTA CAMISA M7LARGA BORDAD RER</t>
  </si>
  <si>
    <t>1000988</t>
  </si>
  <si>
    <t>AGEN. GORRA PULENTA RER</t>
  </si>
  <si>
    <t>10BORCEG</t>
  </si>
  <si>
    <t>BORCEGUI TACTICO</t>
  </si>
  <si>
    <t>NO USAR</t>
  </si>
  <si>
    <t>10CAMPE</t>
  </si>
  <si>
    <t>CAMPERAS</t>
  </si>
  <si>
    <t>10CAPA</t>
  </si>
  <si>
    <t>CAPA DE LLUVIA</t>
  </si>
  <si>
    <t>10CINTOAM</t>
  </si>
  <si>
    <t>CINTO AMERICANO</t>
  </si>
  <si>
    <t>10TONFAYP</t>
  </si>
  <si>
    <t>TONFA Y PORTA TONFA</t>
  </si>
  <si>
    <t>1110000</t>
  </si>
  <si>
    <t>PANT NINIA 2/12 RER</t>
  </si>
  <si>
    <t>GABARDINA</t>
  </si>
  <si>
    <t>1120001</t>
  </si>
  <si>
    <t>BOMB CONDOR RIP AZUL 36/48 RER</t>
  </si>
  <si>
    <t>1120002</t>
  </si>
  <si>
    <t>BOMB CONDOR RIP AZUL 50/54 RER</t>
  </si>
  <si>
    <t>1120003</t>
  </si>
  <si>
    <t>BOMB AMER GAB AZUL 34/48 RER</t>
  </si>
  <si>
    <t>1120004</t>
  </si>
  <si>
    <t>BOMB AMER GAB AZUL 50/54 RER</t>
  </si>
  <si>
    <t>1120005</t>
  </si>
  <si>
    <t>BOMB AMER GAB AZUL 56/60 RER</t>
  </si>
  <si>
    <t>1120006</t>
  </si>
  <si>
    <t>BOMB AMER GAB AZUL 62/66 RER</t>
  </si>
  <si>
    <t>1120007</t>
  </si>
  <si>
    <t>BOMB CONDOR RIP AZUL 56/60 RER</t>
  </si>
  <si>
    <t>1120008</t>
  </si>
  <si>
    <t>BOMB CONDOR RIP AZUL 62/66 RER</t>
  </si>
  <si>
    <t>1120009</t>
  </si>
  <si>
    <t>BOMB CLAS SAT TERM SATIN/POLAR  34/48</t>
  </si>
  <si>
    <t>1120010</t>
  </si>
  <si>
    <t>BOMB CLAS SAT TERM SATIN/POLAR 50/54</t>
  </si>
  <si>
    <t>1120011</t>
  </si>
  <si>
    <t>1120012</t>
  </si>
  <si>
    <t>1120013</t>
  </si>
  <si>
    <t>BOMB AMER GAB AZUL 68/72 RER</t>
  </si>
  <si>
    <t>1120014</t>
  </si>
  <si>
    <t>BOMB CONDOR RIP MULTICAM 34/48 RER</t>
  </si>
  <si>
    <t>1120015</t>
  </si>
  <si>
    <t>BOMB CONDOR RIP MULTICAM 50/54 RER</t>
  </si>
  <si>
    <t>1120016</t>
  </si>
  <si>
    <t>BOMB CONDOR RIP MULTICAM 56/60 RER</t>
  </si>
  <si>
    <t>1120017</t>
  </si>
  <si>
    <t>BOMB CONDOR RIP MULTICAM 62/66 RER</t>
  </si>
  <si>
    <t>1120020</t>
  </si>
  <si>
    <t>BOMB NINO RIP MIMETICA</t>
  </si>
  <si>
    <t>21</t>
  </si>
  <si>
    <t>1120024</t>
  </si>
  <si>
    <t>BOMB AMER GAB PETREO 56/60</t>
  </si>
  <si>
    <t>1120025</t>
  </si>
  <si>
    <t>BOMB AMER GAB PETREO 62/66 RER</t>
  </si>
  <si>
    <t>1120050</t>
  </si>
  <si>
    <t>BOMB JAZAK RIP REQUISA 34/48 RER</t>
  </si>
  <si>
    <t>1120051</t>
  </si>
  <si>
    <t>BOMB JAZAK RIP REQUISA 50/54 RER</t>
  </si>
  <si>
    <t>1120052</t>
  </si>
  <si>
    <t>BOMB JAZAK RIP REQUISA 56/60 RER</t>
  </si>
  <si>
    <t>1120053</t>
  </si>
  <si>
    <t>BOMB JAZAK RIP REQUISA 62/66 RER</t>
  </si>
  <si>
    <t>1120055</t>
  </si>
  <si>
    <t>BOMB JAZAK RIP BEIGE 34/48 RER</t>
  </si>
  <si>
    <t>1120056</t>
  </si>
  <si>
    <t>BOMB JAZAK RIP BEIGE 50/54 RER</t>
  </si>
  <si>
    <t>1120057</t>
  </si>
  <si>
    <t>BOMB JAZAK RIP BEIGE 56/60 RER</t>
  </si>
  <si>
    <t>1120058</t>
  </si>
  <si>
    <t>BOMB JAZAK RIP BEIGE 62/66 RER</t>
  </si>
  <si>
    <t>1120060</t>
  </si>
  <si>
    <t>BOMB JAZAK RIP GRIS 34/48 RER</t>
  </si>
  <si>
    <t>1120061</t>
  </si>
  <si>
    <t>BOMB JAZAK RIP GRIS 50/54 RER</t>
  </si>
  <si>
    <t>1120062</t>
  </si>
  <si>
    <t>BOMB JAZAK RIP GRIS 56/60 RER</t>
  </si>
  <si>
    <t>1120063</t>
  </si>
  <si>
    <t>BOMB JAZAK RIP GRIS 62/64 RER</t>
  </si>
  <si>
    <t>1120064</t>
  </si>
  <si>
    <t>BOMB JAZAK RIP DESERTICO 34/38 RER</t>
  </si>
  <si>
    <t>1120065</t>
  </si>
  <si>
    <t>BOMB JAZAK RIP DESERTICO 50/54 RER</t>
  </si>
  <si>
    <t>1120066</t>
  </si>
  <si>
    <t>BOMB JAZAK RIP DESERTICO 56/60 RER</t>
  </si>
  <si>
    <t>1120067</t>
  </si>
  <si>
    <t>BOMB JAZAK RIP DESERTICO 62/66 RER</t>
  </si>
  <si>
    <t>1120068</t>
  </si>
  <si>
    <t>BOMB JAZAK RIP DIGITAL BEIGE 34/48 RER</t>
  </si>
  <si>
    <t>1120069</t>
  </si>
  <si>
    <t>BOMB JAZAK RIP DIGITAL BEIGE 50/54 RER</t>
  </si>
  <si>
    <t>1120070</t>
  </si>
  <si>
    <t>BOMB JAZAK RIP DIGITAL BEIGE 56/60 RER</t>
  </si>
  <si>
    <t>1120071</t>
  </si>
  <si>
    <t>BOMB JAZAK RIP DIGITAL BEIGE 62/66 RER</t>
  </si>
  <si>
    <t>1120072</t>
  </si>
  <si>
    <t>BOMB JAZAK RIP PITON 34/48</t>
  </si>
  <si>
    <t>1120073</t>
  </si>
  <si>
    <t>BOMB JAZAK RIP PITON 50/54</t>
  </si>
  <si>
    <t>1120074</t>
  </si>
  <si>
    <t>BOMB JAZAK RIP PITON 56/60</t>
  </si>
  <si>
    <t>1120075</t>
  </si>
  <si>
    <t>BOMB JAZAK RIP PITON 62/66</t>
  </si>
  <si>
    <t>1120076</t>
  </si>
  <si>
    <t>BOMB CLAS BOLS RURAL DIGITAL MODA 34/48</t>
  </si>
  <si>
    <t>1120077</t>
  </si>
  <si>
    <t>BOMB CLAS BOLS RURAL DIGITAL MODA 50/54</t>
  </si>
  <si>
    <t>1120078</t>
  </si>
  <si>
    <t>BOMB CLAS BOLS RURAL DIGITAL MODA 56/60</t>
  </si>
  <si>
    <t>1120079</t>
  </si>
  <si>
    <t>BOMB CLAS BOLS RURAL DIGITAL MODA 62/66</t>
  </si>
  <si>
    <t>1120106</t>
  </si>
  <si>
    <t>BOMB AMER GAB GRIS 34/48 RER</t>
  </si>
  <si>
    <t>1120107</t>
  </si>
  <si>
    <t>BOMB AMER GAB GRIS 50/54 RER</t>
  </si>
  <si>
    <t>1120110</t>
  </si>
  <si>
    <t>BOMB AMER GAB GRIS 56/60 RER</t>
  </si>
  <si>
    <t>1120111</t>
  </si>
  <si>
    <t>BOMB AMER GAB GRIS 62/66 RER</t>
  </si>
  <si>
    <t>1120112</t>
  </si>
  <si>
    <t>BOMB CLAS RIP PETREO DAMA 56/60</t>
  </si>
  <si>
    <t>1120125</t>
  </si>
  <si>
    <t>BOMB CLA SARGA MEC NEGRA</t>
  </si>
  <si>
    <t>1120126</t>
  </si>
  <si>
    <t>BOMB CLA SARGA MEC NEGRA 50/54</t>
  </si>
  <si>
    <t>1120130</t>
  </si>
  <si>
    <t>BOMB CLAS GAB PENIT FEDERAL 34/48 RER</t>
  </si>
  <si>
    <t>1120131</t>
  </si>
  <si>
    <t>BOMB CLAS GAB PENIT FEDERAL 50/54 RER</t>
  </si>
  <si>
    <t>1120132</t>
  </si>
  <si>
    <t>BOMB CLAS GAB PENIT FEDERAL 56/60 RER</t>
  </si>
  <si>
    <t>1120133</t>
  </si>
  <si>
    <t>BOMB CLAS GAB PENIT FEDERAL 62/66 RER</t>
  </si>
  <si>
    <t>1120136</t>
  </si>
  <si>
    <t>PANT TERMICOS SPINIT STX NEGRO RER</t>
  </si>
  <si>
    <t>1120140</t>
  </si>
  <si>
    <t>BOMB CLAS GAB GRIS 34/48 RER</t>
  </si>
  <si>
    <t>1120147</t>
  </si>
  <si>
    <t>BOMB JAZAK RIP TIGER VERDE 34/48 RER</t>
  </si>
  <si>
    <t>1120148</t>
  </si>
  <si>
    <t>BOMB JAZAK RIP TIGER VERDE 50/54 RER</t>
  </si>
  <si>
    <t>1120149</t>
  </si>
  <si>
    <t>BOMB JAZAK RIP TIGER VERDE 56/60 RER</t>
  </si>
  <si>
    <t>1120150</t>
  </si>
  <si>
    <t>BOMB CLAS GAB GRIS 50/54 RER</t>
  </si>
  <si>
    <t>1120160</t>
  </si>
  <si>
    <t>BOMB CLAS GAB GRIS 56/60 RER</t>
  </si>
  <si>
    <t>1120165</t>
  </si>
  <si>
    <t>BOMB AMER RIP DIGITAL ACU 34/48 RER</t>
  </si>
  <si>
    <t>1120166</t>
  </si>
  <si>
    <t>BOMB AMER RIP DIGITAL ACU 50/54 RER</t>
  </si>
  <si>
    <t>1120167</t>
  </si>
  <si>
    <t>BOMB AMER RIP DIGITAL ACU 56/60 RER</t>
  </si>
  <si>
    <t>1120168</t>
  </si>
  <si>
    <t>BOMB AMER RIP DIGITAL ACU 62/66 RER</t>
  </si>
  <si>
    <t>1120170</t>
  </si>
  <si>
    <t>BOMB CLAS GAB NEGRA 34/48 RER</t>
  </si>
  <si>
    <t>1120173</t>
  </si>
  <si>
    <t>BOMB TERMICA AZUL 36/48 RER</t>
  </si>
  <si>
    <t>1120174</t>
  </si>
  <si>
    <t>BOMB TERMICA AZUL 50/54 RER</t>
  </si>
  <si>
    <t>1120175</t>
  </si>
  <si>
    <t>BOMB CLAS GAB GRIS 62/66 RER</t>
  </si>
  <si>
    <t>1120176</t>
  </si>
  <si>
    <t>BOMB TERMICA AZUL 56/60 RER</t>
  </si>
  <si>
    <t>1120177</t>
  </si>
  <si>
    <t>BOMB TERMICA AZUL 62/66 RER</t>
  </si>
  <si>
    <t>1120180</t>
  </si>
  <si>
    <t>BOMB CLAS GAB NEGRA 50/54 RER</t>
  </si>
  <si>
    <t>1120182</t>
  </si>
  <si>
    <t>BOMB CLAS RIP AZUL NEUQUEN 34/48 RER</t>
  </si>
  <si>
    <t>1120183</t>
  </si>
  <si>
    <t>BOMB CLAS RIP AZUL NEUQUEN 50/54 RER</t>
  </si>
  <si>
    <t>1120184</t>
  </si>
  <si>
    <t>BOMB CLAS RIP AZUL NEUQUEN 56/60 RER</t>
  </si>
  <si>
    <t>1120185</t>
  </si>
  <si>
    <t>BOMB CLAS RIP AZUL NEUQUEN 62/66 RER</t>
  </si>
  <si>
    <t>1120188</t>
  </si>
  <si>
    <t>BOMB JAZAK GAB AZUL 56/60 RER</t>
  </si>
  <si>
    <t>1120190</t>
  </si>
  <si>
    <t>BOMB CLAS GAB NEGRA 56/60 RER</t>
  </si>
  <si>
    <t>1120191</t>
  </si>
  <si>
    <t>BOMB JAZAK RIP INFANTERIA 34/48 RER</t>
  </si>
  <si>
    <t>1120192</t>
  </si>
  <si>
    <t>BOMB JAZAK RIP INFANTERIA 50/54 RER</t>
  </si>
  <si>
    <t>1120193</t>
  </si>
  <si>
    <t>BOMB JAZAK RIP INFANTERIA 56/60 RER</t>
  </si>
  <si>
    <t>1120194</t>
  </si>
  <si>
    <t>BOMB JAZAK RIP INFANTERIA 62/66 RER</t>
  </si>
  <si>
    <t>1120195</t>
  </si>
  <si>
    <t>BOMB CLAS GAB NEGRA 62/66 RER</t>
  </si>
  <si>
    <t>1120196</t>
  </si>
  <si>
    <t>BOMB JAZAK GAB AZUL 34/48 RER</t>
  </si>
  <si>
    <t>1120197</t>
  </si>
  <si>
    <t>BOMB JAZAK GAB AZUL 50/54 RER</t>
  </si>
  <si>
    <t>1120199</t>
  </si>
  <si>
    <t>BOMB JAZAK RIP TIGER VERDE 62/66 RER</t>
  </si>
  <si>
    <t>1120200</t>
  </si>
  <si>
    <t>BOMB JAZAK GAB AZUL 62/66 RER</t>
  </si>
  <si>
    <t>1120201</t>
  </si>
  <si>
    <t>BOMB JAZAK GAB NEGRA 34/48 RER</t>
  </si>
  <si>
    <t>1120202</t>
  </si>
  <si>
    <t>BOMB JAZAK GAB NEGRA 50/54 RER</t>
  </si>
  <si>
    <t>1120203</t>
  </si>
  <si>
    <t>BOMB JAZAK GAB NEGRA 56/60 RER</t>
  </si>
  <si>
    <t>1120204</t>
  </si>
  <si>
    <t>BOMB JAZAK GAB NEGRA 62/64 RER</t>
  </si>
  <si>
    <t>1120206</t>
  </si>
  <si>
    <t>BOMB AMER GAB NEGRA 34/48 RER</t>
  </si>
  <si>
    <t>1120207</t>
  </si>
  <si>
    <t>BOMB AMER GAB NEGRA 50/54 RER</t>
  </si>
  <si>
    <t>1120208</t>
  </si>
  <si>
    <t>BOMB AMER GAB NEGRA 56/60 RER</t>
  </si>
  <si>
    <t>1120209</t>
  </si>
  <si>
    <t>BOMB AMER GAB NEGRA 62/66 RER</t>
  </si>
  <si>
    <t>1120210</t>
  </si>
  <si>
    <t>BOMB JAZAK RIP DIG INFANTERIA 34/48 RER</t>
  </si>
  <si>
    <t>1120211</t>
  </si>
  <si>
    <t>BOMB JAZAK RIP DIG INFANTERIA 50/54 RER</t>
  </si>
  <si>
    <t>1120212</t>
  </si>
  <si>
    <t>BOMB JAZAK RIP DIG INFANTERIA 56/60 RER</t>
  </si>
  <si>
    <t>1120213</t>
  </si>
  <si>
    <t>BOMB JAZAK RIP DIG INFANTERIA 62/66 RER</t>
  </si>
  <si>
    <t>1120214</t>
  </si>
  <si>
    <t>BOMB JAZAK RIP DIG GRIS 34/48 RER</t>
  </si>
  <si>
    <t>1120215</t>
  </si>
  <si>
    <t>BOMB JAZAK RIP DIG GRIS 50/54 RER</t>
  </si>
  <si>
    <t>1120216</t>
  </si>
  <si>
    <t>BOMB JAZAK RIP DIG GRIS 56/60 RER</t>
  </si>
  <si>
    <t>1120217</t>
  </si>
  <si>
    <t>BOMB JAZAK RIP DIG GRIS 62/66 RER</t>
  </si>
  <si>
    <t>1120220</t>
  </si>
  <si>
    <t>BOMB AMER RIP TIGER VERDE 34/48 RER</t>
  </si>
  <si>
    <t>1120221</t>
  </si>
  <si>
    <t>BOMB AMER RIP TIGER VERDE 50/54 RER</t>
  </si>
  <si>
    <t>1120222</t>
  </si>
  <si>
    <t>BOMB AMER RIP TIGER VERDE 56/60 RER</t>
  </si>
  <si>
    <t>1120223</t>
  </si>
  <si>
    <t>BOMB AMER RIP TIGER VERDE 62/66 RER</t>
  </si>
  <si>
    <t>1120230</t>
  </si>
  <si>
    <t>PANT GRIS TOPO 34/48 RER</t>
  </si>
  <si>
    <t>1120231</t>
  </si>
  <si>
    <t>PANT GRIS TOPO 50/54 RER</t>
  </si>
  <si>
    <t>1120232</t>
  </si>
  <si>
    <t>PANT GRIS TOPO 56/60 RER</t>
  </si>
  <si>
    <t>1120233</t>
  </si>
  <si>
    <t>BOMB JAZAK RIP MULTICAM BLACK 34/48</t>
  </si>
  <si>
    <t>1120234</t>
  </si>
  <si>
    <t>BOMB JAZAK RIP MULTICAM BLACK 50/54</t>
  </si>
  <si>
    <t>1120235</t>
  </si>
  <si>
    <t>BOMB JAZAK RIP MULTICAM BLACK 56/60</t>
  </si>
  <si>
    <t>1120236</t>
  </si>
  <si>
    <t>BOMB JAZAK RIP MULTICAM BLACK 62/66</t>
  </si>
  <si>
    <t>1120238</t>
  </si>
  <si>
    <t>PANT NEGRO TROPICAL 34/48 RER</t>
  </si>
  <si>
    <t>1120239</t>
  </si>
  <si>
    <t>PANT AZUL FRIZA DEPORTIVA</t>
  </si>
  <si>
    <t>1120240</t>
  </si>
  <si>
    <t>PANT LARGO DE GIMNASIA AZUL RER</t>
  </si>
  <si>
    <t>1120241</t>
  </si>
  <si>
    <t>BOMB CLAS GAB BOLS RURAL AZUL 34/48</t>
  </si>
  <si>
    <t>1120242</t>
  </si>
  <si>
    <t>BOMB CLAS GAB BOLS RURAL AZUL 50/54</t>
  </si>
  <si>
    <t>1120243</t>
  </si>
  <si>
    <t>BOMB CLAS GAB BOLS RURAL AZUL 56/60</t>
  </si>
  <si>
    <t>1120246</t>
  </si>
  <si>
    <t>BOMB CLAS GAB AZUL 50/54 RER</t>
  </si>
  <si>
    <t>1120246B</t>
  </si>
  <si>
    <t>BOMB CLAS GAB AZUL 50/54</t>
  </si>
  <si>
    <t>1120247</t>
  </si>
  <si>
    <t>BOMB CLAS GAB AZUL 56/60 RER</t>
  </si>
  <si>
    <t>1120247B</t>
  </si>
  <si>
    <t>BOMB CLAS GAB AZUL 56/60</t>
  </si>
  <si>
    <t>1120248</t>
  </si>
  <si>
    <t>BOMB CLAS GAB AZUL 62/68 RER</t>
  </si>
  <si>
    <t>1120250</t>
  </si>
  <si>
    <t>BOMB AMER GAB PETREO 34/48 RER</t>
  </si>
  <si>
    <t>1120251</t>
  </si>
  <si>
    <t>BOMB AMER GAB PETREO 50/54</t>
  </si>
  <si>
    <t>1120263</t>
  </si>
  <si>
    <t>BOMB HAGANA RIP MULTICAM EJERC 34/48 RER</t>
  </si>
  <si>
    <t>1120264</t>
  </si>
  <si>
    <t>BOMB HAGANA RIP MULTICAM EJERC 50/54 RER</t>
  </si>
  <si>
    <t>1120265</t>
  </si>
  <si>
    <t>BOMB HAGANA RIP MULTICAM EJERC 56/60 RER</t>
  </si>
  <si>
    <t>1120266</t>
  </si>
  <si>
    <t>BOMB HAGANA RIP MULTICAM EJERC 62/66 RER</t>
  </si>
  <si>
    <t>1120267</t>
  </si>
  <si>
    <t>BOMB HAGANA RIP AZUL 36/48 RER</t>
  </si>
  <si>
    <t>1120268</t>
  </si>
  <si>
    <t>BOMB HAGANA RIP AZUL 50/54 RER</t>
  </si>
  <si>
    <t>1120269</t>
  </si>
  <si>
    <t>BOMB HAGANA RIP AZUL 56/60 RER</t>
  </si>
  <si>
    <t>1120270</t>
  </si>
  <si>
    <t>BOMB HAGANA RIP AZUL 62/66 RER</t>
  </si>
  <si>
    <t>1120271</t>
  </si>
  <si>
    <t>BOMB HAGANA RIP NEGRA 36/48 RER</t>
  </si>
  <si>
    <t>1120272</t>
  </si>
  <si>
    <t>BOMB HAGANA RIP NEGRA 50/54 RER</t>
  </si>
  <si>
    <t>1120273</t>
  </si>
  <si>
    <t>BOMB HAGANA RIP NEGRA 56/60 RER</t>
  </si>
  <si>
    <t>1120274</t>
  </si>
  <si>
    <t>BOMB HAGANA RIP NEGRA 62/66 RER</t>
  </si>
  <si>
    <t>1120275</t>
  </si>
  <si>
    <t>BOMB HAGANA RIP DIGITAL VERDE 36/48 RER</t>
  </si>
  <si>
    <t>1120276</t>
  </si>
  <si>
    <t>BOMB HAGANA RIP DIGITAL VERDE 50/54 RER</t>
  </si>
  <si>
    <t>1120277</t>
  </si>
  <si>
    <t>BOMB HAGANA RIP DIGITAL VERDE 56/60 RER</t>
  </si>
  <si>
    <t>1120278</t>
  </si>
  <si>
    <t>BOMB HAGANA RIP DIGITAL VERDE 62/66 RER</t>
  </si>
  <si>
    <t>1120280</t>
  </si>
  <si>
    <t>PANT NEGRO GABARDINA 34/48 RER</t>
  </si>
  <si>
    <t>1120285</t>
  </si>
  <si>
    <t>BOMB CLAS GAB AZUL 36/48 RER</t>
  </si>
  <si>
    <t>1120285B</t>
  </si>
  <si>
    <t>BOMB CLAS GAB AZUL 36/48</t>
  </si>
  <si>
    <t>1120286</t>
  </si>
  <si>
    <t>BOMB CLAS GAB PETREO 34/48 RER</t>
  </si>
  <si>
    <t>1120287</t>
  </si>
  <si>
    <t>BOMB CLAS GAB PETREO 50/54 RER</t>
  </si>
  <si>
    <t>1120288</t>
  </si>
  <si>
    <t>BOMB CLAS GAB PETREO 56/60 RER</t>
  </si>
  <si>
    <t>1120289</t>
  </si>
  <si>
    <t>BOMB CLAS GAB PETREO 62/66</t>
  </si>
  <si>
    <t>1120290</t>
  </si>
  <si>
    <t>BOMB CLAS GAB BEIGE 34/48 RER</t>
  </si>
  <si>
    <t>1120291</t>
  </si>
  <si>
    <t>BOMB CLAS GAB BEIGE 50/54 RER</t>
  </si>
  <si>
    <t>1120292</t>
  </si>
  <si>
    <t>BOMB CLAS GAB BEIGE 56/60 RER</t>
  </si>
  <si>
    <t>1120293</t>
  </si>
  <si>
    <t>BOMB CLAS GAB BEIGE 62/66 RER</t>
  </si>
  <si>
    <t>1120299</t>
  </si>
  <si>
    <t>BOMB CONDOR GAB BEIGE</t>
  </si>
  <si>
    <t>1120300</t>
  </si>
  <si>
    <t>BOMB CLAS RIP PETREO 34/48 RER</t>
  </si>
  <si>
    <t>1120301</t>
  </si>
  <si>
    <t>BOMB CLAS RIP PETREO 50/54 RER</t>
  </si>
  <si>
    <t>1120302</t>
  </si>
  <si>
    <t>BOMB CLAS RIP PETREO 56/60 RER</t>
  </si>
  <si>
    <t>1120303</t>
  </si>
  <si>
    <t>BOMB CLAS RIP PETREO 62/66</t>
  </si>
  <si>
    <t>1120305</t>
  </si>
  <si>
    <t>1120306</t>
  </si>
  <si>
    <t>1120307</t>
  </si>
  <si>
    <t>1120310</t>
  </si>
  <si>
    <t>BOMB CLAS RIP PETREO DAMA 34/48 RER</t>
  </si>
  <si>
    <t>1120311</t>
  </si>
  <si>
    <t>BOMB CLAS RIP PETREO DAMA 50/54</t>
  </si>
  <si>
    <t>1120312</t>
  </si>
  <si>
    <t>1120313</t>
  </si>
  <si>
    <t>BOMB CLAS RIP PETREO DAMA 62/66</t>
  </si>
  <si>
    <t>1120315</t>
  </si>
  <si>
    <t>BOMB CLAS RIP DESERTICO 34/48 RER</t>
  </si>
  <si>
    <t>1120316</t>
  </si>
  <si>
    <t>BOMB CLAS RIP DESERTICO 50/54 RER</t>
  </si>
  <si>
    <t>1120317</t>
  </si>
  <si>
    <t>BOMB CLAS RIP DESERTICO 56/60 RER</t>
  </si>
  <si>
    <t>1120318</t>
  </si>
  <si>
    <t>BOMB CLAS RIP DESERTICO 62/66 RER</t>
  </si>
  <si>
    <t>1120319</t>
  </si>
  <si>
    <t>BOMB AMER RIP DESERTICO 34/48 RER</t>
  </si>
  <si>
    <t>1120320</t>
  </si>
  <si>
    <t>BOMB AMER RIP DESERTICO 50/54 RER</t>
  </si>
  <si>
    <t>1120321</t>
  </si>
  <si>
    <t>BOMB AMER RIP DESERTICO 56/60 RER</t>
  </si>
  <si>
    <t>1120322</t>
  </si>
  <si>
    <t>BOMB AMER RIP DESERTICO 62/66 RER</t>
  </si>
  <si>
    <t>1120323</t>
  </si>
  <si>
    <t>BOMB CLAS RIP MULTICAM 34/48 RER</t>
  </si>
  <si>
    <t>1120324</t>
  </si>
  <si>
    <t>BOMB CLAS RIP MULTICAM 50/54 RER</t>
  </si>
  <si>
    <t>1120325</t>
  </si>
  <si>
    <t>BOMB CLAS RIP MULTICAM 56/60 RER</t>
  </si>
  <si>
    <t>1120326</t>
  </si>
  <si>
    <t>BOMB CLAS RIP MULTICAM 62/66 RER</t>
  </si>
  <si>
    <t>1120327</t>
  </si>
  <si>
    <t>BOMB CLAS RIP MULTICAM 68/70 RER</t>
  </si>
  <si>
    <t>1120330</t>
  </si>
  <si>
    <t>BOMB CLAS RIP GN VERDE 34/48 EM</t>
  </si>
  <si>
    <t>1120331</t>
  </si>
  <si>
    <t>BOMB CLAS RIP GN VERDE 50/54 EM</t>
  </si>
  <si>
    <t>1120332</t>
  </si>
  <si>
    <t>BOMB CLAS RIP GN VERDE 56/60</t>
  </si>
  <si>
    <t>1120333</t>
  </si>
  <si>
    <t>BOMB CLAS RIP EJERCITO 34/48 RER</t>
  </si>
  <si>
    <t>1120334</t>
  </si>
  <si>
    <t>BOMB CLAS RIP EJERCITO 50/54 RER</t>
  </si>
  <si>
    <t>1120335</t>
  </si>
  <si>
    <t>BOMB CLAS RIP EJERCITO 56/60 RER</t>
  </si>
  <si>
    <t>1120336</t>
  </si>
  <si>
    <t>BOMB CLAS RIP EJERCITO 62/66 RER</t>
  </si>
  <si>
    <t>1120350</t>
  </si>
  <si>
    <t>BOMB LINT PLAST</t>
  </si>
  <si>
    <t>1120351</t>
  </si>
  <si>
    <t>BOMB DURAC</t>
  </si>
  <si>
    <t>1120352</t>
  </si>
  <si>
    <t>LINTE CON CUCHILLO RER</t>
  </si>
  <si>
    <t>1120353</t>
  </si>
  <si>
    <t>BOMB FARO</t>
  </si>
  <si>
    <t>1120354</t>
  </si>
  <si>
    <t>BOMB LINT FLEXIBLE IMAN</t>
  </si>
  <si>
    <t>1120355</t>
  </si>
  <si>
    <t>LINTERNA RECARG C BALIZA RER</t>
  </si>
  <si>
    <t>1120367</t>
  </si>
  <si>
    <t>BOMB CLAS RIP TIGER CELESTE 56/60 RER</t>
  </si>
  <si>
    <t>1120368</t>
  </si>
  <si>
    <t>BOMB CLAS RIP TIGER CELESTE 50/54 RER</t>
  </si>
  <si>
    <t>1120369</t>
  </si>
  <si>
    <t>BOMB CLAS RIP TIGER CELESTE 34/48 RER</t>
  </si>
  <si>
    <t>1120400</t>
  </si>
  <si>
    <t>BOMB CLAS RIP AZUL CIENTIF 34/48 RER</t>
  </si>
  <si>
    <t>1120401</t>
  </si>
  <si>
    <t>BOMB CLAS RIP AZUL CIENTIF 50/54 RER</t>
  </si>
  <si>
    <t>1120402</t>
  </si>
  <si>
    <t>BOMB CLAS RIP AZUL CIENTIF 56/62 RER</t>
  </si>
  <si>
    <t>1120414</t>
  </si>
  <si>
    <t>BOMB TERMICA NEGRA 34/48 RER</t>
  </si>
  <si>
    <t>1120415</t>
  </si>
  <si>
    <t>BOMB TERMICA NEGRA 50/54 RER</t>
  </si>
  <si>
    <t>1120416</t>
  </si>
  <si>
    <t>BOMB TERMICA NEGRA 56/60 RER</t>
  </si>
  <si>
    <t>1120417</t>
  </si>
  <si>
    <t>BOMB TERMICA NEGRA 62/66 RER</t>
  </si>
  <si>
    <t>1120428</t>
  </si>
  <si>
    <t>BREECHES AZUL 34/48 RER</t>
  </si>
  <si>
    <t>1120429</t>
  </si>
  <si>
    <t>BREECHES AZUL 50/54 RER</t>
  </si>
  <si>
    <t>1120430</t>
  </si>
  <si>
    <t>BREECHES AZUL 56/60 RER</t>
  </si>
  <si>
    <t>1120431</t>
  </si>
  <si>
    <t>BREECHES AZUL 62/66 RER</t>
  </si>
  <si>
    <t>1120433</t>
  </si>
  <si>
    <t>BOMB AMER RIP AZUL NOCHE 56/60 RER</t>
  </si>
  <si>
    <t>1120434</t>
  </si>
  <si>
    <t>BOMB AMER RIP AZUL NOCHE 62/66 RER</t>
  </si>
  <si>
    <t>1120442</t>
  </si>
  <si>
    <t>BOMB CLAS RIP VERANO SJ 34/48</t>
  </si>
  <si>
    <t>1120443</t>
  </si>
  <si>
    <t>BOMB CLAS RIP VERANO SJ 50/54</t>
  </si>
  <si>
    <t>1120444</t>
  </si>
  <si>
    <t>BOMB CLAS RIP VERANO SJ 56/60</t>
  </si>
  <si>
    <t>1120445</t>
  </si>
  <si>
    <t>BOMB AMER RIP AZUL NOCHE 34/48 RER</t>
  </si>
  <si>
    <t>1120446</t>
  </si>
  <si>
    <t>BOMB AMER RIP AZUL NOCHE 50/54 RER</t>
  </si>
  <si>
    <t>1120447</t>
  </si>
  <si>
    <t>BREECHES NEGRO 62/66 RER</t>
  </si>
  <si>
    <t>1120448</t>
  </si>
  <si>
    <t>BREECHES NEGRO 56/60 RER</t>
  </si>
  <si>
    <t>1120449</t>
  </si>
  <si>
    <t>BREECHES NEGRO 50/54 RER</t>
  </si>
  <si>
    <t>1120450</t>
  </si>
  <si>
    <t>BREECHES NEGRO 34/48 RER</t>
  </si>
  <si>
    <t>1120451</t>
  </si>
  <si>
    <t>BOMB BOMBER GRIS 34/48 RER</t>
  </si>
  <si>
    <t>1120452</t>
  </si>
  <si>
    <t>BOMB BOMBER GRIS 50/54 RER</t>
  </si>
  <si>
    <t>1120453</t>
  </si>
  <si>
    <t>BOMB BOMBER GRIS 56/60 RER</t>
  </si>
  <si>
    <t>1120454</t>
  </si>
  <si>
    <t>BOMB BOMBER GRIS 62/66 RER</t>
  </si>
  <si>
    <t>1120455</t>
  </si>
  <si>
    <t>BOMB BOMBER AZUL 34/48 RER</t>
  </si>
  <si>
    <t>1120457</t>
  </si>
  <si>
    <t>BOMB BOMBER NEGRA 56/60 RER</t>
  </si>
  <si>
    <t>1120458</t>
  </si>
  <si>
    <t>BOMB BOMBER NEGRA 34/48 RER</t>
  </si>
  <si>
    <t>1120459</t>
  </si>
  <si>
    <t>BOMB BOMBER NEGRA 50/54 RER</t>
  </si>
  <si>
    <t>1120460</t>
  </si>
  <si>
    <t>BOMB BOMBER NEGRA 62/66 RER</t>
  </si>
  <si>
    <t>1120462</t>
  </si>
  <si>
    <t>BOMB CLAS RIP INFANTERIA 50/54 RER</t>
  </si>
  <si>
    <t>1120463</t>
  </si>
  <si>
    <t>BOMB CLAS RIP INFANTERIA 56/60 RER</t>
  </si>
  <si>
    <t>1120464</t>
  </si>
  <si>
    <t>BOMB CLAS RIP INFANTERIA 62/66 RER</t>
  </si>
  <si>
    <t>1120470</t>
  </si>
  <si>
    <t>BOMB JAZAK RIP TIGER CELESTE 34/48 RER</t>
  </si>
  <si>
    <t>1120471</t>
  </si>
  <si>
    <t>BOMB JAZAK RIP TIGER CELESTE 50/54 RER</t>
  </si>
  <si>
    <t>1120472</t>
  </si>
  <si>
    <t>BOMB JAZAK RIP TIGER CELESTE 56/60 RER</t>
  </si>
  <si>
    <t>1120473</t>
  </si>
  <si>
    <t>BOMB JAZAK RIP VIAL TUCUMAN  34/48 RER</t>
  </si>
  <si>
    <t>1120474</t>
  </si>
  <si>
    <t>BOMB JAZAK RIP VIAL TUCUMAN 50/54 RER</t>
  </si>
  <si>
    <t>1120475</t>
  </si>
  <si>
    <t>BOMB JAZAK RIP VIAL TUCUMAN 56/60 RER</t>
  </si>
  <si>
    <t>1120478</t>
  </si>
  <si>
    <t>BOMB CLAS RIP MIMET RURAL 56/60 RER</t>
  </si>
  <si>
    <t>1120479</t>
  </si>
  <si>
    <t>BOMB CLAS RIP MIMET RURAL 62/66 RER</t>
  </si>
  <si>
    <t>1120480</t>
  </si>
  <si>
    <t>BOMB CLAS RIP MIMET RURAL 68/72 RER</t>
  </si>
  <si>
    <t>1120485</t>
  </si>
  <si>
    <t>PANT NEGRO GABARDINA 56/60 RER</t>
  </si>
  <si>
    <t>1120486</t>
  </si>
  <si>
    <t>PANT NEGRO GABARDINA 62/66 RER</t>
  </si>
  <si>
    <t>BOMB CLAS RIP REQUISA 44</t>
  </si>
  <si>
    <t>1120495</t>
  </si>
  <si>
    <t>BOMB CLAS RIP AZUL 68/72</t>
  </si>
  <si>
    <t>1120496</t>
  </si>
  <si>
    <t>BOMB CLAS RIP AZUL 50/54 RER</t>
  </si>
  <si>
    <t>1120497</t>
  </si>
  <si>
    <t>BOMB CLAS RIP AZUL 56/60 RER</t>
  </si>
  <si>
    <t>1120498</t>
  </si>
  <si>
    <t>BOMB CLAS RIP AZUL 62/66 RER</t>
  </si>
  <si>
    <t>1120499</t>
  </si>
  <si>
    <t>BOMB CLAS RIP AZUL 36/48 RER</t>
  </si>
  <si>
    <t>1120500</t>
  </si>
  <si>
    <t>BOMB JAZAK RIP AZUL 34/48 RER</t>
  </si>
  <si>
    <t>1120501</t>
  </si>
  <si>
    <t>BOMB JAZAK RIP AZUL 50/54 RER</t>
  </si>
  <si>
    <t>1120502</t>
  </si>
  <si>
    <t>BOMB JAZAK RIP AZUL 56/60 RER</t>
  </si>
  <si>
    <t>1120503</t>
  </si>
  <si>
    <t>BOMB JAZAK RIP AZUL 62/66 RER</t>
  </si>
  <si>
    <t>1120504</t>
  </si>
  <si>
    <t>BOMB JAZAK RIP NEGRO 34/48 RER</t>
  </si>
  <si>
    <t>1120505</t>
  </si>
  <si>
    <t>BOMB JAZAK RIP NEGRO 50/54 RER</t>
  </si>
  <si>
    <t>1120506</t>
  </si>
  <si>
    <t>BOMB JAZAK RIP NEGRO 56/60 RER</t>
  </si>
  <si>
    <t>1120520</t>
  </si>
  <si>
    <t>BOMB AMER RIP EJERCITO 34/48 RER</t>
  </si>
  <si>
    <t>1120530</t>
  </si>
  <si>
    <t>BOMB JAZAK RIP EJERCITO 34/48 RER</t>
  </si>
  <si>
    <t>1120555</t>
  </si>
  <si>
    <t>BOMB JAZAK RIP ACU 34/48 RER</t>
  </si>
  <si>
    <t>1120556</t>
  </si>
  <si>
    <t>BOMB JAZAK RIP ACU 50/54</t>
  </si>
  <si>
    <t>1120557</t>
  </si>
  <si>
    <t>BOMB JAZAK RIP ACU 56/60 RER</t>
  </si>
  <si>
    <t>1120560</t>
  </si>
  <si>
    <t>1120595</t>
  </si>
  <si>
    <t>PANT TERMICOS BLANCO LSP 3XS/XXL</t>
  </si>
  <si>
    <t>1120596</t>
  </si>
  <si>
    <t>PANT TERMICOS BLANCO LSP 3XL/5XL RER</t>
  </si>
  <si>
    <t>1120598</t>
  </si>
  <si>
    <t>PANT TERMICOS COLOR LSP 3XS/XXL</t>
  </si>
  <si>
    <t>1120599</t>
  </si>
  <si>
    <t>PANT TERMICOS COLOR LSP 3XL/5XL RER</t>
  </si>
  <si>
    <t>1120600</t>
  </si>
  <si>
    <t>BOMB AMER RIP PETREO 34/48 RER</t>
  </si>
  <si>
    <t>1120601</t>
  </si>
  <si>
    <t>BOMB AMER RIP PETREO 50/54</t>
  </si>
  <si>
    <t>1120602</t>
  </si>
  <si>
    <t>BOMB AMER RIP PETREO 56/60</t>
  </si>
  <si>
    <t>1120603</t>
  </si>
  <si>
    <t>BOMB AMER RIP PETREO 62/66</t>
  </si>
  <si>
    <t>1120615</t>
  </si>
  <si>
    <t>BOMB AMER RIP BEIGE 36/48 RER</t>
  </si>
  <si>
    <t>1120616</t>
  </si>
  <si>
    <t>BOMB AMER RIP BEIGE 50/54 RER</t>
  </si>
  <si>
    <t>1120617</t>
  </si>
  <si>
    <t>BOMB AMER RIP BEIGE 56/60 RER</t>
  </si>
  <si>
    <t>1120618</t>
  </si>
  <si>
    <t>BOMB AMER RIP BEIGE 62/66 RER</t>
  </si>
  <si>
    <t>1120619</t>
  </si>
  <si>
    <t>BOMB AMER GAB BEIGE 34/48 RER</t>
  </si>
  <si>
    <t>1120620</t>
  </si>
  <si>
    <t>BOMB AMER GAB BEIGE 50/54 RER</t>
  </si>
  <si>
    <t>22</t>
  </si>
  <si>
    <t>1120621</t>
  </si>
  <si>
    <t>BOMB AMER GAB BEIGE 56/60 RER</t>
  </si>
  <si>
    <t>1120622</t>
  </si>
  <si>
    <t>BOMB AMER GAB BEIGE 62/66 RER</t>
  </si>
  <si>
    <t>1120623</t>
  </si>
  <si>
    <t>BOMB AMER RIP GRIS 34/48 RER</t>
  </si>
  <si>
    <t>1120624</t>
  </si>
  <si>
    <t>BOMB AMER RIP GRIS 50/54 RER</t>
  </si>
  <si>
    <t>1120625</t>
  </si>
  <si>
    <t>BOMB AMER RIP GRIS 56/60 RER</t>
  </si>
  <si>
    <t>1120626</t>
  </si>
  <si>
    <t>BOMB AMER RIP GRIS 62/66 RER</t>
  </si>
  <si>
    <t>1120640</t>
  </si>
  <si>
    <t>BOMB AMER RIP DIGITAL GRIS 34/48 RER</t>
  </si>
  <si>
    <t>1120641</t>
  </si>
  <si>
    <t>BOMB AMER RIP DIGITAL GRIS 50/54 RER</t>
  </si>
  <si>
    <t>1120642</t>
  </si>
  <si>
    <t>BOMB AMER RIP DIGITAL GRIS 56/60 RER</t>
  </si>
  <si>
    <t>1120643</t>
  </si>
  <si>
    <t>BOMB AMER RIP DIGITAL GRIS 62/66 RER</t>
  </si>
  <si>
    <t>1120650</t>
  </si>
  <si>
    <t>BOMB AMER RIP TIGER CELESTE 34/48 RER</t>
  </si>
  <si>
    <t>1120651</t>
  </si>
  <si>
    <t>BOMB AMER RIP TIGER CELESTE 50/54 RER</t>
  </si>
  <si>
    <t>1120652</t>
  </si>
  <si>
    <t>BOMB AMER RIP TIGER CELESTE 56/60 RER</t>
  </si>
  <si>
    <t>1120653</t>
  </si>
  <si>
    <t>BOMB AMER RIP TIGER CELESTE 62/66 RER</t>
  </si>
  <si>
    <t>1120666</t>
  </si>
  <si>
    <t>BOMB CLAS RIP DIGITAL BEIGE 34/48 RER</t>
  </si>
  <si>
    <t>1120667</t>
  </si>
  <si>
    <t>BOMB CLAS RIP DIGITAL BEIGE 50/54 RER</t>
  </si>
  <si>
    <t>1120668</t>
  </si>
  <si>
    <t>BOMB CLAS RIP DIGITAL BEIGE 56/60 RER</t>
  </si>
  <si>
    <t>1120669</t>
  </si>
  <si>
    <t>BOMB CLAS RIP DIGITAL BEIGE 62/66 RER</t>
  </si>
  <si>
    <t>1120680</t>
  </si>
  <si>
    <t>PANT GABARDINA MARRON C GALON 34/48 RER</t>
  </si>
  <si>
    <t>1120681</t>
  </si>
  <si>
    <t>PANT GABARDINA MARRON C GALON 50/54 RER</t>
  </si>
  <si>
    <t>1120682</t>
  </si>
  <si>
    <t>PANT GABARDINA MARRON C GALON 56/60 RER</t>
  </si>
  <si>
    <t>1120700</t>
  </si>
  <si>
    <t>PANT NEGRO GABARDINA 50/54 RER</t>
  </si>
  <si>
    <t>1120720</t>
  </si>
  <si>
    <t>BOMB KADIMA GAB AZUL 34/48 RER</t>
  </si>
  <si>
    <t>1120721</t>
  </si>
  <si>
    <t>BOMB KADIMA GAB AZUL 50/54 RER</t>
  </si>
  <si>
    <t>1120722</t>
  </si>
  <si>
    <t>BOMB KADIMA GAB AZUL 56/60 RER</t>
  </si>
  <si>
    <t>1120723</t>
  </si>
  <si>
    <t>BOMB KADIMA GAB AZUL 62/66 RER</t>
  </si>
  <si>
    <t>1120724</t>
  </si>
  <si>
    <t>BOMB KADIMA GAB NEGRA 34/48 RER</t>
  </si>
  <si>
    <t>1120725</t>
  </si>
  <si>
    <t>BOMB KADIMA GAB NEGRA 50/54 RER</t>
  </si>
  <si>
    <t>1120726</t>
  </si>
  <si>
    <t>BOMB KADIMA GAB NEGRA 56/60 RER</t>
  </si>
  <si>
    <t>1120727</t>
  </si>
  <si>
    <t>BOMB KADIMA GAB NEGRA 62/66 RER</t>
  </si>
  <si>
    <t>1120728</t>
  </si>
  <si>
    <t>BOMB KADIMA EXPAND GAB NEGRA 34/48 RER</t>
  </si>
  <si>
    <t>1120729</t>
  </si>
  <si>
    <t>BOMB KADIMA EXPAND GAB NEGRA 50/54 RER</t>
  </si>
  <si>
    <t>1120730</t>
  </si>
  <si>
    <t>BOMB KADIMA EXPAND GAB NEGRA 56/60 RER</t>
  </si>
  <si>
    <t>1120731</t>
  </si>
  <si>
    <t>BOMB KADIMA EXPAND GAB NEGRA 62/66 RER</t>
  </si>
  <si>
    <t>1120732</t>
  </si>
  <si>
    <t>BOMB KADIMA GAB BEIGE 34/48 RER</t>
  </si>
  <si>
    <t>1120733</t>
  </si>
  <si>
    <t>BOMB KADIMA GAB BEIGE 50/54 RER</t>
  </si>
  <si>
    <t>1120734</t>
  </si>
  <si>
    <t>BOMB KADIMA GAB BEIGE 56/60 RER</t>
  </si>
  <si>
    <t>1120735</t>
  </si>
  <si>
    <t>BOMB KADIMA GAB BEIGE 62/66 RER</t>
  </si>
  <si>
    <t>1120736</t>
  </si>
  <si>
    <t>BOMB KADIMA EXPAND GAB AZUL 34/48 RER</t>
  </si>
  <si>
    <t>1120737</t>
  </si>
  <si>
    <t>BOMB KADIMA EXPAND GAB AZUL 50/54 RER</t>
  </si>
  <si>
    <t>1120738</t>
  </si>
  <si>
    <t>BOMB KADIMA EXPAND GAB AZUL 56/60 RER</t>
  </si>
  <si>
    <t>1120739</t>
  </si>
  <si>
    <t>BOMB KADIMA EXPAND GAB AZUL 62/66 RER</t>
  </si>
  <si>
    <t>1120741</t>
  </si>
  <si>
    <t>BOMB CLAS RIP BEIGE 56/60 RER</t>
  </si>
  <si>
    <t>1120750</t>
  </si>
  <si>
    <t>BOMB CLAS RIP GRIS 34/48 RER</t>
  </si>
  <si>
    <t>1120751</t>
  </si>
  <si>
    <t>BOMB CLAS RIP GRIS 50/54 RER</t>
  </si>
  <si>
    <t>1120752</t>
  </si>
  <si>
    <t>BOMB CLAS RIP GRIS 56/60 RER</t>
  </si>
  <si>
    <t>1120753</t>
  </si>
  <si>
    <t>BOMB CLAS RIP GRIS 62/68 RER</t>
  </si>
  <si>
    <t>1120764</t>
  </si>
  <si>
    <t>PANT AZUL DE POLICIA 36/48 RER</t>
  </si>
  <si>
    <t>1120765</t>
  </si>
  <si>
    <t>PANT AZUL C/CINTA LAUREA NEGRA 34/48 RER</t>
  </si>
  <si>
    <t>1120766</t>
  </si>
  <si>
    <t>PANT AZUL C/CINTA LAUREA NEGRA 50/54 RER</t>
  </si>
  <si>
    <t>1120767</t>
  </si>
  <si>
    <t>PANT AZUL C/CINTA LAUREA NEGRA 56/60 RER</t>
  </si>
  <si>
    <t>1120768</t>
  </si>
  <si>
    <t>PANT AZUL C/CINTA LAUREA NEGRA 62/66 RER</t>
  </si>
  <si>
    <t>1120770</t>
  </si>
  <si>
    <t>PANT CON GALON AZUL 34/48 RER</t>
  </si>
  <si>
    <t>1120771</t>
  </si>
  <si>
    <t>PANT AZUL DE POLICIA 62/66 RER</t>
  </si>
  <si>
    <t>1120772</t>
  </si>
  <si>
    <t>PANT AZUL DE POLICIA 50/54 RER</t>
  </si>
  <si>
    <t>1120773</t>
  </si>
  <si>
    <t>PANT AZUL DE POLICIA 56/60 RER</t>
  </si>
  <si>
    <t>1120775</t>
  </si>
  <si>
    <t>PANT VESTIR NEGRO C VIVO ROJO BOMB</t>
  </si>
  <si>
    <t>1120776</t>
  </si>
  <si>
    <t>PANT GRIS C/CINTA NEGRA LMGE 34/48 RER</t>
  </si>
  <si>
    <t>1120777</t>
  </si>
  <si>
    <t>PANT GRIS C/CINTA NEGRA LMGE 50/54 RER</t>
  </si>
  <si>
    <t>1120778</t>
  </si>
  <si>
    <t>PANT GRIS C/CINTA NEGRA LMGE 56/60 RER</t>
  </si>
  <si>
    <t>1120780</t>
  </si>
  <si>
    <t>PANT AZUL DE POLICIA C/BOL DAMA 36/48</t>
  </si>
  <si>
    <t>1120781</t>
  </si>
  <si>
    <t>PANT AZUL DE POLICIA C/BOL DAMA 50/54</t>
  </si>
  <si>
    <t>1120782</t>
  </si>
  <si>
    <t>PANT NEGRO DE POLICIA DAMA 36/48 RER</t>
  </si>
  <si>
    <t>1120783</t>
  </si>
  <si>
    <t>PANT NEGRO DE POLICIA DAMA 50/56 RER</t>
  </si>
  <si>
    <t>1120784</t>
  </si>
  <si>
    <t>PANT NEGRO DE POLICIA DAMA 58/66 RER</t>
  </si>
  <si>
    <t>1120785</t>
  </si>
  <si>
    <t>PANT AZUL DAMA S/BOLSILLO TRAS 34/48 RER</t>
  </si>
  <si>
    <t>1120786</t>
  </si>
  <si>
    <t>PANT AZUL DAMA S/BOLSILLO TRAS 50/54 RER</t>
  </si>
  <si>
    <t>1120787</t>
  </si>
  <si>
    <t>PANT AZUL DAMA S/BOLSILLO TRAS 56/60 RER</t>
  </si>
  <si>
    <t>1120789</t>
  </si>
  <si>
    <t>BOMB CONDOR RIP NEGRA 36/48 RER</t>
  </si>
  <si>
    <t>1120790</t>
  </si>
  <si>
    <t>BOMB CONDOR RIP NEGRA 50/54 RER</t>
  </si>
  <si>
    <t>1120791</t>
  </si>
  <si>
    <t>BOMB CONDOR RIP NEGRA 56/60 RER</t>
  </si>
  <si>
    <t>1120792</t>
  </si>
  <si>
    <t>BOMB CONDOR RIP NEGRA 62/66 RER</t>
  </si>
  <si>
    <t>1120795</t>
  </si>
  <si>
    <t>PANT NEGRO C/CINTA LAUR NEGRA 34/48 RER</t>
  </si>
  <si>
    <t>1120796</t>
  </si>
  <si>
    <t>PANT NEGRO C/CINTA LAUR NEGRA 50/54 RER</t>
  </si>
  <si>
    <t>1120797</t>
  </si>
  <si>
    <t>PANT NEGRO C/CINTA LAUR NEGRA 56/60 RER</t>
  </si>
  <si>
    <t>1120798</t>
  </si>
  <si>
    <t>PANT NEGRO C/CINTA LAUR NEGRA 62/66 RER</t>
  </si>
  <si>
    <t>1120799</t>
  </si>
  <si>
    <t>BOMB CONDOR RIP BEIGE 34/48 RER</t>
  </si>
  <si>
    <t>1120800</t>
  </si>
  <si>
    <t>BOMB CLAS RIP BEIGE 34/48 RER</t>
  </si>
  <si>
    <t>1120801</t>
  </si>
  <si>
    <t>BOMB CLAS RIP BEIGE 50/54 RER</t>
  </si>
  <si>
    <t>1120802</t>
  </si>
  <si>
    <t>1120803</t>
  </si>
  <si>
    <t>BOMB CLAS RIP BEIGE 62/66 RER</t>
  </si>
  <si>
    <t>1120840</t>
  </si>
  <si>
    <t>PANT GRIS GABARDINA 36/48 RER</t>
  </si>
  <si>
    <t>1120841</t>
  </si>
  <si>
    <t>PANT GRIS GABARDINA 50/54 RER</t>
  </si>
  <si>
    <t>1120842</t>
  </si>
  <si>
    <t>PANT GRIS GABARDINA 56/60 RER</t>
  </si>
  <si>
    <t>1120843</t>
  </si>
  <si>
    <t>PANT GRIS GABARDINA 62/66 RER</t>
  </si>
  <si>
    <t>1120850</t>
  </si>
  <si>
    <t>BOMB AMER RIP INFANTERIA 34/48 RER</t>
  </si>
  <si>
    <t>1120851</t>
  </si>
  <si>
    <t>BOMB AMER RIP INFANTERIA 50/54 RER</t>
  </si>
  <si>
    <t>1120852</t>
  </si>
  <si>
    <t>BOMB AMER RIP INFANTERIA 56/60 RER</t>
  </si>
  <si>
    <t>1120853</t>
  </si>
  <si>
    <t>BOMB AMER RIP INFANTERIA 62/66 RER</t>
  </si>
  <si>
    <t>1120856</t>
  </si>
  <si>
    <t>BOMB AMER RIP AZUL 34/48 RER</t>
  </si>
  <si>
    <t>1120857</t>
  </si>
  <si>
    <t>BOMB AMER RIP AZUL 50/54 RER</t>
  </si>
  <si>
    <t>1120858</t>
  </si>
  <si>
    <t>BOMB AMER RIP NEGRA 34/48 RER</t>
  </si>
  <si>
    <t>1120859</t>
  </si>
  <si>
    <t>BOMB AMER RIP NEGRA 50/54 RER</t>
  </si>
  <si>
    <t>1120860</t>
  </si>
  <si>
    <t>BOMB AMER RIP AZUL 56/60 RER</t>
  </si>
  <si>
    <t>1120861</t>
  </si>
  <si>
    <t>BOMB AMER RIP AZUL 62/66 RER</t>
  </si>
  <si>
    <t>1120862</t>
  </si>
  <si>
    <t>BOMB AMER RIP NEGRA 56/60 RER</t>
  </si>
  <si>
    <t>1120863</t>
  </si>
  <si>
    <t>BOMB AMER RIP NEGRA 62/66 RER</t>
  </si>
  <si>
    <t>1120873</t>
  </si>
  <si>
    <t>BOMB CLAS RIP DIGITAL GRIS 34/48 RER</t>
  </si>
  <si>
    <t>1120875</t>
  </si>
  <si>
    <t>BOMB CLAS RIP INFANTERIA 34/48 RER</t>
  </si>
  <si>
    <t>1120876</t>
  </si>
  <si>
    <t>BOMB CLAS RIP VIAL TMAN 34/48 RER</t>
  </si>
  <si>
    <t>1120877</t>
  </si>
  <si>
    <t>BOMB CLAS RIP MIMET RURAL 34/48 RER</t>
  </si>
  <si>
    <t>1120878</t>
  </si>
  <si>
    <t>BOMB CLAS RIP MIMET 2 COL GRIS 34/48 RER</t>
  </si>
  <si>
    <t>1120879</t>
  </si>
  <si>
    <t>BOMB CLAS RIP VIAL TMAN 50/54 RER</t>
  </si>
  <si>
    <t>1120880</t>
  </si>
  <si>
    <t>BOMB CLAS RIP MIMET 2 COL GRIS 50/54 RER</t>
  </si>
  <si>
    <t>1120881</t>
  </si>
  <si>
    <t>BOMB CLAS RIP DIGITAL GRIS 50/54 RER</t>
  </si>
  <si>
    <t>1120882</t>
  </si>
  <si>
    <t>BOMB CLAS RIP DIGITAL GRIS 56/60 RER</t>
  </si>
  <si>
    <t>1120883</t>
  </si>
  <si>
    <t>BOMB CLAS RIP PREMIUM INF 34/48</t>
  </si>
  <si>
    <t>1120884</t>
  </si>
  <si>
    <t>BOMB CLAS RIP PREMIUM INF 50/54</t>
  </si>
  <si>
    <t>1120885</t>
  </si>
  <si>
    <t>BOMB CLAS RIP PREMIUM INF 56/60</t>
  </si>
  <si>
    <t>1120886</t>
  </si>
  <si>
    <t>BOMB CLAS RIP PREMIUM INF 62/66</t>
  </si>
  <si>
    <t>1120887</t>
  </si>
  <si>
    <t>BOMB CLAS RIP VIAL TMAN 56/60 RER</t>
  </si>
  <si>
    <t>1120888</t>
  </si>
  <si>
    <t>BOMB SECURITAS RER</t>
  </si>
  <si>
    <t>1120900</t>
  </si>
  <si>
    <t>BOMB CLAS RIP NEGRA 34/48 RER</t>
  </si>
  <si>
    <t>1120901</t>
  </si>
  <si>
    <t>BOMB CLAS RIP NEGRA 50/54 RER</t>
  </si>
  <si>
    <t>1120902</t>
  </si>
  <si>
    <t>BOMB CLAS RIP NEGRA 56/60 RER</t>
  </si>
  <si>
    <t>1120903</t>
  </si>
  <si>
    <t>BOMB CLAS RIP NEGRA 62/66 RER</t>
  </si>
  <si>
    <t>1120904</t>
  </si>
  <si>
    <t>BOMB CLAS RIP NEGRA 68/70 RER</t>
  </si>
  <si>
    <t>1120940</t>
  </si>
  <si>
    <t>BOMB CLAS RIP REQUISA 34/48 RER</t>
  </si>
  <si>
    <t>112094034</t>
  </si>
  <si>
    <t>BOMB CLAS RIP REQUISA 34</t>
  </si>
  <si>
    <t>112094036</t>
  </si>
  <si>
    <t>BOMB CLAS RIP REQUISA 36</t>
  </si>
  <si>
    <t>112094038</t>
  </si>
  <si>
    <t>BOMB CLAS RIP REQUISA 34/48</t>
  </si>
  <si>
    <t>112094040</t>
  </si>
  <si>
    <t>BOMB CLAS RIP REQUISA 40</t>
  </si>
  <si>
    <t>112094044</t>
  </si>
  <si>
    <t>112094046</t>
  </si>
  <si>
    <t>BOMB CLAS RIP REQUISA 46</t>
  </si>
  <si>
    <t>112094048</t>
  </si>
  <si>
    <t>BOMB CLAS RIP REQUISA 48</t>
  </si>
  <si>
    <t>112094052</t>
  </si>
  <si>
    <t>BOMB CLAS RIP REQUISA 42</t>
  </si>
  <si>
    <t>1120941</t>
  </si>
  <si>
    <t>BOMB CLAS RIP REQUISA 50/54 RER</t>
  </si>
  <si>
    <t>112094152</t>
  </si>
  <si>
    <t>BOMB CLAS RIP REQUISA 52</t>
  </si>
  <si>
    <t>112094154</t>
  </si>
  <si>
    <t>BOMB CLAS RIP REQUISA 54</t>
  </si>
  <si>
    <t>1120942</t>
  </si>
  <si>
    <t>BOMB CLAS RIP REQUISA 56/60</t>
  </si>
  <si>
    <t>112094256</t>
  </si>
  <si>
    <t>BOMB CLAS RIP REQUISA 56</t>
  </si>
  <si>
    <t>112094258</t>
  </si>
  <si>
    <t>BOMB CLAS RIP REQUISA 58</t>
  </si>
  <si>
    <t>112094260</t>
  </si>
  <si>
    <t>BOMB CLAS RIP REQUISA 60</t>
  </si>
  <si>
    <t>1120943</t>
  </si>
  <si>
    <t>BOMB CLAS RIP REQUISA 62/68 RER</t>
  </si>
  <si>
    <t>1120946</t>
  </si>
  <si>
    <t>BOMB CLAS RIP VERDE 36/48 RER</t>
  </si>
  <si>
    <t>1120947</t>
  </si>
  <si>
    <t>BOMB CLAS RIP VERDE 50/54 RER</t>
  </si>
  <si>
    <t>1120948</t>
  </si>
  <si>
    <t>BOMB CLAS RIP VERDE 56/60 RER</t>
  </si>
  <si>
    <t>1120949</t>
  </si>
  <si>
    <t>BOMB CLAS RIP VERDE 62/66 RER</t>
  </si>
  <si>
    <t>1120950</t>
  </si>
  <si>
    <t>BOMB AMER RIP REQUISA 34/48 RER</t>
  </si>
  <si>
    <t>1120952</t>
  </si>
  <si>
    <t>BOMB AMER RIP REQUISA 50/54 RER</t>
  </si>
  <si>
    <t>1120953</t>
  </si>
  <si>
    <t>BOMB AMER RIP REQUISA 56/60 RER</t>
  </si>
  <si>
    <t>1120954</t>
  </si>
  <si>
    <t>BOMB AMER RIP REQUISA 62/66 RER</t>
  </si>
  <si>
    <t>1120963</t>
  </si>
  <si>
    <t>PANT</t>
  </si>
  <si>
    <t>1120977</t>
  </si>
  <si>
    <t>BOMB CLAS RIP MIMET RURAL 50/54 RER</t>
  </si>
  <si>
    <t>1120979</t>
  </si>
  <si>
    <t>BOMB CLAS RIP SELVA 50/54</t>
  </si>
  <si>
    <t>1123456</t>
  </si>
  <si>
    <t>BOMB BOMBER AZUL 50/54 RER</t>
  </si>
  <si>
    <t>1123457</t>
  </si>
  <si>
    <t>BOMB BOMBER AZUL 56/60 RER</t>
  </si>
  <si>
    <t>1123458</t>
  </si>
  <si>
    <t>BOMB BOMBER AZUL 62/66 RER</t>
  </si>
  <si>
    <t>1130001</t>
  </si>
  <si>
    <t>MANT CONJ MOTO</t>
  </si>
  <si>
    <t>1130002</t>
  </si>
  <si>
    <t>PANT SCANNER RER</t>
  </si>
  <si>
    <t>1130003</t>
  </si>
  <si>
    <t>PANT CROMADO RER</t>
  </si>
  <si>
    <t>1130008</t>
  </si>
  <si>
    <t>OVERALL MULTIBOL GAB AZUL RER</t>
  </si>
  <si>
    <t>1130009</t>
  </si>
  <si>
    <t>OVERALL MULTIBOL GAB NEGRO RER</t>
  </si>
  <si>
    <t>1130226</t>
  </si>
  <si>
    <t>PANT BEIGE OFICIAL LMGE 34/48 RER</t>
  </si>
  <si>
    <t>1130254</t>
  </si>
  <si>
    <t>MAMELUCO TERMICO NEGRO XS/XL RER</t>
  </si>
  <si>
    <t>1130255</t>
  </si>
  <si>
    <t>MAMELUCO TERMICO NEGRO 2XL/6XL RER</t>
  </si>
  <si>
    <t>1130284</t>
  </si>
  <si>
    <t>MAMELUCO TERMICO AZUL S/XL RER</t>
  </si>
  <si>
    <t>1130285</t>
  </si>
  <si>
    <t>MAMELUCO TERMICO AZUL 2XL/6XL RER</t>
  </si>
  <si>
    <t>1130495</t>
  </si>
  <si>
    <t>OVERALL MULTIBOL RIP AZUL RER</t>
  </si>
  <si>
    <t>1130496</t>
  </si>
  <si>
    <t>OVERALL MULTIBOL AZUL RIP STOP</t>
  </si>
  <si>
    <t>1130549</t>
  </si>
  <si>
    <t>MAMELUCO TERMICO NEGRO 2XL/5XL RER</t>
  </si>
  <si>
    <t>1130555</t>
  </si>
  <si>
    <t>PANT BEIGE OFICIAL LMGE 50/54 RER</t>
  </si>
  <si>
    <t>1130713</t>
  </si>
  <si>
    <t>OVERALL MULTIBOL GAB GRIS</t>
  </si>
  <si>
    <t>1130745</t>
  </si>
  <si>
    <t>OVERALL MULTIBOLS. INFANTERIA RER</t>
  </si>
  <si>
    <t>1130750</t>
  </si>
  <si>
    <t>MAMELUCO TERMICO GRIS S/XL RER</t>
  </si>
  <si>
    <t>1130751</t>
  </si>
  <si>
    <t>MAMELUCO TERMICO GRIS 2XL/6XL RER</t>
  </si>
  <si>
    <t>1130894</t>
  </si>
  <si>
    <t>PANT BEIGE OFICIAL LMGE 56/60 RER</t>
  </si>
  <si>
    <t>1130900</t>
  </si>
  <si>
    <t>OVERALL MULTIBOL RIP NEGRO RER</t>
  </si>
  <si>
    <t>1130965</t>
  </si>
  <si>
    <t>OVERALL BOMBEROS RIP AZUL</t>
  </si>
  <si>
    <t>1140000</t>
  </si>
  <si>
    <t>PANT GRIS TROPICAL 34-48 RER</t>
  </si>
  <si>
    <t>1140001</t>
  </si>
  <si>
    <t>PANT GRIS TROPICAL 50-54 RER</t>
  </si>
  <si>
    <t>1200001</t>
  </si>
  <si>
    <t>BOMB CLAS RIP DAMA AZUL 34/48 RER</t>
  </si>
  <si>
    <t>1200001B</t>
  </si>
  <si>
    <t>BOMB DAMA</t>
  </si>
  <si>
    <t>1200003</t>
  </si>
  <si>
    <t>BOMB CLAS RIP DAMA AZUL 50/54 RER</t>
  </si>
  <si>
    <t>1200004</t>
  </si>
  <si>
    <t>BOMB CLAS RIP DAMA AZUL 56/60 RER</t>
  </si>
  <si>
    <t>1200005</t>
  </si>
  <si>
    <t>BOMB CLAS RIP DAMA AZUL 62/66 RER</t>
  </si>
  <si>
    <t>1200011</t>
  </si>
  <si>
    <t>BOMB CLAS GAB DAMA AZUL 34/48 RER</t>
  </si>
  <si>
    <t>1200012</t>
  </si>
  <si>
    <t>BOMB CLAS GAB DAMA AZUL 50/54 RER</t>
  </si>
  <si>
    <t>1200013</t>
  </si>
  <si>
    <t>BOMB CLAS GAB DAMA AZUL 56/60 RER</t>
  </si>
  <si>
    <t>1200014</t>
  </si>
  <si>
    <t>BOMB CLAS GAB DAMA NEGRA 34/48 RER</t>
  </si>
  <si>
    <t>1200015</t>
  </si>
  <si>
    <t>BOMB CLAS GAB DAMA NEGRA 50/54 RER</t>
  </si>
  <si>
    <t>1200016</t>
  </si>
  <si>
    <t>BOMB CLAS GAB DAMA NEGRA 56/60 RER</t>
  </si>
  <si>
    <t>1200900</t>
  </si>
  <si>
    <t>BOMB CLAS RIP DAMA NEGRA 36/48 RER</t>
  </si>
  <si>
    <t>1200901</t>
  </si>
  <si>
    <t>BOMB CLAS RIP DAMA NEGRA 50/56 RER</t>
  </si>
  <si>
    <t>1213131</t>
  </si>
  <si>
    <t>SDFASFA</t>
  </si>
  <si>
    <t>123456789</t>
  </si>
  <si>
    <t>1407001</t>
  </si>
  <si>
    <t>POLLERA GRIS C/GALON LICEO</t>
  </si>
  <si>
    <t>1407093</t>
  </si>
  <si>
    <t>POLLERA POLICIA SIN FORRAR RER</t>
  </si>
  <si>
    <t>1407094</t>
  </si>
  <si>
    <t>POLLERA POLICIA C FORRO RER</t>
  </si>
  <si>
    <t>1524057</t>
  </si>
  <si>
    <t>CAJA DE REGALO NAVIDAD X3 RER</t>
  </si>
  <si>
    <t>1524058</t>
  </si>
  <si>
    <t>ADORNO NAVIDAD RER</t>
  </si>
  <si>
    <t>1900100</t>
  </si>
  <si>
    <t>GUANTES</t>
  </si>
  <si>
    <t>1CHOMBA</t>
  </si>
  <si>
    <t>CHOMBA CON CIERRE</t>
  </si>
  <si>
    <t>2</t>
  </si>
  <si>
    <t>GASTO ADMINISTRATIVO 2 CUOTAS</t>
  </si>
  <si>
    <t>2000036</t>
  </si>
  <si>
    <t>SHORT GRIS LMGE RER</t>
  </si>
  <si>
    <t>2000258</t>
  </si>
  <si>
    <t>SHORT IUSP RER</t>
  </si>
  <si>
    <t>2000386</t>
  </si>
  <si>
    <t>SHORT NEGRO INFANTERIA RER</t>
  </si>
  <si>
    <t>2014109</t>
  </si>
  <si>
    <t>POLAR AZUL C/CIERRE  LMGE RER</t>
  </si>
  <si>
    <t>2101000</t>
  </si>
  <si>
    <t>CHOMBA MC POLO NEGRA 3XS/2XL RER</t>
  </si>
  <si>
    <t>2101001</t>
  </si>
  <si>
    <t>CHOMBA MC POLO NEGRA ESTAMP. 3XS/2XL RER</t>
  </si>
  <si>
    <t>2101002</t>
  </si>
  <si>
    <t>CHOMBA MC POLO ESTAMPA  MUNI NQN RER</t>
  </si>
  <si>
    <t>2101003</t>
  </si>
  <si>
    <t>CHOMBA MC POLO NEGRA ESTAMP 3XL/4XL RER</t>
  </si>
  <si>
    <t>2101004</t>
  </si>
  <si>
    <t>REMERA MC SIN CIERRE BLANCA 3XS/2XL RER</t>
  </si>
  <si>
    <t>2101005</t>
  </si>
  <si>
    <t>REMERA MC SIN CIERRE BLANCA 3XL/5XL RER</t>
  </si>
  <si>
    <t>2101006</t>
  </si>
  <si>
    <t>2101007</t>
  </si>
  <si>
    <t>REMERA MC SIN CIER AZ V ROJO 3XS/2XL RER</t>
  </si>
  <si>
    <t>2101008</t>
  </si>
  <si>
    <t>REMERA MC SIN CIER AZ V ROJO 3XL/5XL RER</t>
  </si>
  <si>
    <t>2101010</t>
  </si>
  <si>
    <t>CHOMBA ML CIERRE ROJA INSTRU 3XS/2XL RER</t>
  </si>
  <si>
    <t>2101011</t>
  </si>
  <si>
    <t>CHOMBA MC POLO ROJA 3XS/2XL RER</t>
  </si>
  <si>
    <t>2101012</t>
  </si>
  <si>
    <t>CHOMBA MC POLO ROJA 3XL/5XL RER</t>
  </si>
  <si>
    <t>2101013</t>
  </si>
  <si>
    <t>CHOMBA ML POLO ROJA 3XS/2XL RER</t>
  </si>
  <si>
    <t>2101014</t>
  </si>
  <si>
    <t>CHOMBA ML POLO ROJA 3XL 5XL RER</t>
  </si>
  <si>
    <t>2101015</t>
  </si>
  <si>
    <t>CHOMBA ML CIERRE COMB CAMUF 3XS/2XL RER</t>
  </si>
  <si>
    <t>2101016</t>
  </si>
  <si>
    <t>CHOMBA ML CIERRE COMB CAMUF 3XL/6XL RER</t>
  </si>
  <si>
    <t>2101060</t>
  </si>
  <si>
    <t>CHOMBA MC SIN CIERRE NEGRA RER</t>
  </si>
  <si>
    <t>2101098</t>
  </si>
  <si>
    <t>CHOMBA MC CIERRE BLA ALTA SEGURIDAD RER</t>
  </si>
  <si>
    <t>2101100</t>
  </si>
  <si>
    <t>CHOMBA MC CIERRE BLANCA 3XS/2XL RER</t>
  </si>
  <si>
    <t>2101101</t>
  </si>
  <si>
    <t>CHOMBA URBANA TMAN 3XS/2XL (SUBLIM) RER</t>
  </si>
  <si>
    <t>2101102</t>
  </si>
  <si>
    <t>CHOMBA URBANA TMAN 3XL/6XL RER</t>
  </si>
  <si>
    <t>2101103</t>
  </si>
  <si>
    <t>CHOMBA MC CIERRE BOMBERO 3XL/5XL RER</t>
  </si>
  <si>
    <t>2101105</t>
  </si>
  <si>
    <t>CHOMBA MC POLO URBANA TUC 3XS/2XL RER</t>
  </si>
  <si>
    <t>2101106</t>
  </si>
  <si>
    <t>CHOMBA MC POLO URBANA TUC 3XL/5XL RER</t>
  </si>
  <si>
    <t>2101110</t>
  </si>
  <si>
    <t>CHOMBA MC CIERRE BOMBERO 3XS/2XL RER</t>
  </si>
  <si>
    <t>2101111</t>
  </si>
  <si>
    <t>CHOMBA MC POLO NEGRA 3XL/5XL RER</t>
  </si>
  <si>
    <t>2101113</t>
  </si>
  <si>
    <t>CHOMBA MC POLO NEGRA PSA 2XS/2XL RER</t>
  </si>
  <si>
    <t>2101114</t>
  </si>
  <si>
    <t>CHOMBA MC POLO NEGRA PSA 3XL/5XL RER</t>
  </si>
  <si>
    <t>2101115</t>
  </si>
  <si>
    <t>CHOMBA MC POLO BLANCA PSA 2XS/2XL RER</t>
  </si>
  <si>
    <t>2101116</t>
  </si>
  <si>
    <t>CHOMBA MC POLO BLANCA PSA 3XL/5XL RER</t>
  </si>
  <si>
    <t>2101117</t>
  </si>
  <si>
    <t>CHOMBA MC CIERRE BLANCA 3XL/5XL RER</t>
  </si>
  <si>
    <t>2101158</t>
  </si>
  <si>
    <t>CHOMBA INFANTERIA RER</t>
  </si>
  <si>
    <t>2101200</t>
  </si>
  <si>
    <t>CHOMBA MC POLO BLANCA + ESTAMP 3XS/2XL R</t>
  </si>
  <si>
    <t>2101201</t>
  </si>
  <si>
    <t>CHOMBA MC CIERRE LAS PIRCAS RER</t>
  </si>
  <si>
    <t>2101202</t>
  </si>
  <si>
    <t>CHOMBA MC POLO BLANCA 3XS/2XL RER</t>
  </si>
  <si>
    <t>2101203</t>
  </si>
  <si>
    <t>CHOMBA MC POLO BLANCA 3XL/5XL RER</t>
  </si>
  <si>
    <t>2101210</t>
  </si>
  <si>
    <t>CHOMBA ML CIERRE AZUL FRA LA RIOJA RER</t>
  </si>
  <si>
    <t>2101211</t>
  </si>
  <si>
    <t>CHOMBA MC POLO AZUL FRA C/LOGOS RER</t>
  </si>
  <si>
    <t>2101220</t>
  </si>
  <si>
    <t>CHOMBA MC POLO CHOCON RER</t>
  </si>
  <si>
    <t>14</t>
  </si>
  <si>
    <t>2101251</t>
  </si>
  <si>
    <t>CHOMBA BLANCA POL. TMAN PATR. URBANA</t>
  </si>
  <si>
    <t>2101300</t>
  </si>
  <si>
    <t>CHOMBA MC CIERRE CIENTIFICA RER</t>
  </si>
  <si>
    <t>2101301</t>
  </si>
  <si>
    <t>CHOMBA ML CIERRE CIENTIFICA RER</t>
  </si>
  <si>
    <t>2101321</t>
  </si>
  <si>
    <t>CHOMBA MC POLO ROJA INSTRUCT 3XS/2XL RER</t>
  </si>
  <si>
    <t>2101322</t>
  </si>
  <si>
    <t>CHOMBA MC POLO ROJA INSTRUCT 3XL/6XL RER</t>
  </si>
  <si>
    <t>2101333</t>
  </si>
  <si>
    <t>CHOMBA ML POLO UPAT RER</t>
  </si>
  <si>
    <t>2101350</t>
  </si>
  <si>
    <t>REMERA MC SIN CIERRE GRIS 3XS/2XL RER</t>
  </si>
  <si>
    <t>2101351</t>
  </si>
  <si>
    <t>REMERA MC SIN CIERRE GRIS 3XL/5XL RER</t>
  </si>
  <si>
    <t>2101369</t>
  </si>
  <si>
    <t>CHOMBA MC POLO LAS PIRCAS RER</t>
  </si>
  <si>
    <t>2101395</t>
  </si>
  <si>
    <t>CHOMBA MC CIERRE AZ + ESTAM 3XS/2XL RER</t>
  </si>
  <si>
    <t>2101396</t>
  </si>
  <si>
    <t>CHOMBA MC CIERRE AZ + ESTAM 3XL/5XL RER</t>
  </si>
  <si>
    <t>2101397</t>
  </si>
  <si>
    <t>CHOMBA MC CIERRE AZ + ESTAMPA 6XL RER</t>
  </si>
  <si>
    <t>2101493</t>
  </si>
  <si>
    <t>CHOMBA ML CIERRE AZ 3XL/5XL RER</t>
  </si>
  <si>
    <t>2101494</t>
  </si>
  <si>
    <t>CHOMBA ML CIERRE AZ + ESTAM 3XL/5XL RER</t>
  </si>
  <si>
    <t>2101495</t>
  </si>
  <si>
    <t>CHOMBA MC CIERRE AZ 3XS/2XL RER</t>
  </si>
  <si>
    <t>2101496</t>
  </si>
  <si>
    <t>CHOMBA ML CIERRE AZ 3XS/2XL RER</t>
  </si>
  <si>
    <t>2101497</t>
  </si>
  <si>
    <t>CHOMBA ML CIERRE AZ + ESTAM 3XS/2XL RER</t>
  </si>
  <si>
    <t>2101499</t>
  </si>
  <si>
    <t>CHOMBA MC CIERRE AZ 3XL/5XL RER</t>
  </si>
  <si>
    <t>2101500</t>
  </si>
  <si>
    <t>CHOMBA MC POLO GRIS MELA SPF 3XS/2XL RER</t>
  </si>
  <si>
    <t>2101501</t>
  </si>
  <si>
    <t>CHOMBA MC POLO GRIS MELA SPF 3XL/5XL RER</t>
  </si>
  <si>
    <t>2101550</t>
  </si>
  <si>
    <t>REMERA MC SIN CIERRE AZUL 3XS/2XL RER</t>
  </si>
  <si>
    <t>2101551</t>
  </si>
  <si>
    <t>REMERA MC SIN CIERRE AZUL 3XL/5XL RER</t>
  </si>
  <si>
    <t>2101552</t>
  </si>
  <si>
    <t>REMERA MC SIN CIE AZ ESTAM CAT 2XS/XXL</t>
  </si>
  <si>
    <t>2101553</t>
  </si>
  <si>
    <t>REMERA MC SIN CIE AZ ESTAM CAT 3XL/6XL</t>
  </si>
  <si>
    <t>2101555</t>
  </si>
  <si>
    <t>REMERA MC SIN CIERRE NEGRO 3XS/2XL RER</t>
  </si>
  <si>
    <t>2101556</t>
  </si>
  <si>
    <t>REMERA MC SIN CIERRE NEGRO 3XL/6XL RER</t>
  </si>
  <si>
    <t>2101557</t>
  </si>
  <si>
    <t>REMERA MC SIN CIE NE HIDRO R 2XS/2XL RER</t>
  </si>
  <si>
    <t>2101558</t>
  </si>
  <si>
    <t>REMERA MC SIN CIE NE HIDRO R 3XL/6XL RER</t>
  </si>
  <si>
    <t>2101559</t>
  </si>
  <si>
    <t>REMERA MC NEG ESC POL STA FE 2XS/2XL RER</t>
  </si>
  <si>
    <t>2101560</t>
  </si>
  <si>
    <t>REMERA MC NEG ESC POL STA FE 3XL/6XL RER</t>
  </si>
  <si>
    <t>2101580</t>
  </si>
  <si>
    <t>CHOMBA MC POLO VIAL SAN JUAN AZUL/BLANCA</t>
  </si>
  <si>
    <t>2101590</t>
  </si>
  <si>
    <t>CHOMBA MC POLO VIAL SAN JUAN BLANCA</t>
  </si>
  <si>
    <t>2101600</t>
  </si>
  <si>
    <t>PANT NAV C/LINT RER</t>
  </si>
  <si>
    <t>2101601</t>
  </si>
  <si>
    <t>PANT NAV NEGRA RER</t>
  </si>
  <si>
    <t>2101602</t>
  </si>
  <si>
    <t>PANT NAV RER</t>
  </si>
  <si>
    <t>2101603</t>
  </si>
  <si>
    <t>PANT NAV MARIP RER</t>
  </si>
  <si>
    <t>2101604</t>
  </si>
  <si>
    <t>PANT NAV BROWN RER</t>
  </si>
  <si>
    <t>2101605</t>
  </si>
  <si>
    <t>PANT CUCH COLUMBIA RER</t>
  </si>
  <si>
    <t>2101650</t>
  </si>
  <si>
    <t>2101651</t>
  </si>
  <si>
    <t>2101657</t>
  </si>
  <si>
    <t>CHOMBA MC POLO NEGRA CHUBUT 3XS/2XL</t>
  </si>
  <si>
    <t>2101658</t>
  </si>
  <si>
    <t>CHOMBA MC POLO NEGRA CHUBUT 3XL/5X</t>
  </si>
  <si>
    <t>2101666</t>
  </si>
  <si>
    <t>REMERA MC SIN CIE NEG 2XS/2XL NOUSAR RER</t>
  </si>
  <si>
    <t>2101741</t>
  </si>
  <si>
    <t>CHOMBA ML POLO AZ + ESTAMPA 3XS/2XL RER</t>
  </si>
  <si>
    <t>2101742</t>
  </si>
  <si>
    <t>CHOMBA ML POLO AZ 3XS/2XL RER</t>
  </si>
  <si>
    <t>2101743</t>
  </si>
  <si>
    <t>CHOMBA ML POLO NEGRO 3XS/2XL RER</t>
  </si>
  <si>
    <t>2101744</t>
  </si>
  <si>
    <t>CHOMBA ML POLO NEGRO 3XL/5XL RER</t>
  </si>
  <si>
    <t>2101750</t>
  </si>
  <si>
    <t>CHOMBA MC CIERRE GR 3XS/2XL RER</t>
  </si>
  <si>
    <t>2101751</t>
  </si>
  <si>
    <t>CHOMBA ML CIERRE GR 3XS/2XL RER</t>
  </si>
  <si>
    <t>2101752</t>
  </si>
  <si>
    <t>CHOMBA ML CIERRE GR 3XL/6XL RER</t>
  </si>
  <si>
    <t>2101799</t>
  </si>
  <si>
    <t>CHOMBA MC CIERRE GR 3XL/5XL RER</t>
  </si>
  <si>
    <t>2101877</t>
  </si>
  <si>
    <t>CHOMBA MC CIERRE BEIGE 3XS/2XL RER</t>
  </si>
  <si>
    <t>2101878</t>
  </si>
  <si>
    <t>CHOMBA MC CIERRE BEIGE 3XL/5XL RER</t>
  </si>
  <si>
    <t>2101879</t>
  </si>
  <si>
    <t>CHOMBA MC POLO BEIGE 3XS/2XL RER</t>
  </si>
  <si>
    <t>2101880</t>
  </si>
  <si>
    <t>CHOMBA MC POLO BEIGE 3XL/5XL RER</t>
  </si>
  <si>
    <t>2101888</t>
  </si>
  <si>
    <t>2101889</t>
  </si>
  <si>
    <t>CHOMBA MC POLO AZ + ESTAMPA 3XL/4XL RER</t>
  </si>
  <si>
    <t>2101900</t>
  </si>
  <si>
    <t>CHOMBA MC CIERRE NE 3XS/2XL RER</t>
  </si>
  <si>
    <t>2101901</t>
  </si>
  <si>
    <t>CHOMBA ML CIERRE NE 3XS/2XL RER</t>
  </si>
  <si>
    <t>2101902</t>
  </si>
  <si>
    <t>CHOMBA ML CIERRE NE 3XL/6XL RER</t>
  </si>
  <si>
    <t>2101950</t>
  </si>
  <si>
    <t>CHOMBA MC CIERRE NE + ESTAM 3XS/2XL RER</t>
  </si>
  <si>
    <t>2101951</t>
  </si>
  <si>
    <t>CHOMBA MC CIERRE NE + ESTAM 3XL/5XL RER</t>
  </si>
  <si>
    <t>2101987</t>
  </si>
  <si>
    <t>CHOMBA MC CIERRE ROJA 3XS/2XL RER</t>
  </si>
  <si>
    <t>2101999</t>
  </si>
  <si>
    <t>CHOMBA MC CIERRE NE 3XL/5XL RER</t>
  </si>
  <si>
    <t>2103005</t>
  </si>
  <si>
    <t>CHOMBA MC POLO AZ + ESTAMPA 3XS/2XL RER</t>
  </si>
  <si>
    <t>2103010</t>
  </si>
  <si>
    <t>CHOMBA MC POLO AZ/AM POL. SLUIS 3XS/2XL</t>
  </si>
  <si>
    <t>2103011</t>
  </si>
  <si>
    <t>CHOMBA MC POLO AZ/AM POL.CAMIN SLUIS 3XL</t>
  </si>
  <si>
    <t>2103019</t>
  </si>
  <si>
    <t>CHOMBA MC POLO AZUL HOMBRE RER</t>
  </si>
  <si>
    <t>2103050</t>
  </si>
  <si>
    <t>REMERA MC COMBAT AZUL</t>
  </si>
  <si>
    <t>2103067</t>
  </si>
  <si>
    <t>CHOMBA MC POLO GRIS + BAND 3XL/6XL RER</t>
  </si>
  <si>
    <t>2103068</t>
  </si>
  <si>
    <t>CHOMBA MC POLO AZ + BAND 3XS/2XL RER</t>
  </si>
  <si>
    <t>2103069</t>
  </si>
  <si>
    <t>CHOMBA MC POLO GRIS + BAND 3XS/2XL RER</t>
  </si>
  <si>
    <t>2103070</t>
  </si>
  <si>
    <t>CHOMBA ML POLO ESCUE POLICIA 3XS/2XL RER</t>
  </si>
  <si>
    <t>2103071</t>
  </si>
  <si>
    <t>CHOMBA ML POLO ESCUE POLICIA 3XL/5XL RER</t>
  </si>
  <si>
    <t>2103072</t>
  </si>
  <si>
    <t>CHOMBA MC POLO ESCUE POLICIA 3XS/2XL RER</t>
  </si>
  <si>
    <t>2103073</t>
  </si>
  <si>
    <t>CHOMBA MC POLO ESCUE POLICIA 3XL/5XL RER</t>
  </si>
  <si>
    <t>2103090</t>
  </si>
  <si>
    <t>REMERA MC COMBAT NEGRA</t>
  </si>
  <si>
    <t>2103135</t>
  </si>
  <si>
    <t>CHOMBA MC POLO BLANCA IUSP RER</t>
  </si>
  <si>
    <t>2103199</t>
  </si>
  <si>
    <t>CHOMBA MC POLO BLANCA LMGE RER</t>
  </si>
  <si>
    <t>2103200</t>
  </si>
  <si>
    <t>REMERA ML COMBAT MODA ACU</t>
  </si>
  <si>
    <t>2103209</t>
  </si>
  <si>
    <t>CHOMBA ML POLO BLANCA LMGE RER</t>
  </si>
  <si>
    <t>2103217</t>
  </si>
  <si>
    <t>REMERA ML COMBAT NEGRA RER</t>
  </si>
  <si>
    <t>2103218</t>
  </si>
  <si>
    <t>CHOMBA ML COMBAT RRD INFANTERIA RER</t>
  </si>
  <si>
    <t>2103219</t>
  </si>
  <si>
    <t>REMERA ML COMBAT DIGITAL VERDE</t>
  </si>
  <si>
    <t>2103495</t>
  </si>
  <si>
    <t>REMERA ML COMBAT AZUL</t>
  </si>
  <si>
    <t>2103500</t>
  </si>
  <si>
    <t>CHOMBA MC POLO AZ/AM TRANSITO 3XS/2XL</t>
  </si>
  <si>
    <t>2103785</t>
  </si>
  <si>
    <t>CHOMBA MC POLO ECO ESC+ BANDER RER</t>
  </si>
  <si>
    <t>2103888</t>
  </si>
  <si>
    <t>NO USAR CHOMBA MC POLO AZ + BAND 3XL/5XL</t>
  </si>
  <si>
    <t>210388808</t>
  </si>
  <si>
    <t>CHOMBA MC POLO AZ + BAND XXXXL RER</t>
  </si>
  <si>
    <t>2105007</t>
  </si>
  <si>
    <t>REMERA ML SIN CIERRE BLANCA 3XL/5XL RER</t>
  </si>
  <si>
    <t>2105008</t>
  </si>
  <si>
    <t>REMERA ML SIN CIERRE NEGRA 3XS/2XL RER</t>
  </si>
  <si>
    <t>2105009</t>
  </si>
  <si>
    <t>REMERA ML SIN CIERRE NEGRA 3XL/5XL RER</t>
  </si>
  <si>
    <t>2105352</t>
  </si>
  <si>
    <t>REMERA ML SIN CIERRE GRIS 3XS/2XL RER</t>
  </si>
  <si>
    <t>2105353</t>
  </si>
  <si>
    <t>REMERA ML SIN CIERRE GRIS 3XL/5XL RER</t>
  </si>
  <si>
    <t>2105552</t>
  </si>
  <si>
    <t>REMERA ML SIN CIERRE AZUL 3XS/2XL RER</t>
  </si>
  <si>
    <t>2105553</t>
  </si>
  <si>
    <t>REMERA ML SIN CIERRE AZUL 3XL/5XL RER</t>
  </si>
  <si>
    <t>2105999</t>
  </si>
  <si>
    <t>REMERA ML ARMY NEGRA RER</t>
  </si>
  <si>
    <t>2203072</t>
  </si>
  <si>
    <t>REMERA MC COLORES VARIOS</t>
  </si>
  <si>
    <t>2220000</t>
  </si>
  <si>
    <t>REMERA MC BORD RIO NEGRO GEI</t>
  </si>
  <si>
    <t>2220004</t>
  </si>
  <si>
    <t>REMERA MC BLANCA LISA GEI</t>
  </si>
  <si>
    <t>2220024</t>
  </si>
  <si>
    <t>2220027</t>
  </si>
  <si>
    <t>REMERA ML BLANCA GEI</t>
  </si>
  <si>
    <t>2220028</t>
  </si>
  <si>
    <t>REMERA ML AZUL GEI</t>
  </si>
  <si>
    <t>2220030</t>
  </si>
  <si>
    <t>POLERA ALGODON AZUL RER</t>
  </si>
  <si>
    <t>2220032</t>
  </si>
  <si>
    <t>POLERA ALGODON GRIS RER</t>
  </si>
  <si>
    <t>2220034</t>
  </si>
  <si>
    <t>POLERA ALGODON BLANCA RER</t>
  </si>
  <si>
    <t>2220037</t>
  </si>
  <si>
    <t>POLERA ALGODON NEGRA RER</t>
  </si>
  <si>
    <t>2220053</t>
  </si>
  <si>
    <t>REMERA ML 1RA PIEL BLANCA PIQUE</t>
  </si>
  <si>
    <t>2220074</t>
  </si>
  <si>
    <t>REMERA ML 1RA PIEL AZUL VANIZADA RER</t>
  </si>
  <si>
    <t>2220076</t>
  </si>
  <si>
    <t>REMERA ML 1RA PIEL NEGRA  VANIZADA RER</t>
  </si>
  <si>
    <t>2220078</t>
  </si>
  <si>
    <t>REMERA ML 1RA PIEL BLANCA VANIZADA RER</t>
  </si>
  <si>
    <t>2220080</t>
  </si>
  <si>
    <t>REMERA BALLENERA SIN MANGAS NEGRA RER</t>
  </si>
  <si>
    <t>2220081</t>
  </si>
  <si>
    <t>REMERA BALLENERA SIN MANGAS VERDE RER</t>
  </si>
  <si>
    <t>2220099</t>
  </si>
  <si>
    <t>REMERA MC ESTAMPADA PERRO INF. MZA</t>
  </si>
  <si>
    <t>2220100</t>
  </si>
  <si>
    <t>REMERA ML 1RA PIEL NEGRA MINIJACK RER</t>
  </si>
  <si>
    <t>2220128</t>
  </si>
  <si>
    <t>REMERA MC GRIS BORDADA LMGE GEI</t>
  </si>
  <si>
    <t>2220130</t>
  </si>
  <si>
    <t>REMERA MC GRIS BORD ESCUELA CADETE GEI</t>
  </si>
  <si>
    <t>2220136</t>
  </si>
  <si>
    <t>REMERA MC TERMICAS SPINIT DAMA NEGRA GEI</t>
  </si>
  <si>
    <t>2220250</t>
  </si>
  <si>
    <t>REMERA MC AZUL PECTORAL NEUQUEN GEI</t>
  </si>
  <si>
    <t>2220253</t>
  </si>
  <si>
    <t>REMERA MC AZUL IUSP 198 GEI</t>
  </si>
  <si>
    <t>2220254</t>
  </si>
  <si>
    <t>2220255</t>
  </si>
  <si>
    <t>REMERA MC AZUL ESC SUBOF POL TUC 2XS/2XL</t>
  </si>
  <si>
    <t>2220256</t>
  </si>
  <si>
    <t>REMERA MC AZUL ESC SUBOF POL TUC 3XL/6XL</t>
  </si>
  <si>
    <t>2220258</t>
  </si>
  <si>
    <t>REMERA MC ROJA LISA GEI</t>
  </si>
  <si>
    <t>2220292</t>
  </si>
  <si>
    <t>REMERA MC AZUL CON ESTAMPA POLICIA GEI</t>
  </si>
  <si>
    <t>2220333</t>
  </si>
  <si>
    <t>REMERA MC AZUL LISA GEI</t>
  </si>
  <si>
    <t>2220335</t>
  </si>
  <si>
    <t>REMERA MC CAMUFLADA GEI</t>
  </si>
  <si>
    <t>2220336</t>
  </si>
  <si>
    <t>REMERA MC GRIS BORDADA EJERCITO GEI</t>
  </si>
  <si>
    <t>2220345</t>
  </si>
  <si>
    <t>REMERA MC JAZAK NEGRA GEI</t>
  </si>
  <si>
    <t>2220389</t>
  </si>
  <si>
    <t>REMERA MC AZUL POLICIA DE STA CRUZ GEI</t>
  </si>
  <si>
    <t>2220421</t>
  </si>
  <si>
    <t>REMERA MC NQN ALGODON GRIS CADETE GEI</t>
  </si>
  <si>
    <t>2220444</t>
  </si>
  <si>
    <t>REMERA MC NEGRA LISA GEI</t>
  </si>
  <si>
    <t>2220450</t>
  </si>
  <si>
    <t>REMERA MC NEGRA ESC POL STA FE 2XS/2XL</t>
  </si>
  <si>
    <t>2220451</t>
  </si>
  <si>
    <t>REMERA MC NEGRA ESC POL STA FE 3XL/5XL</t>
  </si>
  <si>
    <t>2220456</t>
  </si>
  <si>
    <t>REMERA MC NEGRA CON ESTAMPA POLICIA GEI</t>
  </si>
  <si>
    <t>2220520</t>
  </si>
  <si>
    <t>REMERA MC GRIS MELANGE SPF RER</t>
  </si>
  <si>
    <t>2220555</t>
  </si>
  <si>
    <t>REMERA MC MIMETICAS GEI</t>
  </si>
  <si>
    <t>2220591</t>
  </si>
  <si>
    <t>REMERA ML TERMICAS SPINIT NEGRA GEI</t>
  </si>
  <si>
    <t>2220601</t>
  </si>
  <si>
    <t>REMERA MC GRIS MELANGE SIN BORDAR GEI</t>
  </si>
  <si>
    <t>2220666</t>
  </si>
  <si>
    <t>REMERA MC ALPHA AIT21994C1 AIRMAN GEI</t>
  </si>
  <si>
    <t>2220750</t>
  </si>
  <si>
    <t>REMERA MC GRIS TOPO LISA 2XS/2XL GEI</t>
  </si>
  <si>
    <t>REMERA</t>
  </si>
  <si>
    <t>2220751</t>
  </si>
  <si>
    <t>REMERA MC GRIS TOPO LISA 3XL/6XL GEI</t>
  </si>
  <si>
    <t>2220755</t>
  </si>
  <si>
    <t>REMERA MC GRIS TOPO PENIT RG 2XS/2XL</t>
  </si>
  <si>
    <t>2220756</t>
  </si>
  <si>
    <t>REMERA MC GRIS TOPO PENIT RG 3XL/5XL</t>
  </si>
  <si>
    <t>2220777</t>
  </si>
  <si>
    <t>REMERA MC ALPHA ART21791C1 ARMY GEI</t>
  </si>
  <si>
    <t>2220856</t>
  </si>
  <si>
    <t>REMERA MC BEIGE LISA GEI</t>
  </si>
  <si>
    <t>2220888</t>
  </si>
  <si>
    <t>REMERA MC ALPHA DOT21754C1 DONT T GEI</t>
  </si>
  <si>
    <t>2220900</t>
  </si>
  <si>
    <t>NO USA PROXIMO ELIMINAR</t>
  </si>
  <si>
    <t>2220909</t>
  </si>
  <si>
    <t>REMERA MC BLANCA IUSP GEI</t>
  </si>
  <si>
    <t>2220999</t>
  </si>
  <si>
    <t>2230600</t>
  </si>
  <si>
    <t>REMERA MC VERDE LMGE GEI</t>
  </si>
  <si>
    <t>2301001</t>
  </si>
  <si>
    <t>TRICOTA C/POL AZUL NQN</t>
  </si>
  <si>
    <t>2301002</t>
  </si>
  <si>
    <t>TRICOTA C/POL GRIS NQN</t>
  </si>
  <si>
    <t>2301046</t>
  </si>
  <si>
    <t>TRICOTA ESCOTE V SIN FORRO NEGRA EM</t>
  </si>
  <si>
    <t>2301048</t>
  </si>
  <si>
    <t>TRICOTA C/POLERA FORRADA NEGRA EM</t>
  </si>
  <si>
    <t>2301143</t>
  </si>
  <si>
    <t>PULLOVER COLEGIAL TODO LOS TALLES RER</t>
  </si>
  <si>
    <t>2301158</t>
  </si>
  <si>
    <t>TRICOTA C/POLERA FORRADA GRIS EM</t>
  </si>
  <si>
    <t>2301160</t>
  </si>
  <si>
    <t>TRICOTA ESCOTE V SIN FORRO GRIS EM</t>
  </si>
  <si>
    <t>2301175</t>
  </si>
  <si>
    <t>CARDIGAN AZUL LMGE RER</t>
  </si>
  <si>
    <t>2301300</t>
  </si>
  <si>
    <t>TRICOTA C/POLERA FORRADA VERDE EM</t>
  </si>
  <si>
    <t>2301333</t>
  </si>
  <si>
    <t>TRICOTA CUELLO REDONDO VERDE EM</t>
  </si>
  <si>
    <t>2301520</t>
  </si>
  <si>
    <t>TRICOTA POL TUCUMAN URBANA EM</t>
  </si>
  <si>
    <t>2301601</t>
  </si>
  <si>
    <t>TRICOPOLAR NEGRO AMERICA SEGURIDAD</t>
  </si>
  <si>
    <t>2301666</t>
  </si>
  <si>
    <t>TRICOTA ESCOTE V SIN FORRO AZUL EM</t>
  </si>
  <si>
    <t>2301777</t>
  </si>
  <si>
    <t>TRICOTA CUELLO REDONDO FORRADA AZUL EM</t>
  </si>
  <si>
    <t>2301852</t>
  </si>
  <si>
    <t>TRICOTA C/POLERA FORRADA PETREO</t>
  </si>
  <si>
    <t>2301887</t>
  </si>
  <si>
    <t>TRICOTA C/POLERA FORRADA BEIGE RER</t>
  </si>
  <si>
    <t>2301888</t>
  </si>
  <si>
    <t>TRICOTA C/POLERA FORRADA AZUL EM</t>
  </si>
  <si>
    <t>2301900</t>
  </si>
  <si>
    <t>TRICOTA CUELLO REDONDO NEGRA EM</t>
  </si>
  <si>
    <t>2401012</t>
  </si>
  <si>
    <t>CHALECO DE TRANSP. GOLANI RER</t>
  </si>
  <si>
    <t>2401021</t>
  </si>
  <si>
    <t>CHALECO TRANSPORTE MRG RER</t>
  </si>
  <si>
    <t>2401022</t>
  </si>
  <si>
    <t>CHALECO DE TRANSPORTE RIV / RRD5 RER</t>
  </si>
  <si>
    <t>2401023</t>
  </si>
  <si>
    <t>CHALECO DE TRANSPORTE RIO GALL XXS</t>
  </si>
  <si>
    <t>2401100</t>
  </si>
  <si>
    <t>CHALECO TACTICO RRD3 BLK</t>
  </si>
  <si>
    <t>2401101</t>
  </si>
  <si>
    <t>CHALECO ARNES ISARELI C/REFLACTARIORRD2B</t>
  </si>
  <si>
    <t>2401103</t>
  </si>
  <si>
    <t>CHALECO FUNDA BALIST MOLLE RRD4 BLK</t>
  </si>
  <si>
    <t>2401123</t>
  </si>
  <si>
    <t>CHALECO DE TRANSPORTE MAZ / RRD5</t>
  </si>
  <si>
    <t>2401200</t>
  </si>
  <si>
    <t>CHALECO CARRIER ARMOUR FULL</t>
  </si>
  <si>
    <t>2401201</t>
  </si>
  <si>
    <t>CHALECO CARRIER ARMOUR BASIC</t>
  </si>
  <si>
    <t>2401242</t>
  </si>
  <si>
    <t>CHALECO ARNES ISRAELI MOLLE RRD1 BLK</t>
  </si>
  <si>
    <t>2401249</t>
  </si>
  <si>
    <t>CHALECO CARRIER C/PORTA ELEM MAZ/RRD</t>
  </si>
  <si>
    <t>2401250</t>
  </si>
  <si>
    <t>CHALECO DE TRANSP. SURVIVAL RER</t>
  </si>
  <si>
    <t>2401258</t>
  </si>
  <si>
    <t>CHALECO SEGURIDAD SIN FEFLEC RER</t>
  </si>
  <si>
    <t>2401260</t>
  </si>
  <si>
    <t>CHALECO ASUNTOS INTERNOS RER</t>
  </si>
  <si>
    <t>2401298</t>
  </si>
  <si>
    <t>CHALECO LANA AZUL MILTAR RER</t>
  </si>
  <si>
    <t>2401350</t>
  </si>
  <si>
    <t>CHALECO ISRAELI CON P/CARTU MAZ</t>
  </si>
  <si>
    <t>2401550</t>
  </si>
  <si>
    <t>CHALECO ARNES VIAL VERDE GN RRD2b BLK</t>
  </si>
  <si>
    <t>2401555</t>
  </si>
  <si>
    <t>CHALECO MINI SMALL</t>
  </si>
  <si>
    <t>2401584</t>
  </si>
  <si>
    <t>CHALECO C/V LANA NEGRO MILIT EMTRI007 EM</t>
  </si>
  <si>
    <t>2401800</t>
  </si>
  <si>
    <t>CHALECO BANDOLERA C/CARTEL NARA 2020 HAI</t>
  </si>
  <si>
    <t>2401803</t>
  </si>
  <si>
    <t>2401805</t>
  </si>
  <si>
    <t>CHALECO BANDOLERA CCARTEL LIMON 2021 HAI</t>
  </si>
  <si>
    <t>2401806</t>
  </si>
  <si>
    <t>CHALECO ISRAELI HALCON MAZ</t>
  </si>
  <si>
    <t>2601003</t>
  </si>
  <si>
    <t>TRICOPOLAR NEGRO RER</t>
  </si>
  <si>
    <t>2601004</t>
  </si>
  <si>
    <t>TRICOPOLAR AZUL RER</t>
  </si>
  <si>
    <t>2601005</t>
  </si>
  <si>
    <t>TRICOPOLAR MARRON RER</t>
  </si>
  <si>
    <t>2601495</t>
  </si>
  <si>
    <t>BUZO FRIZA AZUL CON CIERRE 3XS/2XL RER</t>
  </si>
  <si>
    <t>2601496</t>
  </si>
  <si>
    <t>BUZO FRIZA AZUL CON CIERRE 3XL/4XL RER</t>
  </si>
  <si>
    <t>2601594</t>
  </si>
  <si>
    <t>BUZO FRIZA POLICIA CIENTIFICA RER</t>
  </si>
  <si>
    <t>2601750</t>
  </si>
  <si>
    <t>TRICOPOLAR GRIS RER</t>
  </si>
  <si>
    <t>2601850</t>
  </si>
  <si>
    <t>BUZO FRIZA GRIS CON CIERRE  3XS/2XL RER</t>
  </si>
  <si>
    <t>2601851</t>
  </si>
  <si>
    <t>BUZO FRIZA GRIS CON CIERRE 3XL/4XL RER</t>
  </si>
  <si>
    <t>2601888</t>
  </si>
  <si>
    <t>TRICOPOLAR POL TUCUMAN RER</t>
  </si>
  <si>
    <t>2601900</t>
  </si>
  <si>
    <t>BUZO FRIZA NEGRO CON CIERRE 3XS/2XL RER</t>
  </si>
  <si>
    <t>2601901</t>
  </si>
  <si>
    <t>BUZO FRIZA NEGRO CON CIERRE 3XL/4XL RER</t>
  </si>
  <si>
    <t>2727030</t>
  </si>
  <si>
    <t>CUCHILLO NAVAJA CUCHARA</t>
  </si>
  <si>
    <t>2846646</t>
  </si>
  <si>
    <t>HEBILLA METALICA COBRA 5646</t>
  </si>
  <si>
    <t>2849103</t>
  </si>
  <si>
    <t>TERMINALES CORREA VERDE PLASTICK BUCKLE3</t>
  </si>
  <si>
    <t>2849225</t>
  </si>
  <si>
    <t>PASADOR REGULABLE CHICO 6.5</t>
  </si>
  <si>
    <t>2849230</t>
  </si>
  <si>
    <t>ABROJO BEIGE SUAVE 5CM 5423-1</t>
  </si>
  <si>
    <t>2849231</t>
  </si>
  <si>
    <t>ABROJO BEIGE ASPERO 5CM 5423-1</t>
  </si>
  <si>
    <t>2849232</t>
  </si>
  <si>
    <t>ABROJO BEIGE ASPERO 2.5</t>
  </si>
  <si>
    <t>2849233</t>
  </si>
  <si>
    <t>ABROJO BEIGE SUAVE 2.5 5423-2</t>
  </si>
  <si>
    <t>2849238</t>
  </si>
  <si>
    <t>PASADOR REGULABLE MEDIANO 16.5</t>
  </si>
  <si>
    <t>2849250</t>
  </si>
  <si>
    <t>PASADOR REGULABLE GRANDE 21.5</t>
  </si>
  <si>
    <t>2849302</t>
  </si>
  <si>
    <t>PASADOR TIPO ANILLO EN D VERDE AC302</t>
  </si>
  <si>
    <t>2849304</t>
  </si>
  <si>
    <t>PASADOR RECTANGULAR VERDE PLAST BUCKLE 4</t>
  </si>
  <si>
    <t>2849361</t>
  </si>
  <si>
    <t>BOLSA CIERRE A PRESION 8034-36-1</t>
  </si>
  <si>
    <t>2849425</t>
  </si>
  <si>
    <t>PASADOR RECTANGULAR CHICO 4.4</t>
  </si>
  <si>
    <t>2849437</t>
  </si>
  <si>
    <t>CORDON ELASTICO BLANCO 5437</t>
  </si>
  <si>
    <t>2849438</t>
  </si>
  <si>
    <t>PASADOR RECTANGULAR MEDIANO 6.2</t>
  </si>
  <si>
    <t>2849450</t>
  </si>
  <si>
    <t>PASADOR RECTANGULAR GRANDE 6.8</t>
  </si>
  <si>
    <t>2849505</t>
  </si>
  <si>
    <t>HEBILLA DE CIERRE REGUL 5 PLAS BUCKLE 10</t>
  </si>
  <si>
    <t>2849525</t>
  </si>
  <si>
    <t>HEBILLA CIERRE REGULABLE 2.5CM</t>
  </si>
  <si>
    <t>2849538</t>
  </si>
  <si>
    <t>HEBILLA CIERRE REGUL PLAST BUCKLE 9 3.8</t>
  </si>
  <si>
    <t>2849612</t>
  </si>
  <si>
    <t>TANCA PLASTIK BUCKLE 1 PA612A</t>
  </si>
  <si>
    <t>2849646</t>
  </si>
  <si>
    <t>HEBILLA METALICA COBRA CON BOTON 5646</t>
  </si>
  <si>
    <t>2849647</t>
  </si>
  <si>
    <t>HEBILLA METALICA COBRA CON SEGURO 5646</t>
  </si>
  <si>
    <t>2849648</t>
  </si>
  <si>
    <t>HEBILLA TRIPLE SEG. CINTO AMERICANO</t>
  </si>
  <si>
    <t>2849736</t>
  </si>
  <si>
    <t>HEBILLA METALICA PASADOR</t>
  </si>
  <si>
    <t>2849737</t>
  </si>
  <si>
    <t>PASADOR DE METAL</t>
  </si>
  <si>
    <t>2849738</t>
  </si>
  <si>
    <t>PASADOR D METAL HOOK 3</t>
  </si>
  <si>
    <t>2849907</t>
  </si>
  <si>
    <t>TIRA CIERRE VERDE PLAST BUCKLE 7</t>
  </si>
  <si>
    <t>3</t>
  </si>
  <si>
    <t>GASTO ADMINISTRATIVO 3 CUOTAS</t>
  </si>
  <si>
    <t>30 DCTO LINTE</t>
  </si>
  <si>
    <t>PROMO 30% DCTO  EN LA 2° UNIDAD LLEVANDO</t>
  </si>
  <si>
    <t>3101024</t>
  </si>
  <si>
    <t>CONJ DEPORTIVO AUXILIAR IUSP RER</t>
  </si>
  <si>
    <t>3101025</t>
  </si>
  <si>
    <t>PANT JOGGINS GRIS 2XS/2XL RER</t>
  </si>
  <si>
    <t>3101027</t>
  </si>
  <si>
    <t>PANT FRIZA AZUL IUSP 2XS/2XL</t>
  </si>
  <si>
    <t>3101028</t>
  </si>
  <si>
    <t>PANT FRIZA AZUL IUSP 3XL/6XL</t>
  </si>
  <si>
    <t>3101100</t>
  </si>
  <si>
    <t>CONJ DEPORT MARCA RERDA T4/16 RER</t>
  </si>
  <si>
    <t>3101101</t>
  </si>
  <si>
    <t>CONJ DEPORT MARCA RERDA ADULTO RER</t>
  </si>
  <si>
    <t>3101102</t>
  </si>
  <si>
    <t>CONJ DEPORTIVO TECNICO INFOPE RER</t>
  </si>
  <si>
    <t>3101103</t>
  </si>
  <si>
    <t>CONJ DEPORTIVO AGENTES INFOPE RER</t>
  </si>
  <si>
    <t>3101370</t>
  </si>
  <si>
    <t>CONJ DEPORTIVO TECNICO IUSP RER</t>
  </si>
  <si>
    <t>3101485</t>
  </si>
  <si>
    <t>CONJ DE LIMPIEZA Y JARDINERIA</t>
  </si>
  <si>
    <t>3101486</t>
  </si>
  <si>
    <t>PANTALON  CONJ LIMPIEZA RER</t>
  </si>
  <si>
    <t>3101487</t>
  </si>
  <si>
    <t>CASACA CONJ. LIMPIEZA RER</t>
  </si>
  <si>
    <t>3101488</t>
  </si>
  <si>
    <t>AMBO QUIRURJICO</t>
  </si>
  <si>
    <t>3101555</t>
  </si>
  <si>
    <t>CONJ GRIS/AZ INVIE LMGE NUEVO MODELO RER</t>
  </si>
  <si>
    <t>3101666</t>
  </si>
  <si>
    <t>CONJ GRIS/AZ VERA LMGE NUEVO MODELO RER</t>
  </si>
  <si>
    <t>3101777</t>
  </si>
  <si>
    <t>CONJ ESC CADETES STA CRUZ GRIS/AZUL RER</t>
  </si>
  <si>
    <t>3101888</t>
  </si>
  <si>
    <t>CONJ AZUL/GRIS EJERCITO ARGENTINO RER</t>
  </si>
  <si>
    <t>3101948</t>
  </si>
  <si>
    <t>CONJ TERMICO RERDA ART.0948/532016 NE/BE</t>
  </si>
  <si>
    <t>3101998</t>
  </si>
  <si>
    <t>CONJ GRIS\AZUL LISO RER</t>
  </si>
  <si>
    <t>3101999</t>
  </si>
  <si>
    <t>CONJ GRIS/AZUL LMGE BORD RER</t>
  </si>
  <si>
    <t>4</t>
  </si>
  <si>
    <t>GASTOS ADMINISTRATIVO 4 CUOTAS</t>
  </si>
  <si>
    <t>4027105</t>
  </si>
  <si>
    <t>BOLSA DE POLIETILENO CON CIERRE</t>
  </si>
  <si>
    <t>4027142</t>
  </si>
  <si>
    <t>BOLSA DE POLIETILENO TRANSP C CIERRE</t>
  </si>
  <si>
    <t>4027710</t>
  </si>
  <si>
    <t>BOLSA POLIET TRANSP C CIERRE PRESION</t>
  </si>
  <si>
    <t>4027813</t>
  </si>
  <si>
    <t>BOLSA POLIETILENO TRANSP C CIERRE</t>
  </si>
  <si>
    <t>4101002</t>
  </si>
  <si>
    <t>GARIBALDINA RIP MAO TIGER CEL 2XS/2XL</t>
  </si>
  <si>
    <t>4101003</t>
  </si>
  <si>
    <t>GARIBALDINA RIP MAO TIGER CEL 3XL/5XL</t>
  </si>
  <si>
    <t>4120000</t>
  </si>
  <si>
    <t>4120001</t>
  </si>
  <si>
    <t>CAMISA ML BAT GRIS TORCASA MUESTRA T42</t>
  </si>
  <si>
    <t>4120003</t>
  </si>
  <si>
    <t>CAMISA ML BAT GRIS TORC 34/44 RER</t>
  </si>
  <si>
    <t>4120004</t>
  </si>
  <si>
    <t>CAMISA MC BAT GRIS TORC CORB 52/56 RER</t>
  </si>
  <si>
    <t>4120005</t>
  </si>
  <si>
    <t>CAMISA ML BAT GRIS TORC 46/50 RER</t>
  </si>
  <si>
    <t>4120006</t>
  </si>
  <si>
    <t>CAMISA ML BAT GRIS TORC 52/56 RER</t>
  </si>
  <si>
    <t>4120007</t>
  </si>
  <si>
    <t>CAMISA MC BAT GRIS TORC CORB 34/44 RER</t>
  </si>
  <si>
    <t>4120008</t>
  </si>
  <si>
    <t>CAMISA MC BAT GRIS TORC CORB 46/50 RER</t>
  </si>
  <si>
    <t>4120009</t>
  </si>
  <si>
    <t>CAMISA ML BAT NEGRA 34/44 RER</t>
  </si>
  <si>
    <t>4120010</t>
  </si>
  <si>
    <t>CAMISA ML BAT NEGRA 46/50 RER</t>
  </si>
  <si>
    <t>4120011</t>
  </si>
  <si>
    <t>CAMISA ML BAT CLTE ITAL 32/44 RER</t>
  </si>
  <si>
    <t>4120012</t>
  </si>
  <si>
    <t>CAMISA ML BAT CLTE ITAL 46/50 RER</t>
  </si>
  <si>
    <t>4120013</t>
  </si>
  <si>
    <t>CAMISA ML BAT CLTE ITAL 52/56 RER</t>
  </si>
  <si>
    <t>4120015</t>
  </si>
  <si>
    <t>CAMISA MC BAT CELESTE ITAL 32/44 RER</t>
  </si>
  <si>
    <t>4120016</t>
  </si>
  <si>
    <t>CAMISA MC BAT CELESTE ITAL 46/50 RER</t>
  </si>
  <si>
    <t>4120018</t>
  </si>
  <si>
    <t>CAMISA MC BAT CELESTE ITAL 52/56 RER</t>
  </si>
  <si>
    <t>4120020</t>
  </si>
  <si>
    <t>CAMISA ML URB TMAN 32/44 RER</t>
  </si>
  <si>
    <t>4120021</t>
  </si>
  <si>
    <t>CAMISA ML URB TMAN 46/50 RER</t>
  </si>
  <si>
    <t>4120022</t>
  </si>
  <si>
    <t>CAMISA ML URB TMAN 58/62 RER</t>
  </si>
  <si>
    <t>4120023</t>
  </si>
  <si>
    <t>CAMISA ML URB TMAN 52/56 RER</t>
  </si>
  <si>
    <t>4120024</t>
  </si>
  <si>
    <t>CAMISA ML BAT CEL FORR 32/44 RER</t>
  </si>
  <si>
    <t>4120025</t>
  </si>
  <si>
    <t>CAMISA ML BAT CEL FORR 46/50 RER</t>
  </si>
  <si>
    <t>4120026</t>
  </si>
  <si>
    <t>CAMISA ML BAT CEL FORR 52/56 RER</t>
  </si>
  <si>
    <t>4120027</t>
  </si>
  <si>
    <t>CAMISA ML BAT NEG FORR 32/44 RER</t>
  </si>
  <si>
    <t>4120028</t>
  </si>
  <si>
    <t>CAMISA ML BAT NEG FORR 46/50 RER</t>
  </si>
  <si>
    <t>4120029</t>
  </si>
  <si>
    <t>CAMISA ML BAT NEG FORR 52/56 RER</t>
  </si>
  <si>
    <t>4120030</t>
  </si>
  <si>
    <t>CAMISA MC DALV ELIMINAR</t>
  </si>
  <si>
    <t>4120031</t>
  </si>
  <si>
    <t>4120032</t>
  </si>
  <si>
    <t>4120033</t>
  </si>
  <si>
    <t>4120035</t>
  </si>
  <si>
    <t>CAMISA MC COMBINADA SARPOL/ESPER 32/44 R</t>
  </si>
  <si>
    <t>4120036</t>
  </si>
  <si>
    <t>CAMISA MC COMBINADA SARPOL/ESPER 46/50 R</t>
  </si>
  <si>
    <t>4120037</t>
  </si>
  <si>
    <t>CAMISA MC COMBINADA SARPOL/ESPER 52/60 R</t>
  </si>
  <si>
    <t>4120038</t>
  </si>
  <si>
    <t>CAMISA MC BAT BLANCA CORBATA 34/44 RER</t>
  </si>
  <si>
    <t>4120039</t>
  </si>
  <si>
    <t>CAMISA MC BAT BLANCA CORBATA 46/50 RER</t>
  </si>
  <si>
    <t>4120040</t>
  </si>
  <si>
    <t>CAMISA MC BAT BLANCA CORBATA 52/56 RER</t>
  </si>
  <si>
    <t>4120041</t>
  </si>
  <si>
    <t>CAMISA MC BAT BLANCA CORBATA 58/62 RER</t>
  </si>
  <si>
    <t>4120042</t>
  </si>
  <si>
    <t>CAMISA MC BAT GRIS TORC SOLAPA 34/44 RER</t>
  </si>
  <si>
    <t>4120043</t>
  </si>
  <si>
    <t>CAMISA MC BAT GRIS TORC SOLAPA 46/50 RER</t>
  </si>
  <si>
    <t>4120044</t>
  </si>
  <si>
    <t>CAMISA MC BAT GRIS TORC SOLAPA 52/56 RER</t>
  </si>
  <si>
    <t>4120045</t>
  </si>
  <si>
    <t>CAMISA MC BAT GRIS TORC SOLAPA 58/62 RER</t>
  </si>
  <si>
    <t>4120046</t>
  </si>
  <si>
    <t>CAMISA ML COMBINADA SARPOL/ESPERA 32/44</t>
  </si>
  <si>
    <t>4120047</t>
  </si>
  <si>
    <t>CAMISA ML COMBINADA SARPOL/ESPERA 46/50</t>
  </si>
  <si>
    <t>4120048</t>
  </si>
  <si>
    <t>CAMISA ML COMBINADA SARPOL 52/56 RER</t>
  </si>
  <si>
    <t>4120050</t>
  </si>
  <si>
    <t>CAMISA ML TRANSITO GUAYMALLEN RER</t>
  </si>
  <si>
    <t>4120051</t>
  </si>
  <si>
    <t>CAMISA ML DEFENZA CIVIL GUAYMALLEN RER</t>
  </si>
  <si>
    <t>4120052</t>
  </si>
  <si>
    <t>CAMISA ML DEMARCACION VIAL GLLEN RER</t>
  </si>
  <si>
    <t>4120055</t>
  </si>
  <si>
    <t>CAMISA ML GAB ROJA 34/44 RER</t>
  </si>
  <si>
    <t>4120056</t>
  </si>
  <si>
    <t>CAMISA ML GAB ROJA 46/50 RER</t>
  </si>
  <si>
    <t>4120057</t>
  </si>
  <si>
    <t>CAMISA ML GAB ROJA 52/56 RER</t>
  </si>
  <si>
    <t>4120058</t>
  </si>
  <si>
    <t>CAMISA ML BAT CELESTE VIP 34/44 RER</t>
  </si>
  <si>
    <t>4120059</t>
  </si>
  <si>
    <t>CAMISA ML BAT CELESTE VIP 46/50 RER</t>
  </si>
  <si>
    <t>4120060</t>
  </si>
  <si>
    <t>CAMISA ML BAT CELESTE VIP 52/56 RER</t>
  </si>
  <si>
    <t>4120061</t>
  </si>
  <si>
    <t>CAMISA ML BAT CELESTE VIP 58/66 RER</t>
  </si>
  <si>
    <t>4120062</t>
  </si>
  <si>
    <t>CAMISA ML BAT BLANCA VIP 34/44</t>
  </si>
  <si>
    <t>4120063</t>
  </si>
  <si>
    <t>CAMISA ML BAT BLANCA VIP 46/50</t>
  </si>
  <si>
    <t>4120064</t>
  </si>
  <si>
    <t>CAMISA ML BAT BLANCA VIP 52/56</t>
  </si>
  <si>
    <t>4120065</t>
  </si>
  <si>
    <t>CAMISA ML BAT BLANCA VIP 58/66</t>
  </si>
  <si>
    <t>4120066</t>
  </si>
  <si>
    <t>CAMISA ML BAT GRIS VIP 34/44 RER</t>
  </si>
  <si>
    <t>4120067</t>
  </si>
  <si>
    <t>CAMISA ML BAT GRIS VIP 46/50 RER</t>
  </si>
  <si>
    <t>4120068</t>
  </si>
  <si>
    <t>CAMISA ML BAT GRIS VIP 52/56 RER</t>
  </si>
  <si>
    <t>4120069</t>
  </si>
  <si>
    <t>CAMISA ML BAT GRIS VIP 58/66 RER</t>
  </si>
  <si>
    <t>4120070</t>
  </si>
  <si>
    <t>CAMISA MC CEL SOLAPA VIP 34/44</t>
  </si>
  <si>
    <t>4120071</t>
  </si>
  <si>
    <t>CAMISA MC CEL SOLAPA VIP 46/50</t>
  </si>
  <si>
    <t>4120072</t>
  </si>
  <si>
    <t>CAMISA MC CEL SOLAPA VIP 52/56</t>
  </si>
  <si>
    <t>4120073</t>
  </si>
  <si>
    <t>CAMISA MC CEL SOLAPA VIP 58/66</t>
  </si>
  <si>
    <t>4120074</t>
  </si>
  <si>
    <t>CAMISA MC BLANCA SOLAPA VIP 34/44</t>
  </si>
  <si>
    <t>4120075</t>
  </si>
  <si>
    <t>CAMISA MC BLANCA SOLAPA VIP 46/50</t>
  </si>
  <si>
    <t>4120076</t>
  </si>
  <si>
    <t>CAMISA MC BLANCA SOLAPA VIP 52/56</t>
  </si>
  <si>
    <t>4120077</t>
  </si>
  <si>
    <t>CAMISA MC BLANCA SOLAPA VIP 58/66</t>
  </si>
  <si>
    <t>4120078</t>
  </si>
  <si>
    <t>CAMISA MC GRIS SOLAPA VIP 34/44</t>
  </si>
  <si>
    <t>4120079</t>
  </si>
  <si>
    <t>CAMISA MC GRIS SOLAPA VIP 46/50</t>
  </si>
  <si>
    <t>4120080</t>
  </si>
  <si>
    <t>CAMISA MC GRIS SOLAPA VIP 52/56</t>
  </si>
  <si>
    <t>4120081</t>
  </si>
  <si>
    <t>CAMISA MC GRIS SOLAPA VIP 58/66</t>
  </si>
  <si>
    <t>4120082</t>
  </si>
  <si>
    <t>CAMISA MC NEGRA SOLAPA VIP 34/44</t>
  </si>
  <si>
    <t>4120083</t>
  </si>
  <si>
    <t>CAMISA MC NEGRA SOLAPA VIP 46/50</t>
  </si>
  <si>
    <t>4120084</t>
  </si>
  <si>
    <t>CAMISA MC NEGRA SOLAPA VIP 52/56</t>
  </si>
  <si>
    <t>4120085</t>
  </si>
  <si>
    <t>CAMISA MC NEGRA SOLAPA VIP 58/66</t>
  </si>
  <si>
    <t>4120086</t>
  </si>
  <si>
    <t>CAMISA MC AZUL SOLAPA VIP 34/44</t>
  </si>
  <si>
    <t>4120087</t>
  </si>
  <si>
    <t>CAMISA MC AZUL SOLAPA VIP 46/50</t>
  </si>
  <si>
    <t>4120088</t>
  </si>
  <si>
    <t>CAMISA MC AZUL SOLAPA VIP 52/56</t>
  </si>
  <si>
    <t>4120089</t>
  </si>
  <si>
    <t>CAMISA MC AZUL SOLAPA VIP 58/66</t>
  </si>
  <si>
    <t>4120100</t>
  </si>
  <si>
    <t>CAMISA ML BAT BLANCA 34/44 RER</t>
  </si>
  <si>
    <t>4120101</t>
  </si>
  <si>
    <t>CAMISA ML BAT BLANCA 46/50 RER</t>
  </si>
  <si>
    <t>4120103</t>
  </si>
  <si>
    <t>CAMISA ML BAT BLANCA 52/56 RER</t>
  </si>
  <si>
    <t>4120104</t>
  </si>
  <si>
    <t>CAMISA ML BAT BLANCA 58/66 RER</t>
  </si>
  <si>
    <t>4120105</t>
  </si>
  <si>
    <t>CAMISA MC BAT BLANCA SOLAPA 64/66 RER</t>
  </si>
  <si>
    <t>4120106</t>
  </si>
  <si>
    <t>CAMISA ML BAT BLANCA C/ESC 34/44 RER</t>
  </si>
  <si>
    <t>4120107</t>
  </si>
  <si>
    <t>CAMISA ML BAT BLANCA C/ESC 46/50 RER</t>
  </si>
  <si>
    <t>4120108</t>
  </si>
  <si>
    <t>CAMISA ML BAT BLAN CVIVOS NARA ELIMIN</t>
  </si>
  <si>
    <t>4120109</t>
  </si>
  <si>
    <t>CAMISA MC BAT BLAN CVIVO NARAN 46/50 RER</t>
  </si>
  <si>
    <t>4120110</t>
  </si>
  <si>
    <t>CAMISA MC BAT BLANCA SOLAPA 34/44 RER</t>
  </si>
  <si>
    <t>4120111</t>
  </si>
  <si>
    <t>CAMISA ML BAT NEGRA 52/56 RER</t>
  </si>
  <si>
    <t>4120112</t>
  </si>
  <si>
    <t>4120113</t>
  </si>
  <si>
    <t>4120115</t>
  </si>
  <si>
    <t>CAMISA MC BAT BLANCA SOLAPA 46/50 RER</t>
  </si>
  <si>
    <t>4120116</t>
  </si>
  <si>
    <t>CAMISA ML BAT BLAN C/ESC 52/56 RER</t>
  </si>
  <si>
    <t>4120120</t>
  </si>
  <si>
    <t>CAMISA MC URB TMAN 32/44 RER</t>
  </si>
  <si>
    <t>4120121</t>
  </si>
  <si>
    <t>CAMISA MC URB TMAN 46/50 RER</t>
  </si>
  <si>
    <t>4120123</t>
  </si>
  <si>
    <t>CAMISA MC URB TMAN 52/56 RER</t>
  </si>
  <si>
    <t>4120124</t>
  </si>
  <si>
    <t>CAMISA MC URB TMAN 58/62 RER</t>
  </si>
  <si>
    <t>4120130</t>
  </si>
  <si>
    <t>CAMISA ML GAB GRIS ACERO SPF 34/44 RER</t>
  </si>
  <si>
    <t>4120131</t>
  </si>
  <si>
    <t>CAMISA ML GAB GRIS ACERO SPF 46/50 RER</t>
  </si>
  <si>
    <t>4120138</t>
  </si>
  <si>
    <t>CAMISA MC GAB GR ACEROSPF SOL 34/44 RER</t>
  </si>
  <si>
    <t>4120139</t>
  </si>
  <si>
    <t>CAMISA MC GAB GR ACEROSPF SOL 46/50 RER</t>
  </si>
  <si>
    <t>4120150</t>
  </si>
  <si>
    <t>CAMISA MC BAT BLANCA C ESCUDO 34/44 RER</t>
  </si>
  <si>
    <t>4120151</t>
  </si>
  <si>
    <t>CAMISA MC BAT BLANCA C ESCUDO 46/50 RER</t>
  </si>
  <si>
    <t>4120159</t>
  </si>
  <si>
    <t>CAMISA MIL RAYAS ELIMINAR</t>
  </si>
  <si>
    <t>4120160</t>
  </si>
  <si>
    <t>CAMISA ML GAB BOMBE CUTRAL CO 34/44 RER</t>
  </si>
  <si>
    <t>4120161</t>
  </si>
  <si>
    <t>CAMISA ML GAB BOMBE CUTRAL CO 46/50 RER</t>
  </si>
  <si>
    <t>4120161B</t>
  </si>
  <si>
    <t>CAMISA ML GAB BOMBEROS CUTAL CO 46/50</t>
  </si>
  <si>
    <t>4120162</t>
  </si>
  <si>
    <t>CAMISA ML GAB BOMBE CUTRAL CO 52/56 RER</t>
  </si>
  <si>
    <t>4120200</t>
  </si>
  <si>
    <t>CAMISA MC BAT CEL SIR JONS 34/44 RER</t>
  </si>
  <si>
    <t>4120201</t>
  </si>
  <si>
    <t>CAMISA MC BAT CEL SIR JONS 46/50 RER</t>
  </si>
  <si>
    <t>4120202</t>
  </si>
  <si>
    <t>CAMISA MC BAT CEL SIR JONS 52/56 RER</t>
  </si>
  <si>
    <t>4120220</t>
  </si>
  <si>
    <t>CAMISA MC BAT BLANCA SOLAPA 52/56 RER</t>
  </si>
  <si>
    <t>4120221</t>
  </si>
  <si>
    <t>CAMISA MC BAT BLANCA SOLAPA 58/62 RER</t>
  </si>
  <si>
    <t>4120222</t>
  </si>
  <si>
    <t>CAMISA MC BAT BLANCA CORB TUCU 34/44 RER</t>
  </si>
  <si>
    <t>4120223</t>
  </si>
  <si>
    <t>CAMISA MC BAT BLANCA CORB TUCU 46/50 RER</t>
  </si>
  <si>
    <t>4120224</t>
  </si>
  <si>
    <t>CAMISA MC BAT BLANCA CORB TUCU 52/56 RER</t>
  </si>
  <si>
    <t>4120232</t>
  </si>
  <si>
    <t>CAMISA ML BAT CEL NQN 58/66 RER</t>
  </si>
  <si>
    <t>4120233</t>
  </si>
  <si>
    <t>CAMISA ML BAT CEL NQN C/ESC 34/44 RER</t>
  </si>
  <si>
    <t>4120234</t>
  </si>
  <si>
    <t>CAMISA ML BAT CEL NQN C/ESC 46/50 RER</t>
  </si>
  <si>
    <t>4120235</t>
  </si>
  <si>
    <t>CAMISA ML BAT NQN C/ESC 52/56 RER</t>
  </si>
  <si>
    <t>4120236</t>
  </si>
  <si>
    <t>CAMISA ML BAT CEL NQN 34/44 RER</t>
  </si>
  <si>
    <t>4120237</t>
  </si>
  <si>
    <t>CAMISA ML BAT CEL NQN 46/50 RER</t>
  </si>
  <si>
    <t>4120238</t>
  </si>
  <si>
    <t>CAMISA ML BAT CEL NQN 52/56 RER</t>
  </si>
  <si>
    <t>4120239</t>
  </si>
  <si>
    <t>CAMISA MC BAT CEL NQN CORB 34/44 RER</t>
  </si>
  <si>
    <t>4120240</t>
  </si>
  <si>
    <t>CAMISA MC BAT CEL NQN CORB 46/50 RER</t>
  </si>
  <si>
    <t>4120241</t>
  </si>
  <si>
    <t>CAMISA MC BAT CEL NQN CORB 52/56 RER</t>
  </si>
  <si>
    <t>4120242</t>
  </si>
  <si>
    <t>CAMISA MC BAT CEL NQN SOLAP 34/44 RER</t>
  </si>
  <si>
    <t>4120243</t>
  </si>
  <si>
    <t>CAMISA MC BAT CEL NQN SOLAP 46/50 RER</t>
  </si>
  <si>
    <t>4120244</t>
  </si>
  <si>
    <t>CAMISA MC BAT CEL NQN SOLAP 52/56 RER</t>
  </si>
  <si>
    <t>4120245</t>
  </si>
  <si>
    <t>CAMISA MC BAT CEL NQN CESC COR 34/44 RER</t>
  </si>
  <si>
    <t>4120246</t>
  </si>
  <si>
    <t>CAMISA MC BAT CEL NQN CESC COR 46/50 RER</t>
  </si>
  <si>
    <t>4120247</t>
  </si>
  <si>
    <t>CAMISA MC BAT CEL NQN CESC COR 52/56 RER</t>
  </si>
  <si>
    <t>4120250</t>
  </si>
  <si>
    <t>CAMISA MC AMER SEG ELIMINAR</t>
  </si>
  <si>
    <t>4120251</t>
  </si>
  <si>
    <t>4120252</t>
  </si>
  <si>
    <t>4120254</t>
  </si>
  <si>
    <t>CAMISA ML BLANCA LICEO  34/44</t>
  </si>
  <si>
    <t>4120255</t>
  </si>
  <si>
    <t>CAMISA ML BAT BLA AMER SEG 46/50ELIMIN</t>
  </si>
  <si>
    <t>4120256</t>
  </si>
  <si>
    <t>CAMISA ML BAT BLA AMER SEG 52/56ELIMIN</t>
  </si>
  <si>
    <t>4120270</t>
  </si>
  <si>
    <t>CAMISA ML BAT AZUL VIP 34/44 RER</t>
  </si>
  <si>
    <t>4120271</t>
  </si>
  <si>
    <t>CAMISA ML BAT AZUL VIP 46/50 RER</t>
  </si>
  <si>
    <t>4120272</t>
  </si>
  <si>
    <t>CAMISA ML BAT AZUL VIP 52/56 RER</t>
  </si>
  <si>
    <t>4120300</t>
  </si>
  <si>
    <t>CAMISA MC BAT AZUL CORBATA VIP 34/44</t>
  </si>
  <si>
    <t>4120301</t>
  </si>
  <si>
    <t>CAMISA ML VERDE GAL PIAZZA 34/46 ELIMIN</t>
  </si>
  <si>
    <t>4120302</t>
  </si>
  <si>
    <t>CAMISA ML VERDE GAL PIAZZA 48/50 ELIMIN</t>
  </si>
  <si>
    <t>4120303</t>
  </si>
  <si>
    <t>CAMISA MC BAT AZUL CORBATA VIP 46/50</t>
  </si>
  <si>
    <t>4120304</t>
  </si>
  <si>
    <t>CAMISA MC BAT AZUL CORBATA VIP 52/56</t>
  </si>
  <si>
    <t>4120334</t>
  </si>
  <si>
    <t>CAMISA MC BAT AZUL SOLAPA 46/50 RER</t>
  </si>
  <si>
    <t>4120335</t>
  </si>
  <si>
    <t>CAMISA MC BAT AZUL SOLAPA 52/56 RER</t>
  </si>
  <si>
    <t>4120350</t>
  </si>
  <si>
    <t>CAMISA ML RIP MIMET VIAL TMAN 34/44 RER</t>
  </si>
  <si>
    <t>4120351</t>
  </si>
  <si>
    <t>CAMISA ML RIP MIMET VIAL TMAN 46/50 RER</t>
  </si>
  <si>
    <t>4120352</t>
  </si>
  <si>
    <t>CAMISA ML RIP MIMET VIAL TMAN 52/56 RER</t>
  </si>
  <si>
    <t>4120353</t>
  </si>
  <si>
    <t>CAMISA ML RIP REQUISA 34/44 RER</t>
  </si>
  <si>
    <t>4120354</t>
  </si>
  <si>
    <t>CAMISA ML RIP REQUISA 46/50 RER</t>
  </si>
  <si>
    <t>4120355</t>
  </si>
  <si>
    <t>CAMISA ML RIP REQUISA 52/56 RER</t>
  </si>
  <si>
    <t>4120356</t>
  </si>
  <si>
    <t>CAMISA MC BAT GR TORC CESC SFE 34/44 RER</t>
  </si>
  <si>
    <t>4120357</t>
  </si>
  <si>
    <t>CAMISA MC BAT GR TORC CESC SFE 46/50 RER</t>
  </si>
  <si>
    <t>4120358</t>
  </si>
  <si>
    <t>CAMISA MC BAT GR TORC CESC SFE 52/56 RER</t>
  </si>
  <si>
    <t>4120359</t>
  </si>
  <si>
    <t>CAMISA ML RIP REQUISA 58/62 RER</t>
  </si>
  <si>
    <t>4120400</t>
  </si>
  <si>
    <t>CAMISA MC BAT BLANCA SIR JONS 34/44 RER</t>
  </si>
  <si>
    <t>4120401</t>
  </si>
  <si>
    <t>CAMISA MC BAT BLANCA SIR JONS 46/50 RER</t>
  </si>
  <si>
    <t>4120402</t>
  </si>
  <si>
    <t>CAMISA MC BAT BLANCA SIR JONS 52/56 RER</t>
  </si>
  <si>
    <t>4120418</t>
  </si>
  <si>
    <t>CAMISA ML BAT CELESTE PREMIUM 34/44 RER</t>
  </si>
  <si>
    <t>4120419</t>
  </si>
  <si>
    <t>CAMISA ML BAT CELESTE PREMIUM 46/50 RER</t>
  </si>
  <si>
    <t>4120420</t>
  </si>
  <si>
    <t>CAMISA ML BAT CELESTE PREMIUM 52/56 RER</t>
  </si>
  <si>
    <t>4120421</t>
  </si>
  <si>
    <t>CAMISA ML BAT CELESTE PREMIUM 58/62 RER</t>
  </si>
  <si>
    <t>4120442</t>
  </si>
  <si>
    <t>CAMISA MC RIP VERANO SJ C/ESC 34/44 RER</t>
  </si>
  <si>
    <t>4120443</t>
  </si>
  <si>
    <t>CAMISA MC RIP VERANO SJ C/ESC 46/50 RER</t>
  </si>
  <si>
    <t>4120444</t>
  </si>
  <si>
    <t>CAMISA MC RIP VERANO SJ C/ESC 52/56 RER</t>
  </si>
  <si>
    <t>4120450</t>
  </si>
  <si>
    <t>CAMISA ML RIP TIGER CELESTE 34/44 RER</t>
  </si>
  <si>
    <t>4120451</t>
  </si>
  <si>
    <t>CAMISA ML RIP TIGER CELESTE 46/50 RER</t>
  </si>
  <si>
    <t>4120454</t>
  </si>
  <si>
    <t>CAMISA MC RIP RURAL 34/44 RER</t>
  </si>
  <si>
    <t>4120455</t>
  </si>
  <si>
    <t>CAMISA MC RIP RURAL 46/50 RER</t>
  </si>
  <si>
    <t>4120456</t>
  </si>
  <si>
    <t>CAMISA MC RIP RURAL 52/60 RER</t>
  </si>
  <si>
    <t>4120457</t>
  </si>
  <si>
    <t>CAMISA ML RIP RURAL 34/44 RER</t>
  </si>
  <si>
    <t>4120458</t>
  </si>
  <si>
    <t>CAMISA ML RIP RURAL 46/50 RER</t>
  </si>
  <si>
    <t>4120459</t>
  </si>
  <si>
    <t>CAMISA ML RIP RURAL 52/56 RER</t>
  </si>
  <si>
    <t>4120460</t>
  </si>
  <si>
    <t>CAMISA ML RIP VERDE 34/44 RER</t>
  </si>
  <si>
    <t>4120461</t>
  </si>
  <si>
    <t>CAMISA ML RIP VERDE 46/50 RER</t>
  </si>
  <si>
    <t>4120462</t>
  </si>
  <si>
    <t>CAMISA ML RIP VERDE 52/56 RER</t>
  </si>
  <si>
    <t>4120464</t>
  </si>
  <si>
    <t>CAMISA MC RIP TIGER CELESTE 34/44 RER</t>
  </si>
  <si>
    <t>4120465</t>
  </si>
  <si>
    <t>CAMISA MC RIP TIGER CELESTE 46/50 RER</t>
  </si>
  <si>
    <t>4120466</t>
  </si>
  <si>
    <t>CAMISA MC RIP TIGER CELESTE 52/56 RER</t>
  </si>
  <si>
    <t>4120467</t>
  </si>
  <si>
    <t>CAMISA MC RIP TIGER CELESTE 58/60 RER</t>
  </si>
  <si>
    <t>4120495</t>
  </si>
  <si>
    <t>CAMISA ML RIP AZUL 34/44 RER</t>
  </si>
  <si>
    <t>4120496</t>
  </si>
  <si>
    <t>CAMISA ML RIP AZUL 46/50 RER</t>
  </si>
  <si>
    <t>4120497</t>
  </si>
  <si>
    <t>CAMISA ML RIP AZUL 52/56 RER</t>
  </si>
  <si>
    <t>4120544</t>
  </si>
  <si>
    <t>CAMISA MC BAT CEL SOLAPA 46/50 RER</t>
  </si>
  <si>
    <t>4120545</t>
  </si>
  <si>
    <t>CAMISA MC BAT CEL SOLAPA 58/62 RER</t>
  </si>
  <si>
    <t>4120546</t>
  </si>
  <si>
    <t>CAMISA MC BAT CEL SOLAPA 64/68 RER</t>
  </si>
  <si>
    <t>4120549</t>
  </si>
  <si>
    <t>CAMISA ML RIP NEGRA 46/50</t>
  </si>
  <si>
    <t>4120567</t>
  </si>
  <si>
    <t>CAMISA MC BAT GRIS SOLAPA 34/44 RER</t>
  </si>
  <si>
    <t>4120568</t>
  </si>
  <si>
    <t>CAMISA MC BAT GRIS SOLAPA 46/50 RER</t>
  </si>
  <si>
    <t>4120569</t>
  </si>
  <si>
    <t>CAMISA MC BAT GRIS SOLAPA 52/56 RER</t>
  </si>
  <si>
    <t>4120570</t>
  </si>
  <si>
    <t>CAMISA MC BAT GRIS 58/62 RER</t>
  </si>
  <si>
    <t>4120600</t>
  </si>
  <si>
    <t>CAMISA MC BAT AZUL CORBATA 34/44 RER</t>
  </si>
  <si>
    <t>4120601</t>
  </si>
  <si>
    <t>CAMISA MC BAT AZUL CORBATA 46/50 RER</t>
  </si>
  <si>
    <t>4120602</t>
  </si>
  <si>
    <t>CAMISA MC BAT AZUL CORBATA 52/56 RER</t>
  </si>
  <si>
    <t>4120625</t>
  </si>
  <si>
    <t>CAMISA MC BAT NEGRA SOLAPA 46/50 RER</t>
  </si>
  <si>
    <t>4120627</t>
  </si>
  <si>
    <t>CAMISA MC BAT NEGRA SOLAPA 52/56 RER</t>
  </si>
  <si>
    <t>4120628</t>
  </si>
  <si>
    <t>CAMISA MC BAT NEGRA SOLAPA 58/62 RER</t>
  </si>
  <si>
    <t>4120670</t>
  </si>
  <si>
    <t>CAMISA MC BAT GRIS CORBATA 34/44 RER</t>
  </si>
  <si>
    <t>4120672</t>
  </si>
  <si>
    <t>CAMISA MC BAT GRIS CORBATA 46/50 RER</t>
  </si>
  <si>
    <t>4120674</t>
  </si>
  <si>
    <t>CAMISA MC BAT GRIS CORBATA 52/56 RER</t>
  </si>
  <si>
    <t>4120676</t>
  </si>
  <si>
    <t>CAMISA MC BAT GRIS CORBATA 58/62 RER</t>
  </si>
  <si>
    <t>4120700</t>
  </si>
  <si>
    <t>CAMISA MC BAT NEGRA CORBATA 34/44 RER</t>
  </si>
  <si>
    <t>4120701</t>
  </si>
  <si>
    <t>CAMISA MC BAT NEGRA CORBATA 46/50 RER</t>
  </si>
  <si>
    <t>4120702</t>
  </si>
  <si>
    <t>CAMISA MC BAT NEGRA CORBATA 52/56 RER</t>
  </si>
  <si>
    <t>4120750</t>
  </si>
  <si>
    <t>CAMISA ML RIP CAMUFLADA 34/44 RER</t>
  </si>
  <si>
    <t>4120751</t>
  </si>
  <si>
    <t>CAMISA ML RIP CAMUFLADA 46/50 RER</t>
  </si>
  <si>
    <t>4120752</t>
  </si>
  <si>
    <t>CAMISA ML RIP CAMUFLADO 52/56 RER</t>
  </si>
  <si>
    <t>4120753</t>
  </si>
  <si>
    <t>CAMISA ML BAT CELESTE 52/56 RER</t>
  </si>
  <si>
    <t>4120754</t>
  </si>
  <si>
    <t>CAMISA ML BAT CELESTE 58/62 RER</t>
  </si>
  <si>
    <t>4120755</t>
  </si>
  <si>
    <t>CAMISA ML BAT CELESTE 64/66 RER</t>
  </si>
  <si>
    <t>4120770</t>
  </si>
  <si>
    <t>CAMISA ML BAT GRIS TORC VIP 34/44</t>
  </si>
  <si>
    <t>4120771</t>
  </si>
  <si>
    <t>CAMISA ML BAT GRIS TORC VIP 46/50</t>
  </si>
  <si>
    <t>4120772</t>
  </si>
  <si>
    <t>CAMISA ML BAT GRIS TORC VIP 52/56</t>
  </si>
  <si>
    <t>4120773</t>
  </si>
  <si>
    <t>CAMISA ML BAT GRIS TORC VIP 58/66</t>
  </si>
  <si>
    <t>4120778</t>
  </si>
  <si>
    <t>CAMISA MC BAT CEL SOLAPA 52/56 RER</t>
  </si>
  <si>
    <t>4120800</t>
  </si>
  <si>
    <t>CAMISA MC BAT CEL SOLAPA 34/44 RER</t>
  </si>
  <si>
    <t>4120813</t>
  </si>
  <si>
    <t>4120846</t>
  </si>
  <si>
    <t>GARIBALDINA MAO RIP EJERCITO 3XL/5XL RER</t>
  </si>
  <si>
    <t>4120850</t>
  </si>
  <si>
    <t>CAMISA ML BAT CELESTE 34/44 RER</t>
  </si>
  <si>
    <t>4120851</t>
  </si>
  <si>
    <t>CAMISA MC BAT NEGRA C/ESCUDO 46/50 RER</t>
  </si>
  <si>
    <t>4120852</t>
  </si>
  <si>
    <t>CAMISA ML BAT CELESTE 46/50 RER</t>
  </si>
  <si>
    <t>4120853</t>
  </si>
  <si>
    <t>CAMISA ML BAT AZUL 34/44 RER</t>
  </si>
  <si>
    <t>4120854</t>
  </si>
  <si>
    <t>CAMISA MC BAT AZUL SOLAPA 34/44 RER</t>
  </si>
  <si>
    <t>4120855</t>
  </si>
  <si>
    <t>CAMISA ML BAT AZUL 46/50 RER</t>
  </si>
  <si>
    <t>4120857</t>
  </si>
  <si>
    <t>CAMISA ML BAT AZUL 52/56 RER</t>
  </si>
  <si>
    <t>4120860</t>
  </si>
  <si>
    <t>CAMISA MC BAT CEL CORBATA 34/44 RER</t>
  </si>
  <si>
    <t>4120870</t>
  </si>
  <si>
    <t>CAMISA MC BAT CEL CORBATA 46/50 RER</t>
  </si>
  <si>
    <t>4120880</t>
  </si>
  <si>
    <t>CAMISA MC BAT CEL CORBATA 52/56 RER</t>
  </si>
  <si>
    <t>4120881</t>
  </si>
  <si>
    <t>CAMISA MC BAT NEGRA C/ESCUDO 52/56 RER</t>
  </si>
  <si>
    <t>4120890</t>
  </si>
  <si>
    <t>CAMISA MC BAT CEL CORBATA 58/62 RER</t>
  </si>
  <si>
    <t>4120900</t>
  </si>
  <si>
    <t>CAMISA ML BAT GRIS 34/44 RER</t>
  </si>
  <si>
    <t>4120901</t>
  </si>
  <si>
    <t>CAMISA ML BAT GRIS 46/50 RER</t>
  </si>
  <si>
    <t>4120902</t>
  </si>
  <si>
    <t>CAMISA ML BAT GRIS 52/56 RER</t>
  </si>
  <si>
    <t>4120903</t>
  </si>
  <si>
    <t>CAMISA ML BAT GRIS 58/62 RER</t>
  </si>
  <si>
    <t>4120905</t>
  </si>
  <si>
    <t>CAMISA MC BAT NEGRA CON FUELLE 36/44 RER</t>
  </si>
  <si>
    <t>4120906</t>
  </si>
  <si>
    <t>CAMISA MC BAT NEGRA CON FUELLE 46/52 RER</t>
  </si>
  <si>
    <t>4120910</t>
  </si>
  <si>
    <t>CAMISA ML RIP NEGRA 34/44 RER</t>
  </si>
  <si>
    <t>4120911</t>
  </si>
  <si>
    <t>CAMISA ML RIP NEGRA 46/50 RER</t>
  </si>
  <si>
    <t>4120912</t>
  </si>
  <si>
    <t>CAMISA ML RIP NEGRA 52/56 RER</t>
  </si>
  <si>
    <t>4120913</t>
  </si>
  <si>
    <t>CAMISA ML RIP GRIS 34/44 RER</t>
  </si>
  <si>
    <t>4120914</t>
  </si>
  <si>
    <t>CAMISA ML RIP GRIS 46/50 RER</t>
  </si>
  <si>
    <t>4120915</t>
  </si>
  <si>
    <t>CAMISA ML RIP GRIS 52/56 RER</t>
  </si>
  <si>
    <t>4120916</t>
  </si>
  <si>
    <t>CAMISA ML RIP GRIS 58/62 RER</t>
  </si>
  <si>
    <t>4120917</t>
  </si>
  <si>
    <t>CAMISA ML RP GRIS 64/68 RER</t>
  </si>
  <si>
    <t>4120950</t>
  </si>
  <si>
    <t>CAMISA ML BAT NEGRO VIP 34/44</t>
  </si>
  <si>
    <t>4120951</t>
  </si>
  <si>
    <t>CAMISA ML BAT NEGRO VIP 46/50</t>
  </si>
  <si>
    <t>4120952</t>
  </si>
  <si>
    <t>CAMISA ML BAT NEGRO VIP 52/56</t>
  </si>
  <si>
    <t>4120953</t>
  </si>
  <si>
    <t>CAMISA ML BAT NEGRO VIP 58/66</t>
  </si>
  <si>
    <t>4120954</t>
  </si>
  <si>
    <t>CAMISA MC BAT NEGRA C/ESCUDO 34/44 RER</t>
  </si>
  <si>
    <t>4120963</t>
  </si>
  <si>
    <t>CAMISA ML CUELLO BLANCA MAO RER</t>
  </si>
  <si>
    <t>4120982</t>
  </si>
  <si>
    <t>CAMISA MC BAT NEGRA SOLAPA 34/44 RER</t>
  </si>
  <si>
    <t>4120987</t>
  </si>
  <si>
    <t>CAMISA ML BAT NEGRA C/FUELLE 34/44 RER</t>
  </si>
  <si>
    <t>4120988</t>
  </si>
  <si>
    <t>CAMISA ML BAT NEGRA C/FUELLE 46/50 RER</t>
  </si>
  <si>
    <t>4120989</t>
  </si>
  <si>
    <t>CAMISA ML BAT NEGRA C/FUELLE 52/56 RER</t>
  </si>
  <si>
    <t>4129001</t>
  </si>
  <si>
    <t>CAMISA ML GAB GRIS PENIT JUJUY RER</t>
  </si>
  <si>
    <t>4130123</t>
  </si>
  <si>
    <t>CAMISA MC BAT BEIGE CON GALON 34/44</t>
  </si>
  <si>
    <t>4130124</t>
  </si>
  <si>
    <t>CAMISA MC BAT BEIGE CON GALON 46/50</t>
  </si>
  <si>
    <t>4130125</t>
  </si>
  <si>
    <t>CAMISA MC BAT BEIGE CON GALON 52/56</t>
  </si>
  <si>
    <t>4130126</t>
  </si>
  <si>
    <t>CAMISA ML BAT BEIGE CON GALON 34/44</t>
  </si>
  <si>
    <t>4130127</t>
  </si>
  <si>
    <t>CAMISA ML BAT BEIGE CON GALON 46/50</t>
  </si>
  <si>
    <t>4130128</t>
  </si>
  <si>
    <t>CAMISA ML BAT BEIGE CON GALON 52/56</t>
  </si>
  <si>
    <t>4130150</t>
  </si>
  <si>
    <t>CAMISA MC BAT BEIGE LMGE 46/50 RER</t>
  </si>
  <si>
    <t>4130151</t>
  </si>
  <si>
    <t>CAMISA MC BAT BEIGE LMGE 52/56 RER</t>
  </si>
  <si>
    <t>4130152</t>
  </si>
  <si>
    <t>CAMISA MC BAT BEIGE LMGE 58/62 RER</t>
  </si>
  <si>
    <t>4130234</t>
  </si>
  <si>
    <t>CAMISA ML GAB VERDE Y CAMUFLAD ELIMINAR</t>
  </si>
  <si>
    <t>4130771</t>
  </si>
  <si>
    <t>CAMISA ML BAT BEIGE LMGE 34/44 RER</t>
  </si>
  <si>
    <t>4130776</t>
  </si>
  <si>
    <t>CAMISA MC BAT BEIGE LMGE 30/32 RER</t>
  </si>
  <si>
    <t>4130777</t>
  </si>
  <si>
    <t>CAMISA MC BAT BEIGE LMGE 34/44 RER</t>
  </si>
  <si>
    <t>4130950</t>
  </si>
  <si>
    <t>CAMISA ML BAT BEIGE LMGE 46/50 RER</t>
  </si>
  <si>
    <t>4307349</t>
  </si>
  <si>
    <t>CAMISA BLANCA ESCOLAR</t>
  </si>
  <si>
    <t>4829230</t>
  </si>
  <si>
    <t>5</t>
  </si>
  <si>
    <t>GASTOS ADMINISTRATIVO 5 CUOTAS</t>
  </si>
  <si>
    <t>5101001</t>
  </si>
  <si>
    <t>CAMP POLAR HARVA AZUL/NEGRO (4 USOS</t>
  </si>
  <si>
    <t>5101002</t>
  </si>
  <si>
    <t>GARIBALDINA MAO RIP TIGR CEL 2XS/2XL RER</t>
  </si>
  <si>
    <t>5101003</t>
  </si>
  <si>
    <t>CAMP POLAR HARVA GRIS/NEGRO (4 USOS</t>
  </si>
  <si>
    <t>5101004</t>
  </si>
  <si>
    <t>AMBO 46/54 RER</t>
  </si>
  <si>
    <t>5101005</t>
  </si>
  <si>
    <t>CAMP VERDE POLAR LMGE RER</t>
  </si>
  <si>
    <t>5101006</t>
  </si>
  <si>
    <t>GARIBALDINA MAO RIP DESERT 2XS/2XL RER</t>
  </si>
  <si>
    <t>5101007</t>
  </si>
  <si>
    <t>GARIBALDINA MAO RIP DESERT 3XL/5XL RER</t>
  </si>
  <si>
    <t>5101009</t>
  </si>
  <si>
    <t>CAMP CORTA CUELLO DESMONT AZUL EM</t>
  </si>
  <si>
    <t>5101010</t>
  </si>
  <si>
    <t>CAPA AGUA 2 RER</t>
  </si>
  <si>
    <t>5101011</t>
  </si>
  <si>
    <t>CAMP CORTA CUELLO DESMONT NEGRA EM</t>
  </si>
  <si>
    <t>5101013</t>
  </si>
  <si>
    <t>CAPA PARA AGUA AMARILLA RER</t>
  </si>
  <si>
    <t>5101014</t>
  </si>
  <si>
    <t>CAMP CORTA ALPACUNA MARRON</t>
  </si>
  <si>
    <t>5101015</t>
  </si>
  <si>
    <t>CAMPERA TRANSITO GUAYMALLEN RER</t>
  </si>
  <si>
    <t>5101016</t>
  </si>
  <si>
    <t>CAMPERA DEFESA CIVIL GUAYMALLEN</t>
  </si>
  <si>
    <t>5101017</t>
  </si>
  <si>
    <t>CAMPERA DEMARCACION VIAL GUAYMALLEN</t>
  </si>
  <si>
    <t>5101018</t>
  </si>
  <si>
    <t>CAMPERA MULTICAM SARPOL RER</t>
  </si>
  <si>
    <t>5101022</t>
  </si>
  <si>
    <t>CAMP GOLAN  POLAR CIENTIFICA RER</t>
  </si>
  <si>
    <t>5101026</t>
  </si>
  <si>
    <t>GARIBALDINA MAO RIP PITON 2XS/2XL</t>
  </si>
  <si>
    <t>5101027</t>
  </si>
  <si>
    <t>GARIBALDINA MAO RIP PITON 3XL/6XL</t>
  </si>
  <si>
    <t>5101028</t>
  </si>
  <si>
    <t>GARIBALDINA MAO RIP INFANT 3XL/5XL RER</t>
  </si>
  <si>
    <t>5101029</t>
  </si>
  <si>
    <t>GARIBALDINA MAO RIP INFANT 2XS/2XL RER</t>
  </si>
  <si>
    <t>5101030</t>
  </si>
  <si>
    <t>GARIBALDINA ARMY GAB AZUL 2XS/2XL RER</t>
  </si>
  <si>
    <t>5101031</t>
  </si>
  <si>
    <t>GARIBALDINA ARMY GAB NEGRA 2XS/2XL RER</t>
  </si>
  <si>
    <t>5101032</t>
  </si>
  <si>
    <t>GARIBALDINA ARMY GAB GRIS 2XS/2XL RER</t>
  </si>
  <si>
    <t>5101033</t>
  </si>
  <si>
    <t>GARIBALDINA JAZAK RIP INFANT 2XS/2XL RER</t>
  </si>
  <si>
    <t>5101034</t>
  </si>
  <si>
    <t>GARIBALDINA JAZAK RIP INFANT 3XL/5XL RER</t>
  </si>
  <si>
    <t>5101035</t>
  </si>
  <si>
    <t>GARIBALDINA JAZAK RIP INFANT 6XL/7XL RER</t>
  </si>
  <si>
    <t>5101036</t>
  </si>
  <si>
    <t>GARIBALDINA ARMY GAB AZUL 3XL/5XL RER</t>
  </si>
  <si>
    <t>5101037</t>
  </si>
  <si>
    <t>GARIBALDINA ARMY GAB NEGRA 3XL/5XL RER</t>
  </si>
  <si>
    <t>5101038</t>
  </si>
  <si>
    <t>GARIBALDINA ARMY GAB GRIS 3XL/4XL RER</t>
  </si>
  <si>
    <t>5101040</t>
  </si>
  <si>
    <t>GARIBALDINA JAZAK RIP VIAL T 2XS/2XL RER</t>
  </si>
  <si>
    <t>5101041</t>
  </si>
  <si>
    <t>GARIBALDINA JAZAK RIP VIAL T 3XL/5XL RER</t>
  </si>
  <si>
    <t>5101042</t>
  </si>
  <si>
    <t>GARIBALDINA JAZAK RIP VIAL T 6XL/7XL RER</t>
  </si>
  <si>
    <t>5101044</t>
  </si>
  <si>
    <t>GARIBALDINA RIP MAO VIAL TUCUMAN 3XL/6XL</t>
  </si>
  <si>
    <t>5101046</t>
  </si>
  <si>
    <t>GARIBALDINA MAO GAB GRIS FED 3XS/2XL RER</t>
  </si>
  <si>
    <t>5101047</t>
  </si>
  <si>
    <t>GARIBALDINA MAO GAB GRIS FED 3XL/6XL RER</t>
  </si>
  <si>
    <t>5101048</t>
  </si>
  <si>
    <t>GARIBALDINA MAO GAB AZUL 3XS/2XL RER</t>
  </si>
  <si>
    <t>5101049</t>
  </si>
  <si>
    <t>GARIBALDINA MAO GAB AZUL 3XL/6XL RER</t>
  </si>
  <si>
    <t>5101050</t>
  </si>
  <si>
    <t>GARIBALDINA ARMY RIP NEGRA 2XS/2XL RER</t>
  </si>
  <si>
    <t>5101051</t>
  </si>
  <si>
    <t>GARIBALDINA ARMY RIP NEGRA 3XL/5XL RER</t>
  </si>
  <si>
    <t>5101052</t>
  </si>
  <si>
    <t>GARIBALDINA MAO GAB NEGRA 2XS/2XL</t>
  </si>
  <si>
    <t>5101053</t>
  </si>
  <si>
    <t>5101083</t>
  </si>
  <si>
    <t>CAMP INVEST GRIS RER</t>
  </si>
  <si>
    <t>5101087</t>
  </si>
  <si>
    <t>CAMP REVERS NEGRO/GRIS  ALFHA RER</t>
  </si>
  <si>
    <t>5101088</t>
  </si>
  <si>
    <t>CAMP REVERS NEGRO/AZUL ALFHA RER</t>
  </si>
  <si>
    <t>5101090</t>
  </si>
  <si>
    <t>CAMP SOFT JAYAL AZUL 2XS/2XL</t>
  </si>
  <si>
    <t>5101091</t>
  </si>
  <si>
    <t>CAMP SOFT JAYAL AZUL 3XL/6XL</t>
  </si>
  <si>
    <t>5101093</t>
  </si>
  <si>
    <t>CAMP SOFT JAYAL NEGRA 2XS/2XL</t>
  </si>
  <si>
    <t>5101094</t>
  </si>
  <si>
    <t>CAMP SOFT JAYAL NEGRA 3XL/6XL</t>
  </si>
  <si>
    <t>5101100</t>
  </si>
  <si>
    <t>CAMP SOFT NEGRA RER</t>
  </si>
  <si>
    <t>5101101</t>
  </si>
  <si>
    <t>CAMP SOFT AZUL RER</t>
  </si>
  <si>
    <t>5101102</t>
  </si>
  <si>
    <t>CAMP SOFT SHELL AZUL 2XL/5XL RER</t>
  </si>
  <si>
    <t>5101104</t>
  </si>
  <si>
    <t>CAMP BERNA VESTIR/VIVO AZ/NE WKB682 GYG</t>
  </si>
  <si>
    <t>5101105</t>
  </si>
  <si>
    <t>CAMP USPALLATA SOFT NEGRA LB1209 GYG</t>
  </si>
  <si>
    <t>5101106</t>
  </si>
  <si>
    <t>CAMP RURAL NYLON SOFT IMPER. NELB102 GYG</t>
  </si>
  <si>
    <t>5101108</t>
  </si>
  <si>
    <t>CAMP MONTREAL AZ INFLA/POLAR LB2022 GYG</t>
  </si>
  <si>
    <t>5101109</t>
  </si>
  <si>
    <t>CAMP MONTREAL NE INFLA/POLARLB2022 GYG</t>
  </si>
  <si>
    <t>5101112</t>
  </si>
  <si>
    <t>CHALECO RHIN UNIQLO SOFT NEG LBH817 GYG</t>
  </si>
  <si>
    <t>5101113</t>
  </si>
  <si>
    <t>CAMP ALPHA MJS113132C1 SUMMIT RER</t>
  </si>
  <si>
    <t>5101114</t>
  </si>
  <si>
    <t>CAMP ALPHA MJS113132C1 SUMMIT 2XL RER</t>
  </si>
  <si>
    <t>5101115</t>
  </si>
  <si>
    <t>CAMP ALPHA MJM113132C1 SUMMIT 3XL RER</t>
  </si>
  <si>
    <t>5101116</t>
  </si>
  <si>
    <t>CAMP ALPHA MOD B-15 RER</t>
  </si>
  <si>
    <t>5101118</t>
  </si>
  <si>
    <t>CAMP DEPORTIVA BL/AZ RER</t>
  </si>
  <si>
    <t>5101119</t>
  </si>
  <si>
    <t>CAMP DESM OFERTA RER</t>
  </si>
  <si>
    <t>5101125</t>
  </si>
  <si>
    <t>CAMP FRACTION 8121  2XS/3XL RER</t>
  </si>
  <si>
    <t>5101132</t>
  </si>
  <si>
    <t>CAMP ALPHA MJS11132</t>
  </si>
  <si>
    <t>5101133</t>
  </si>
  <si>
    <t>CAMP MJS11132 XXL</t>
  </si>
  <si>
    <t>5101135</t>
  </si>
  <si>
    <t>CAMP SOFTSHEL FRACTION NEGRA 2XS/3XL RER</t>
  </si>
  <si>
    <t>5101136</t>
  </si>
  <si>
    <t>CAMP SOFTSHEL FRACTION VERDE RER</t>
  </si>
  <si>
    <t>5101138</t>
  </si>
  <si>
    <t>CAMP SOFTSHEL FRACTION AZUL 2XS/3XL RER</t>
  </si>
  <si>
    <t>5101140</t>
  </si>
  <si>
    <t>GARIBALDINA MAO RIP BEIGE 2XS/2XL RER</t>
  </si>
  <si>
    <t>5101141</t>
  </si>
  <si>
    <t>GARIBALDINA MAO RIP BEIGE 3XL/5XL RER</t>
  </si>
  <si>
    <t>5101142</t>
  </si>
  <si>
    <t>CAMP AMERICA SEGURIDAD RER</t>
  </si>
  <si>
    <t>5101145</t>
  </si>
  <si>
    <t>CAMP SEG SARPOL VFLUOR CINT 2XS/2XL RER</t>
  </si>
  <si>
    <t>5101146</t>
  </si>
  <si>
    <t>CAMP SEG SARPOL VFLUOR CINT 3XL/5XL RER</t>
  </si>
  <si>
    <t>5101147</t>
  </si>
  <si>
    <t>CAMP POL TUCUMAN URBANA  2XS/2XL RER</t>
  </si>
  <si>
    <t>5101148</t>
  </si>
  <si>
    <t>CAMP POL TUCUMAN URBANA 3XL/5XL RER</t>
  </si>
  <si>
    <t>5101149</t>
  </si>
  <si>
    <t>5101150</t>
  </si>
  <si>
    <t>5101158</t>
  </si>
  <si>
    <t>GARIBALDINA ARMY RIP INFANT 2XS/2XL RER</t>
  </si>
  <si>
    <t>5101159</t>
  </si>
  <si>
    <t>GARIBALDINA ARMY RIP INFANT 3XL/5XL RER</t>
  </si>
  <si>
    <t>5101165</t>
  </si>
  <si>
    <t>GARIBALDINA MAO RIP DIG ACU 2XS/2XL RER</t>
  </si>
  <si>
    <t>5101166</t>
  </si>
  <si>
    <t>GARIBALDINA MAO RIP DIG ACU 3XL/5XL RER</t>
  </si>
  <si>
    <t>5101170</t>
  </si>
  <si>
    <t>CAMP POLAR AMERICANA AZUL RER</t>
  </si>
  <si>
    <t>5101171</t>
  </si>
  <si>
    <t>CAMP POLAR AMERICANA NEGRA RER</t>
  </si>
  <si>
    <t>510117100</t>
  </si>
  <si>
    <t>CAMP POLAR AMER NEGRA 2XS/3XS RER</t>
  </si>
  <si>
    <t>5101172</t>
  </si>
  <si>
    <t>CAMP POLAR AMERICANA BEIGE RER</t>
  </si>
  <si>
    <t>5101185</t>
  </si>
  <si>
    <t>CAMP NEO SOFT SHELL NEGRA 2XS/2XL RER</t>
  </si>
  <si>
    <t>5101186</t>
  </si>
  <si>
    <t>CAMP NEO SOFT SHELL NEGRA 3XL/5XL RER</t>
  </si>
  <si>
    <t>5101187</t>
  </si>
  <si>
    <t>CAMP SOFTSHEL PREMIUM NEGRA 2XS/2XL RER</t>
  </si>
  <si>
    <t>5101188</t>
  </si>
  <si>
    <t>CAMP SOFTSHEL PREMIUM NEGRA 3XL/6XL RER</t>
  </si>
  <si>
    <t>5101190</t>
  </si>
  <si>
    <t>CAMP NEO SOFT SHELL AZUL 2XS/2XL RER</t>
  </si>
  <si>
    <t>5101191</t>
  </si>
  <si>
    <t>CAMP NEO SOFT SHELL AZUL 3XL/5XL RER</t>
  </si>
  <si>
    <t>5101192</t>
  </si>
  <si>
    <t>CAMP SOFTSHEL PREMIUM AZUL 2XS/2XL RER</t>
  </si>
  <si>
    <t>5101193</t>
  </si>
  <si>
    <t>CAMP SOFTSHEL PREMIUM AZUL 3XL/6XL RER</t>
  </si>
  <si>
    <t>5101195</t>
  </si>
  <si>
    <t>CAMP NEO SOFT SHELL GRIS 2XS/2XL RER</t>
  </si>
  <si>
    <t>5101196</t>
  </si>
  <si>
    <t>CAMP NEO SOFT SHELL GRIS 3XL/5XL RER</t>
  </si>
  <si>
    <t>5101200</t>
  </si>
  <si>
    <t>GARIBALDINA JAZAK RIP TIG CE 2XS/2XL RER</t>
  </si>
  <si>
    <t>5101201</t>
  </si>
  <si>
    <t>GARIBALDINA JAZAK RIP TIG CE 3XL/5XL RER</t>
  </si>
  <si>
    <t>5101202</t>
  </si>
  <si>
    <t>GARIBALDINA JAZAK RIP DIGINF 2XS/2XL RER</t>
  </si>
  <si>
    <t>5101203</t>
  </si>
  <si>
    <t>GARIBALDINA JAZAK RIP DIGINF 3XL/5XL RER</t>
  </si>
  <si>
    <t>5101204</t>
  </si>
  <si>
    <t>GARIBALDINA MAO RIP MULTICA 2XS/2XL RER</t>
  </si>
  <si>
    <t>5101205</t>
  </si>
  <si>
    <t>GARIBALDINA MAO RIP MULTICA 3XL/5XL RER</t>
  </si>
  <si>
    <t>5101206</t>
  </si>
  <si>
    <t>GARIBALDINA MAO RIP MULTICA 6XL RER</t>
  </si>
  <si>
    <t>5101210</t>
  </si>
  <si>
    <t>5101211</t>
  </si>
  <si>
    <t>5101212</t>
  </si>
  <si>
    <t>CAMP ALPHA MJM21000C4 MA-1 3XL RER</t>
  </si>
  <si>
    <t>5101220</t>
  </si>
  <si>
    <t>5101221</t>
  </si>
  <si>
    <t>CAMP ALPHA MJC2000C4 45/P 2XL LUG</t>
  </si>
  <si>
    <t>5101223</t>
  </si>
  <si>
    <t>CAMP ALPHA MJM22000C4 45/P 3XL LUG</t>
  </si>
  <si>
    <t>5101230</t>
  </si>
  <si>
    <t>GARIBALDINA ARMY RIP GN VERDE 2XS/2XL EM</t>
  </si>
  <si>
    <t>5101231</t>
  </si>
  <si>
    <t>CAMP ALPHA MJB23000CAB-15 RER</t>
  </si>
  <si>
    <t>5101234</t>
  </si>
  <si>
    <t>GARIBALDINA ARMY RIP EJERCIT 2XS/2XL RER</t>
  </si>
  <si>
    <t>5101235</t>
  </si>
  <si>
    <t>5101239</t>
  </si>
  <si>
    <t>CAMP. AZUL  ESTAMPADA FRIZA DEPORTIVA</t>
  </si>
  <si>
    <t>5101240</t>
  </si>
  <si>
    <t>CAMP AZUL FRIZA DEPORTIVA RER</t>
  </si>
  <si>
    <t>5101241</t>
  </si>
  <si>
    <t>CAMP ALPHA MJB24000 XXXL</t>
  </si>
  <si>
    <t>5101252</t>
  </si>
  <si>
    <t>CHALECO RIP CIENTIFICA RER</t>
  </si>
  <si>
    <t>5101300</t>
  </si>
  <si>
    <t>CAMP ALPHA MJN30000C4 N-2B LUG</t>
  </si>
  <si>
    <t>5101301</t>
  </si>
  <si>
    <t>CAMP SOFT SHELL NEGRA 2XL/5XL RER</t>
  </si>
  <si>
    <t>5101310</t>
  </si>
  <si>
    <t>5101311</t>
  </si>
  <si>
    <t>CAMP ALPHA MJN31000 XXXL LUG</t>
  </si>
  <si>
    <t>5101320</t>
  </si>
  <si>
    <t>CAMP ALPHA MJN32000</t>
  </si>
  <si>
    <t>5101325</t>
  </si>
  <si>
    <t>CAPA  PONCHO PARA LLUVIA RER</t>
  </si>
  <si>
    <t>5101329</t>
  </si>
  <si>
    <t>CAMP ALPHA MJM38029C1 D-TEC 2XL</t>
  </si>
  <si>
    <t>5101330</t>
  </si>
  <si>
    <t>CAMP ALPHA MJM38029C1 D-TEC 3XL</t>
  </si>
  <si>
    <t>5101338</t>
  </si>
  <si>
    <t>CAMP ALPHA WJD38014C1 DARLA LUG</t>
  </si>
  <si>
    <t>5101340</t>
  </si>
  <si>
    <t>5101341</t>
  </si>
  <si>
    <t>CAMP MJB34000 XXL</t>
  </si>
  <si>
    <t>5101342</t>
  </si>
  <si>
    <t>CAMP ALPHA MJB34000 BUBBLE D 3XL RER</t>
  </si>
  <si>
    <t>5101350</t>
  </si>
  <si>
    <t>CAMP TERMICO MULTICAM/RIP CUELLO 2XS/2XL</t>
  </si>
  <si>
    <t>5101370</t>
  </si>
  <si>
    <t>CAMP TERMICO INFANTER/RIP CUELLO 2XS/2XL</t>
  </si>
  <si>
    <t>5101380</t>
  </si>
  <si>
    <t>CAMP ALPHA MJI38016 LUG</t>
  </si>
  <si>
    <t>5101381</t>
  </si>
  <si>
    <t>CAMP ALPHA MJI38016 XXL</t>
  </si>
  <si>
    <t>5101382</t>
  </si>
  <si>
    <t>CAMP ALPHA MJI38016 XXXL</t>
  </si>
  <si>
    <t>5101390</t>
  </si>
  <si>
    <t>5101391</t>
  </si>
  <si>
    <t>5101392</t>
  </si>
  <si>
    <t>CAMP ALPHA MVF4301C1 FEROCITY 3XL</t>
  </si>
  <si>
    <t>5101410</t>
  </si>
  <si>
    <t>CAMP TERMICO RURAL/RIP CUELLO 2XS/2XL</t>
  </si>
  <si>
    <t>5101411</t>
  </si>
  <si>
    <t>CAMP TERMICO RURAL/RIP CUELLO 3XL/6XL</t>
  </si>
  <si>
    <t>5101437</t>
  </si>
  <si>
    <t>CAMP WJA43903C1 ADRIENNE 2XL RER</t>
  </si>
  <si>
    <t>5101438</t>
  </si>
  <si>
    <t>CAMP WJA43903C1 ADRIENNE XS/XL RER</t>
  </si>
  <si>
    <t>5101439</t>
  </si>
  <si>
    <t>CAMP ALPHA MJI43910C1 LUG</t>
  </si>
  <si>
    <t>5101440</t>
  </si>
  <si>
    <t>CAMP ALPHA MJI43910 XXL LUG</t>
  </si>
  <si>
    <t>5101443</t>
  </si>
  <si>
    <t>CAMP WJS43901 SARAH RER</t>
  </si>
  <si>
    <t>5101445</t>
  </si>
  <si>
    <t>5101446</t>
  </si>
  <si>
    <t>CAMP ALPHA MJS44507C1 STABILIZER LUG</t>
  </si>
  <si>
    <t>5101447</t>
  </si>
  <si>
    <t>CAMP ALPHA MJS44507C1 STABILIZER2X LUG</t>
  </si>
  <si>
    <t>5101448</t>
  </si>
  <si>
    <t>CAMP ALPHA MJN441C1 N-B2 SONIC 2XL LUG</t>
  </si>
  <si>
    <t>5101456</t>
  </si>
  <si>
    <t>GARIBALDINA MAO RIP TIGER VE 2XS/2XL RER</t>
  </si>
  <si>
    <t>5101457</t>
  </si>
  <si>
    <t>GARIBALDINA MAO RIP TIGER VE 3XL/5XL RER</t>
  </si>
  <si>
    <t>5101458</t>
  </si>
  <si>
    <t>CAMP CORTAVIENTO POL/AZUL OFERTA</t>
  </si>
  <si>
    <t>5101495</t>
  </si>
  <si>
    <t>GARIBALDINA ARMY RIP AZUL 2XS/2XL RER</t>
  </si>
  <si>
    <t>5101496</t>
  </si>
  <si>
    <t>GARIBALDINA ARMY RIP AZUL 3XL/5XL RER</t>
  </si>
  <si>
    <t>5101500</t>
  </si>
  <si>
    <t>GARIBALDINA JAZAK RIP AZUL 2XS/2XL RER</t>
  </si>
  <si>
    <t>5101501</t>
  </si>
  <si>
    <t>GARIBALDINA JAZAK RIP AZUL 3XL/5XL RER</t>
  </si>
  <si>
    <t>5101502</t>
  </si>
  <si>
    <t>GARIBALDINA JAZAK RIP AZUL 6XL/7XL RER</t>
  </si>
  <si>
    <t>5101503</t>
  </si>
  <si>
    <t>GARIBALDINA JAZAK RIP BEIGE 2XS/2XL RER</t>
  </si>
  <si>
    <t>5101504</t>
  </si>
  <si>
    <t>GARIBALDINA JAZAK RIP BEIGE 3XL/6XL RER</t>
  </si>
  <si>
    <t>5101505</t>
  </si>
  <si>
    <t>GARIBALDINA JAZAK RIP GRIS 2XS/2XL RER</t>
  </si>
  <si>
    <t>5101506</t>
  </si>
  <si>
    <t>GARIBALDINA JAZAK RIP GRIS 3XL/5XL RER</t>
  </si>
  <si>
    <t>5101507</t>
  </si>
  <si>
    <t>GARIBALDINA JAZAK RIP NEGRA 2XS/2XL RER</t>
  </si>
  <si>
    <t>5101508</t>
  </si>
  <si>
    <t>GARIBALDINA JAZAK RIP NEGRA 3XL/5XL RER</t>
  </si>
  <si>
    <t>5101509</t>
  </si>
  <si>
    <t>GARIBALDINA JAZAK RIP NEGRA 6XL/7XL RER</t>
  </si>
  <si>
    <t>5101510</t>
  </si>
  <si>
    <t>GARIBALDINA JAZAK RIP REQUIS 2XS/2XL RER</t>
  </si>
  <si>
    <t>5101511</t>
  </si>
  <si>
    <t>GARIBALDINA JAZAK RIP REQUIS 3XL/5XL RER</t>
  </si>
  <si>
    <t>5101555</t>
  </si>
  <si>
    <t>5101556</t>
  </si>
  <si>
    <t>5101557</t>
  </si>
  <si>
    <t>CAMP TERMICO GRIS  2XS/2XL RER</t>
  </si>
  <si>
    <t>5101558</t>
  </si>
  <si>
    <t>CAMP TERMICO VERDE CUELLO 2XS/2XL RER</t>
  </si>
  <si>
    <t>5101559</t>
  </si>
  <si>
    <t>5101560</t>
  </si>
  <si>
    <t>5101561</t>
  </si>
  <si>
    <t>5101562</t>
  </si>
  <si>
    <t>CAMP TERMICO VERDE CUELLO 3XL/6XL RER</t>
  </si>
  <si>
    <t>5101563</t>
  </si>
  <si>
    <t>CAMP TERMICO INFANTERIA 2XS/2XL</t>
  </si>
  <si>
    <t>5101564</t>
  </si>
  <si>
    <t>CAMP TERMICO INFANTERIA 3XL/6XL</t>
  </si>
  <si>
    <t>5101565</t>
  </si>
  <si>
    <t>CAMP TERMICO MULTICAM 2XS/2XL</t>
  </si>
  <si>
    <t>5101566</t>
  </si>
  <si>
    <t>CAMP TERMICO MULTICAM 3XL/6XL</t>
  </si>
  <si>
    <t>5101567</t>
  </si>
  <si>
    <t>CAMP VERDE FLUOR TUCUMAN RER</t>
  </si>
  <si>
    <t>5101568</t>
  </si>
  <si>
    <t>CAMP FLUO RER</t>
  </si>
  <si>
    <t>5101569</t>
  </si>
  <si>
    <t>CAMP TERMICO RURAL 2XS/2XL</t>
  </si>
  <si>
    <t>5101570</t>
  </si>
  <si>
    <t>CAMP TERMICO RURAL 3XL/6XL</t>
  </si>
  <si>
    <t>5101600</t>
  </si>
  <si>
    <t>CAMP POLICIA SANTA CRUZ 2COL 2XS/2XL RER</t>
  </si>
  <si>
    <t>5101601</t>
  </si>
  <si>
    <t>5101625</t>
  </si>
  <si>
    <t>CHALECO FLUOR VERDE ECONOMICO NQN LUG</t>
  </si>
  <si>
    <t>5101626</t>
  </si>
  <si>
    <t>CHALECO FLUOR SARPOL RER</t>
  </si>
  <si>
    <t>5101654</t>
  </si>
  <si>
    <t>GARIBALDINA MAO RIP REQUISA 2XS/2XL RER</t>
  </si>
  <si>
    <t>5101655</t>
  </si>
  <si>
    <t>GARIBALDINA MAO RIP REQUISA 3XL/5XL RER</t>
  </si>
  <si>
    <t>5101666</t>
  </si>
  <si>
    <t>CAMP PALMAJ CIENTIFICA RER</t>
  </si>
  <si>
    <t>5101680</t>
  </si>
  <si>
    <t>CAMP GAB MARRON CON GALON 2XS/2XL RER</t>
  </si>
  <si>
    <t>5101681</t>
  </si>
  <si>
    <t>CAMP GAB MARRON CON GALON 3XL/4XL</t>
  </si>
  <si>
    <t>5101750</t>
  </si>
  <si>
    <t>CAMP CORTA CUELLO DESMONT GRIS EM</t>
  </si>
  <si>
    <t>5101753</t>
  </si>
  <si>
    <t>GARIBALDINA ARMY RIP NE ABRG 2XS/2XL RER</t>
  </si>
  <si>
    <t>5101754</t>
  </si>
  <si>
    <t>GARIBALDINA ARMY RIP NE ABRG 3XL/5XL RER</t>
  </si>
  <si>
    <t>5101777</t>
  </si>
  <si>
    <t>CAMP PALMAJ GRIS 2XS/2XL RER</t>
  </si>
  <si>
    <t>510177707</t>
  </si>
  <si>
    <t>CAMP PALMAJ GRIS 3XL/4XL</t>
  </si>
  <si>
    <t>5101778</t>
  </si>
  <si>
    <t>CAMP PALMAJ GRIS 3XL/5XL RER</t>
  </si>
  <si>
    <t>5101799</t>
  </si>
  <si>
    <t>CAMP ARMY AZUL/NEGRA RER</t>
  </si>
  <si>
    <t>5101802</t>
  </si>
  <si>
    <t>CAMP ALFHA MJM38029C1 D-TEC S/XL RER</t>
  </si>
  <si>
    <t>5101845</t>
  </si>
  <si>
    <t>GARIBALDINA MAO RIP EJERCITO 2XS/2XL RER</t>
  </si>
  <si>
    <t>5101846</t>
  </si>
  <si>
    <t>GARIBALDINA MAO RIP EJERCITO 3XL/6XL RER</t>
  </si>
  <si>
    <t>5101850</t>
  </si>
  <si>
    <t>CAMP POLAR AMERICANA GRIS RER</t>
  </si>
  <si>
    <t>5101852</t>
  </si>
  <si>
    <t>GARIBALDINA MAO RIP AZUL 2XS/2XL EM</t>
  </si>
  <si>
    <t>5101853</t>
  </si>
  <si>
    <t>GARIBALDINA MAO RIP AZUL 3XL/5XL RER</t>
  </si>
  <si>
    <t>5101855</t>
  </si>
  <si>
    <t>GARIBALDINA MAO RIP GRIS 2XS/2XL RER</t>
  </si>
  <si>
    <t>5101856</t>
  </si>
  <si>
    <t>GARIBALDINA MAO RIP GRIS 3XL/5XL RER</t>
  </si>
  <si>
    <t>5101863</t>
  </si>
  <si>
    <t>GARIBALDINA MAO RIP NEGRA 2XS/2XL RER</t>
  </si>
  <si>
    <t>5101864</t>
  </si>
  <si>
    <t>GARIBALDINA MAO RIP NEGRA 3XL/5XL RER</t>
  </si>
  <si>
    <t>5101870</t>
  </si>
  <si>
    <t>GARIBALDINA MAO RIP MULTICAM BLACK 2XS/2</t>
  </si>
  <si>
    <t>5101871</t>
  </si>
  <si>
    <t>GARIBALDINA MAO RIP MULTICAM BLACK 3XL/5</t>
  </si>
  <si>
    <t>5101873</t>
  </si>
  <si>
    <t>GARIBALDINA MAO RIP DIG GR 2XS/2XL RER</t>
  </si>
  <si>
    <t>5101874</t>
  </si>
  <si>
    <t>GARIBALDINA MAO RIP DIG GR 3XL/5XL RER</t>
  </si>
  <si>
    <t>5101875</t>
  </si>
  <si>
    <t>GARIBALDINA ARMY RIP MIMET INFAN 2XS/2XL</t>
  </si>
  <si>
    <t>5101876</t>
  </si>
  <si>
    <t>GARIBALDINA MAO RIP VIAL TUC 2XS/2XL RER</t>
  </si>
  <si>
    <t>5101877</t>
  </si>
  <si>
    <t>GARIBALDINA MAO RIP MIM RURA 3XS/2XL RER</t>
  </si>
  <si>
    <t>5101878</t>
  </si>
  <si>
    <t>GARIBALDINA ARMY RIP MIME 2COL GR 2XS/2X</t>
  </si>
  <si>
    <t>5101879</t>
  </si>
  <si>
    <t>GARIBALDINA ARMY RIP MIME INFANT 3XL/5XL</t>
  </si>
  <si>
    <t>5101880</t>
  </si>
  <si>
    <t>GARIBALDINA ARMY RIP MIMET REQUIS 2XS/2X</t>
  </si>
  <si>
    <t>5101881</t>
  </si>
  <si>
    <t>GARIBALDINA MAO RIP TIGR CEL 3XL/5XL RER</t>
  </si>
  <si>
    <t>5101882</t>
  </si>
  <si>
    <t>GARIBALDINA ARMY RIP MIME 2COL GR 3XL/5X</t>
  </si>
  <si>
    <t>5101883</t>
  </si>
  <si>
    <t>GARIBALDINA MAO RIP MIM RURA 3XL/5XL RER</t>
  </si>
  <si>
    <t>5101884</t>
  </si>
  <si>
    <t>GARIBALDINA ARMY RIP MIME REQUISA 3XL/5X</t>
  </si>
  <si>
    <t>5101885</t>
  </si>
  <si>
    <t>GARIBALDINA MAO RIP VIAL TUC 3XL/5XL RER</t>
  </si>
  <si>
    <t>5101886</t>
  </si>
  <si>
    <t>GARIBALDINA MAO RIP DIG BEIG 2XS/2XL RER</t>
  </si>
  <si>
    <t>5101887</t>
  </si>
  <si>
    <t>GARIBALDINA MAO RIP DIG BEIG 3XL/6XL RER</t>
  </si>
  <si>
    <t>5101888</t>
  </si>
  <si>
    <t>CAMP PALMAJ NEGRA 2XS/2XL RER</t>
  </si>
  <si>
    <t>5101889</t>
  </si>
  <si>
    <t>CAMP PALMAJ NEGRA 3XL/6XL RER</t>
  </si>
  <si>
    <t>5101900</t>
  </si>
  <si>
    <t>CAMP INVEST NEGRA RER</t>
  </si>
  <si>
    <t>5101901</t>
  </si>
  <si>
    <t>CAMP INVEST NEGRA T.E. 3XL/4XL RER</t>
  </si>
  <si>
    <t>5101902</t>
  </si>
  <si>
    <t>CAMP PLUMA NEGRA BRILLO S/CAP ART102 RER</t>
  </si>
  <si>
    <t>5101906</t>
  </si>
  <si>
    <t>CAMPERA PLUMA LB CON CAPUCHA ART.106 RER</t>
  </si>
  <si>
    <t>5101907</t>
  </si>
  <si>
    <t>CAMPERA PLUMA NE OPACO S/CAP ART.202 RER</t>
  </si>
  <si>
    <t>5101911</t>
  </si>
  <si>
    <t>CAMP PLUMA NEGRA ULTRA LIGTH ORIG RER</t>
  </si>
  <si>
    <t>5101912</t>
  </si>
  <si>
    <t>CAMP PLUMA AZUL ULTRA LIGTH ORIG RER</t>
  </si>
  <si>
    <t>5101913</t>
  </si>
  <si>
    <t>CAMP PLUMA SIN CAPU UVA ARD</t>
  </si>
  <si>
    <t>5101914</t>
  </si>
  <si>
    <t>CAMP PLUMA SIN CAPU NEGRA ARD</t>
  </si>
  <si>
    <t>5101915</t>
  </si>
  <si>
    <t>CAMP PLUMA SIN CAPU ROJA ARD</t>
  </si>
  <si>
    <t>5101916</t>
  </si>
  <si>
    <t>CAMP PLUMA SIN CAPU BEIGE ARD</t>
  </si>
  <si>
    <t>5101917</t>
  </si>
  <si>
    <t>CAMP PLUMA SIN CAPU AZUL FRAN ARD</t>
  </si>
  <si>
    <t>5101918</t>
  </si>
  <si>
    <t>CAMP PLUMA SIN CAPU GRIS ARD</t>
  </si>
  <si>
    <t>5101919</t>
  </si>
  <si>
    <t>CAMP PLUMA SIN CAPU GRIS TORCASA ARD</t>
  </si>
  <si>
    <t>5101920</t>
  </si>
  <si>
    <t>CAMP PLUMA C/CAPU NEGRA ARD</t>
  </si>
  <si>
    <t>5101921</t>
  </si>
  <si>
    <t>CAMP PLUMA C/CAPU ROJA ARD</t>
  </si>
  <si>
    <t>5101922</t>
  </si>
  <si>
    <t>CAMP PLUMA C/CAPU AZUL FRAN ARD</t>
  </si>
  <si>
    <t>5101923</t>
  </si>
  <si>
    <t>CAMP PLUMA C/CAPU GRIS TORC ARD</t>
  </si>
  <si>
    <t>5101924</t>
  </si>
  <si>
    <t>CAMP PLUMA SIN CAPU AZUL OSCURO ARD</t>
  </si>
  <si>
    <t>5101925</t>
  </si>
  <si>
    <t>CAMP PLUMA SIN CAPU GRIS CLARO ARD</t>
  </si>
  <si>
    <t>5101929</t>
  </si>
  <si>
    <t>GARIBALDINA RIP MAO INFANT 2XL/5XL</t>
  </si>
  <si>
    <t>5101951</t>
  </si>
  <si>
    <t>GARIBALDINA ARMY RIP AZ ABRG 2XS/2XL RER</t>
  </si>
  <si>
    <t>5101952</t>
  </si>
  <si>
    <t>GARIBALDINA RIP CLA AZ OFERTA L</t>
  </si>
  <si>
    <t>5101954</t>
  </si>
  <si>
    <t>GARIBALDINA ARMY RIP AZ ABRG 3XL/6XL RER</t>
  </si>
  <si>
    <t>5101955</t>
  </si>
  <si>
    <t>GARIBALDINA RIP VIAL TUC CUELLO ARMY</t>
  </si>
  <si>
    <t>5101969</t>
  </si>
  <si>
    <t>CAMP SEARCH AND DESTROY HOODIE RER</t>
  </si>
  <si>
    <t>5101979</t>
  </si>
  <si>
    <t>5101985</t>
  </si>
  <si>
    <t>CAMP INVEST AZUL RER</t>
  </si>
  <si>
    <t>5101986</t>
  </si>
  <si>
    <t>CAMP INVEST AZUL T.E. 3XL/4XL RER</t>
  </si>
  <si>
    <t>5101989</t>
  </si>
  <si>
    <t>CAMP UNITED ZIP HOODIE RER</t>
  </si>
  <si>
    <t>5101990</t>
  </si>
  <si>
    <t>5101998</t>
  </si>
  <si>
    <t>CAMP PALMAJ AZUL 3XL/4XL RER</t>
  </si>
  <si>
    <t>5101999</t>
  </si>
  <si>
    <t>CAMP PALMAJ AZUL 3XS/2XL RER</t>
  </si>
  <si>
    <t>5102001</t>
  </si>
  <si>
    <t>CHALECO BOMBERO C/REFLECIVA RER</t>
  </si>
  <si>
    <t>5102247</t>
  </si>
  <si>
    <t>CHALECO CARRIER SIN PORTA ELEMENTOS RER</t>
  </si>
  <si>
    <t>5102248</t>
  </si>
  <si>
    <t>CHALECO CARRIER  LISO CON P/ELEMENT RER</t>
  </si>
  <si>
    <t>5102249</t>
  </si>
  <si>
    <t>CHALECO CARRIER CON PORTA ELEMENTOS</t>
  </si>
  <si>
    <t>5103444</t>
  </si>
  <si>
    <t>CHALECO GAB. NEGRA POL. INVEST. RER</t>
  </si>
  <si>
    <t>5103555</t>
  </si>
  <si>
    <t>CHALECO GAB. NEGRA POL. INVEST. BORDADO</t>
  </si>
  <si>
    <t>5320000</t>
  </si>
  <si>
    <t>CASACA DAMA PROFESIONAL RER</t>
  </si>
  <si>
    <t>5320027</t>
  </si>
  <si>
    <t>CHAQUETILLA DE PAÑO AZUL LMGE</t>
  </si>
  <si>
    <t>5320151</t>
  </si>
  <si>
    <t>CHAQUETILLA BLANCA RER</t>
  </si>
  <si>
    <t>5320787</t>
  </si>
  <si>
    <t>CHAQUETILLA POLICIA/PENIT 176N0110 FC</t>
  </si>
  <si>
    <t>5330000</t>
  </si>
  <si>
    <t>CHAQUETILLA GN RER</t>
  </si>
  <si>
    <t>5610102</t>
  </si>
  <si>
    <t>BICI ELECTRICA ROBSTEP 4.4 BLUE E-BIKE</t>
  </si>
  <si>
    <t>5610201</t>
  </si>
  <si>
    <t>BICI ELECTRICA OVERTECH B1 561002001</t>
  </si>
  <si>
    <t>5919025</t>
  </si>
  <si>
    <t>LINTERNA RECARGABLE MULTIFUNCION RER</t>
  </si>
  <si>
    <t>5919026</t>
  </si>
  <si>
    <t>LINTERNA CELULAR MULTIFUNCION RER</t>
  </si>
  <si>
    <t>5919165</t>
  </si>
  <si>
    <t>LINTERNA MULTIFUNCION DAMA7 RER 0678</t>
  </si>
  <si>
    <t>5919222</t>
  </si>
  <si>
    <t>MANOPLA NEGRA RER</t>
  </si>
  <si>
    <t>5919223</t>
  </si>
  <si>
    <t>MANOPLA C/ NAVAJA LUG</t>
  </si>
  <si>
    <t>5919321</t>
  </si>
  <si>
    <t>PUNIAL ANTEBRAZO C ABROJO RER</t>
  </si>
  <si>
    <t>5919325</t>
  </si>
  <si>
    <t>MANOPLA ROMPEVIDRIOS RER</t>
  </si>
  <si>
    <t>6000003</t>
  </si>
  <si>
    <t>COMBO BOMB AMER GAB AZUL + CINTO INTERNO</t>
  </si>
  <si>
    <t>6000004</t>
  </si>
  <si>
    <t>COMBO BOMB. AMER GAB AZUL + CINTO INTERN</t>
  </si>
  <si>
    <t>6000005</t>
  </si>
  <si>
    <t>COMBO BOMB.AMER GAB AZUL + CINTO INTERNO</t>
  </si>
  <si>
    <t>6000006</t>
  </si>
  <si>
    <t>6000007</t>
  </si>
  <si>
    <t>6000008</t>
  </si>
  <si>
    <t>6000009</t>
  </si>
  <si>
    <t>6000010</t>
  </si>
  <si>
    <t>6000011</t>
  </si>
  <si>
    <t>6000012</t>
  </si>
  <si>
    <t>6000013</t>
  </si>
  <si>
    <t>6000014</t>
  </si>
  <si>
    <t>6000015</t>
  </si>
  <si>
    <t>6000016</t>
  </si>
  <si>
    <t>6000017</t>
  </si>
  <si>
    <t>COMBO BORCEGUIE COMANDO + BARBIJO PLISAD</t>
  </si>
  <si>
    <t>6000018</t>
  </si>
  <si>
    <t>COMBO BORCEGUIE TACTICO + BARBIJO PLISAD</t>
  </si>
  <si>
    <t>6000067</t>
  </si>
  <si>
    <t>COMBO LINTERNA + NAVAJA ROMPEVIDRIO</t>
  </si>
  <si>
    <t>6000100</t>
  </si>
  <si>
    <t>COMBO MOCHILA PATRULLA + CARPA 3 PERSONA</t>
  </si>
  <si>
    <t>6000129</t>
  </si>
  <si>
    <t>COMBO QUEPI CASQ. NEGRO RIP + BANDERA AR</t>
  </si>
  <si>
    <t>6000130</t>
  </si>
  <si>
    <t>COMBO QUEPI CASQ. AZUL + BANDERA ARG.</t>
  </si>
  <si>
    <t>6000301</t>
  </si>
  <si>
    <t>COMBO NAVAJA SPIDER COL. + PORTA CARG. S</t>
  </si>
  <si>
    <t>6000551</t>
  </si>
  <si>
    <t>COMBO CORREAJE POLICIAL COMPLETO</t>
  </si>
  <si>
    <t>6000552</t>
  </si>
  <si>
    <t>COMBO PORTA ESP TERMO + ESPOSAS GANCHO</t>
  </si>
  <si>
    <t>6000852</t>
  </si>
  <si>
    <t>COMBO GARIBALDINA RIP MAO AZUL + PORTAES</t>
  </si>
  <si>
    <t>6000853</t>
  </si>
  <si>
    <t>COMBO GAR. AZUL RIP 3XL/5XL + PORTAESPOS</t>
  </si>
  <si>
    <t>6000855</t>
  </si>
  <si>
    <t>6000856</t>
  </si>
  <si>
    <t>COMBO GAR. GRIS RIP 3XL/5XL+ PORTAESP</t>
  </si>
  <si>
    <t>6000863</t>
  </si>
  <si>
    <t>COMBO GARIBALDINA RIP MAO NEGRA + PORTAE</t>
  </si>
  <si>
    <t>6000864</t>
  </si>
  <si>
    <t>COMBO GAR. NEGRA RIP 3XL/5XL+ PORTAESPOS</t>
  </si>
  <si>
    <t>6000999</t>
  </si>
  <si>
    <t>COMBO CHALECO MAGAL + LINTERNA A LED</t>
  </si>
  <si>
    <t>6001001</t>
  </si>
  <si>
    <t>PACK SILBATO MET. X10 TACTICO (8525001)</t>
  </si>
  <si>
    <t>6001004</t>
  </si>
  <si>
    <t>PACK LASER PUNT. X 12 CAPSULA (8520004)</t>
  </si>
  <si>
    <t>6001005</t>
  </si>
  <si>
    <t>PACK LASER PUNT. X6 CAPSULA (8520004)</t>
  </si>
  <si>
    <t>6001006</t>
  </si>
  <si>
    <t>6001007</t>
  </si>
  <si>
    <t>6001265</t>
  </si>
  <si>
    <t>PACK LINT.X 12 A PILAS AAA LES (8520265)</t>
  </si>
  <si>
    <t>6001266</t>
  </si>
  <si>
    <t>PACK LINT.X 6 A PILAS AAA LED (8520265)</t>
  </si>
  <si>
    <t>6001941</t>
  </si>
  <si>
    <t>PACK LINTERNA X 12 TACT. PROF(8520941)</t>
  </si>
  <si>
    <t>6001942</t>
  </si>
  <si>
    <t>PACK LINTERNA X 6 TACT. PROF (8520941)</t>
  </si>
  <si>
    <t>6001946</t>
  </si>
  <si>
    <t>PACK LINT.X12 LED TACT. USB (8520946)</t>
  </si>
  <si>
    <t>6001947</t>
  </si>
  <si>
    <t>PACK LINT.X 6 LED TACT. USB(8520946)</t>
  </si>
  <si>
    <t>6401001</t>
  </si>
  <si>
    <t>BERMUDA CARGO GAB AZUL 34/48 RER</t>
  </si>
  <si>
    <t>6401002</t>
  </si>
  <si>
    <t>BERMUDA CARGO GAB AZUL 50/54 RER</t>
  </si>
  <si>
    <t>6401003</t>
  </si>
  <si>
    <t>BERMUDA CARGO GAB AZUL 56/60 RER</t>
  </si>
  <si>
    <t>6401247</t>
  </si>
  <si>
    <t>BERMUDA NEGRA / AZUL UCAR RER</t>
  </si>
  <si>
    <t>6401900</t>
  </si>
  <si>
    <t>BERMUDA CARGO GAB NEGRA 34/48 RER</t>
  </si>
  <si>
    <t>6401901</t>
  </si>
  <si>
    <t>BERMUDA CARGO GAB NEGRA 50/54 RER</t>
  </si>
  <si>
    <t>6401902</t>
  </si>
  <si>
    <t>BERMUDA CARGO GAB NEGRA 56/60 RER</t>
  </si>
  <si>
    <t>6402000</t>
  </si>
  <si>
    <t>PAÑUELO RER</t>
  </si>
  <si>
    <t>7203001</t>
  </si>
  <si>
    <t>PINTORCITO LMGE AZUL RER</t>
  </si>
  <si>
    <t>7203002</t>
  </si>
  <si>
    <t>PINTORCITO LMGE VERDE RER</t>
  </si>
  <si>
    <t>7700022</t>
  </si>
  <si>
    <t>METAL CHAPA DE INVESTIGACIONES</t>
  </si>
  <si>
    <t>7700090</t>
  </si>
  <si>
    <t>INSIG NEGRA CABO  P/COLGAR</t>
  </si>
  <si>
    <t>7700091</t>
  </si>
  <si>
    <t>INSIG NEGRA CABO 1RO P/COLGAR</t>
  </si>
  <si>
    <t>7700092</t>
  </si>
  <si>
    <t>INSIG NEGRA SARG P/COLGAR</t>
  </si>
  <si>
    <t>7700093</t>
  </si>
  <si>
    <t>INSIG NEGRA SARG 1RO P/COLGAR</t>
  </si>
  <si>
    <t>7700094</t>
  </si>
  <si>
    <t>INSIG NEGRA SARG AYDTE P/COLGA</t>
  </si>
  <si>
    <t>7700095</t>
  </si>
  <si>
    <t>INSIG NEGRA SUB PPAL P/COLGAR</t>
  </si>
  <si>
    <t>7700096</t>
  </si>
  <si>
    <t>INSIG NEGRA SUBOF MAYOR P/COLGAR</t>
  </si>
  <si>
    <t>7700100</t>
  </si>
  <si>
    <t>INSIG AZUL CABO  COLGAR</t>
  </si>
  <si>
    <t>7700101</t>
  </si>
  <si>
    <t>INSIG AZUL CABO 1RO COLGAR</t>
  </si>
  <si>
    <t>7700103</t>
  </si>
  <si>
    <t>INSIG AZUL SARGENTO COLGAR</t>
  </si>
  <si>
    <t>7700104</t>
  </si>
  <si>
    <t>INSIG AZUL SARGENTO 1RO COLGAR</t>
  </si>
  <si>
    <t>7700105</t>
  </si>
  <si>
    <t>INSIG AZUL SARG AYTE COLGAR</t>
  </si>
  <si>
    <t>7700106</t>
  </si>
  <si>
    <t>INSIG AZUL SUBOF PPAL COLGAR</t>
  </si>
  <si>
    <t>7700107</t>
  </si>
  <si>
    <t>INSIG AZUL SUBOF MAYOR COLGAR</t>
  </si>
  <si>
    <t>7700200</t>
  </si>
  <si>
    <t>INSIG AZUL CABO POR PAR</t>
  </si>
  <si>
    <t>7700202</t>
  </si>
  <si>
    <t>INSIG AZUL CABO 1RO POR PAR</t>
  </si>
  <si>
    <t>7700203</t>
  </si>
  <si>
    <t>INSIG AZUL SARGENTO POR PAR</t>
  </si>
  <si>
    <t>7700204</t>
  </si>
  <si>
    <t>INSIG AZUL SARGENTO 1RO POR PAR</t>
  </si>
  <si>
    <t>7700205</t>
  </si>
  <si>
    <t>INSIG AZUL SARGENTO AYTE POR PAR</t>
  </si>
  <si>
    <t>7700206</t>
  </si>
  <si>
    <t>INSIG AZUL SUBOF PPAL POR PAR</t>
  </si>
  <si>
    <t>7700207</t>
  </si>
  <si>
    <t>INSIG AZUL SUBOF MAYOR POR PAR</t>
  </si>
  <si>
    <t>7700220</t>
  </si>
  <si>
    <t>INSIG BORD AZUL S OFICIAL PPAL CHAQT RER</t>
  </si>
  <si>
    <t>7700302</t>
  </si>
  <si>
    <t>INSIG VERDE CABO PRIMERO GN PARA COL RER</t>
  </si>
  <si>
    <t>7700303</t>
  </si>
  <si>
    <t>INSIG VERDE SARGENTOGN PARA C RER</t>
  </si>
  <si>
    <t>7700450</t>
  </si>
  <si>
    <t>INSIG BI BAJA V CABO    BARG  N/GRIS</t>
  </si>
  <si>
    <t>7700451</t>
  </si>
  <si>
    <t>INSIG BI BAJA V CABO PRIMERO BARG N/GRIS</t>
  </si>
  <si>
    <t>7700452</t>
  </si>
  <si>
    <t>INSIG BI BAJA V SARGENTO    BARG N/GRIS</t>
  </si>
  <si>
    <t>7700453</t>
  </si>
  <si>
    <t>INSIG BI BAJA V SARGENTO 1  BARG N/GRIS</t>
  </si>
  <si>
    <t>7700454</t>
  </si>
  <si>
    <t>INSIG BI BAJA V SARG. AYUDANTE BARG N/GR</t>
  </si>
  <si>
    <t>7700455</t>
  </si>
  <si>
    <t>INSIG BI BAJA V SUB OF. PPAL. BARG N/GRI</t>
  </si>
  <si>
    <t>7700456</t>
  </si>
  <si>
    <t>INSIG BI BAJA V SUB OF. MAYOR BARG N/GRI</t>
  </si>
  <si>
    <t>7700459</t>
  </si>
  <si>
    <t>7700460</t>
  </si>
  <si>
    <t>7700461</t>
  </si>
  <si>
    <t>INSIG BI BAJA V PENIT SUB OF AYDTE SARG</t>
  </si>
  <si>
    <t>7700462</t>
  </si>
  <si>
    <t>INSIG BI BAJA V PENIT SUB OF AUX. SGTO 1</t>
  </si>
  <si>
    <t>7700463</t>
  </si>
  <si>
    <t>INSIG BI BAJA V PENIT SUB OF1 SARG AYDTE</t>
  </si>
  <si>
    <t>7700464</t>
  </si>
  <si>
    <t>INSIG BI BAJA V PENIT SUB OF PPAL G/NEGR</t>
  </si>
  <si>
    <t>7700465</t>
  </si>
  <si>
    <t>INSIG BI BAJA V PENIT SUB OF MAYOR G/NEG</t>
  </si>
  <si>
    <t>7700500</t>
  </si>
  <si>
    <t>INSIG VARIAS COLGAR CABO RER</t>
  </si>
  <si>
    <t>7700501</t>
  </si>
  <si>
    <t>INSIG ROJA SARGENTO AYTE P/COLGAR RER</t>
  </si>
  <si>
    <t>7700502</t>
  </si>
  <si>
    <t>INSIG ROJA CABO PRIMERO P/COLGAR RER</t>
  </si>
  <si>
    <t>7700503</t>
  </si>
  <si>
    <t>INSIG VARIOS SARG VS FUER RER</t>
  </si>
  <si>
    <t>7700504</t>
  </si>
  <si>
    <t>INSIG VARIOS SARG 1RO VS F</t>
  </si>
  <si>
    <t>7700505</t>
  </si>
  <si>
    <t>INSIG ROJA CABO P/COLGAR</t>
  </si>
  <si>
    <t>7700506</t>
  </si>
  <si>
    <t>INSIG ROJA SARGENTO P/COLGAR</t>
  </si>
  <si>
    <t>7700507</t>
  </si>
  <si>
    <t>INSIG ROJA SARGENTO 1RO P/COLGAR</t>
  </si>
  <si>
    <t>7700508</t>
  </si>
  <si>
    <t>INSIG ROJA PRINCIPAL P/COLGAR</t>
  </si>
  <si>
    <t>7700509</t>
  </si>
  <si>
    <t>INSIG ROJA SUBOF MAY P/COLGAR</t>
  </si>
  <si>
    <t>7700601</t>
  </si>
  <si>
    <t>INSIG BI AYTE 5TA PENIT CABO GRIS/AMARIL</t>
  </si>
  <si>
    <t>7700602</t>
  </si>
  <si>
    <t>INSIG BI SUB AYDTE. PENIT CABO 1 G/AMARI</t>
  </si>
  <si>
    <t>7700603</t>
  </si>
  <si>
    <t>INSIG BI SUB OF AYDTE PENIT SARG G/AMARI</t>
  </si>
  <si>
    <t>7700604</t>
  </si>
  <si>
    <t>INSIG BI SUB OF AUX PENIT SARGENTO 1 G/A</t>
  </si>
  <si>
    <t>7700605</t>
  </si>
  <si>
    <t>INSIG BI SUB OF PRIM PENIT SGTO AYTE G/A</t>
  </si>
  <si>
    <t>7700606</t>
  </si>
  <si>
    <t>INSIG BI SUB OFICIAL PPAL PENIT G/AMARIL</t>
  </si>
  <si>
    <t>7700607</t>
  </si>
  <si>
    <t>INSIG BI SUB OFICIAL MAYOR PENIT G/AMARI</t>
  </si>
  <si>
    <t>7700650</t>
  </si>
  <si>
    <t>INSIG BI SUB ADJUTOR PENIT</t>
  </si>
  <si>
    <t>7700651</t>
  </si>
  <si>
    <t>INSIG BI ADJUTOR PENIT</t>
  </si>
  <si>
    <t>7700652</t>
  </si>
  <si>
    <t>INSIG BI ADJUTOR PRINCIPAL PENIT</t>
  </si>
  <si>
    <t>7700653</t>
  </si>
  <si>
    <t>INSIG BI SUB ALCAIDE PENIT</t>
  </si>
  <si>
    <t>7700654</t>
  </si>
  <si>
    <t>INSIG BI ALCAIDE PENIT</t>
  </si>
  <si>
    <t>7700655</t>
  </si>
  <si>
    <t>INSIG BI ALCAIDE MAYOR PENIT</t>
  </si>
  <si>
    <t>7700656</t>
  </si>
  <si>
    <t>INSIG BI SUB PREFECTO PENIT</t>
  </si>
  <si>
    <t>7700657</t>
  </si>
  <si>
    <t>INSIG BI PREFECTO 2 SOLES PALM/SERR PENI</t>
  </si>
  <si>
    <t>7700658</t>
  </si>
  <si>
    <t>INSIG BI PREFECTO GRAL 3 SOLES PENIT</t>
  </si>
  <si>
    <t>7700700</t>
  </si>
  <si>
    <t>INSIG BLANCA SARGENTO P/COLGAR RER</t>
  </si>
  <si>
    <t>7700701</t>
  </si>
  <si>
    <t>INSIG BLANCA SUB OF PPAL P/COLGAR RER</t>
  </si>
  <si>
    <t>77007014</t>
  </si>
  <si>
    <t>JUEGO HEBILLA CINTURON AMERICANO</t>
  </si>
  <si>
    <t>7700900</t>
  </si>
  <si>
    <t>INSIG LMGE EL PAR DE ABROJO RER</t>
  </si>
  <si>
    <t>7700901</t>
  </si>
  <si>
    <t>INSIG LMGE EL PAR DE ABROJO 2DO ANIO RER</t>
  </si>
  <si>
    <t>7700902</t>
  </si>
  <si>
    <t>INSIG LMGE EL PAR ABROJO 3ER ANIO RER</t>
  </si>
  <si>
    <t>7700903</t>
  </si>
  <si>
    <t>INSIG LMGE EL PAR DE ARBOJO 3ER ANIO RER</t>
  </si>
  <si>
    <t>7700904</t>
  </si>
  <si>
    <t>INSIG LMGE EL PAR DE ABROJO 4TO ANIO RER</t>
  </si>
  <si>
    <t>7700905</t>
  </si>
  <si>
    <t>INSIG LMGE EL PAR DE ABROJO 5TO ANIO RER</t>
  </si>
  <si>
    <t>7700906</t>
  </si>
  <si>
    <t>INSIG LMGE EL PAR DE ABROJO 6TO ANIO RER</t>
  </si>
  <si>
    <t>7701004</t>
  </si>
  <si>
    <t>CINTA LAUREADA NEGRA RER</t>
  </si>
  <si>
    <t>7701005</t>
  </si>
  <si>
    <t>CINTA LAUREADA AMARILLA RER</t>
  </si>
  <si>
    <t>7701006</t>
  </si>
  <si>
    <t>CINTA SOUTACH RER</t>
  </si>
  <si>
    <t>7701093</t>
  </si>
  <si>
    <t>7701094</t>
  </si>
  <si>
    <t>7701100</t>
  </si>
  <si>
    <t>7701101</t>
  </si>
  <si>
    <t>CINTA CAMUFLAJE P ENMASCARAR RER</t>
  </si>
  <si>
    <t>7701102</t>
  </si>
  <si>
    <t>7701103</t>
  </si>
  <si>
    <t>7701104</t>
  </si>
  <si>
    <t>7701105</t>
  </si>
  <si>
    <t>7701136</t>
  </si>
  <si>
    <t>BANDERA ARG BORD LARGA BI</t>
  </si>
  <si>
    <t>7701137</t>
  </si>
  <si>
    <t>BANDERA ARG BORD LARGA BAJA VIS BI</t>
  </si>
  <si>
    <t>7701200</t>
  </si>
  <si>
    <t>CINTA REFLECTIVA</t>
  </si>
  <si>
    <t>7701201</t>
  </si>
  <si>
    <t>CINTA REFLECTIVA 655</t>
  </si>
  <si>
    <t>7701202</t>
  </si>
  <si>
    <t>CINTA REFLECTIVA RAYADO DIAGONAL</t>
  </si>
  <si>
    <t>7701203</t>
  </si>
  <si>
    <t>CINTA CUADRICULADA AZ/BL</t>
  </si>
  <si>
    <t>7701394</t>
  </si>
  <si>
    <t>CINTA REFLECT TEXTIL CUADROS 5CM10,5 IMP</t>
  </si>
  <si>
    <t>7701397</t>
  </si>
  <si>
    <t>CINTA REFLECT TEXTIL TRANFER BAS PLA IMP</t>
  </si>
  <si>
    <t>7701655</t>
  </si>
  <si>
    <t>CINTA REFLECT TEXTIL LISA 65/35 5CM IMP</t>
  </si>
  <si>
    <t>7703001</t>
  </si>
  <si>
    <t>HOMB POLICIA LISA AZUL SIN BOTON MET</t>
  </si>
  <si>
    <t>7703002</t>
  </si>
  <si>
    <t>HOMB POLICIA LISA COMISARIO</t>
  </si>
  <si>
    <t>7703003</t>
  </si>
  <si>
    <t>HOMB PENITENCIARIA NEGRA</t>
  </si>
  <si>
    <t>7703004</t>
  </si>
  <si>
    <t>HOMB ORO SERRETA SIN ROMBO DG</t>
  </si>
  <si>
    <t>7703005</t>
  </si>
  <si>
    <t>HOMB ORO SERRETA Y PALMA SIN ROMBO</t>
  </si>
  <si>
    <t>7703019</t>
  </si>
  <si>
    <t>HOMBRERA GRIS TOPO PENIT CABO RER</t>
  </si>
  <si>
    <t>7703020</t>
  </si>
  <si>
    <t>HOMBRERA GRIS TOPO PENIT CABO 1RO RER</t>
  </si>
  <si>
    <t>7703021</t>
  </si>
  <si>
    <t>HOMBRERA GRIS TOPO PENIT SARGENTO RER</t>
  </si>
  <si>
    <t>7703022</t>
  </si>
  <si>
    <t>HOMBRERA GRIS TOPO PENIT SARGENT 1RO RER</t>
  </si>
  <si>
    <t>7703023</t>
  </si>
  <si>
    <t>HOMBRERA GRIS TOPO PENIT SARGEN AYTE RER</t>
  </si>
  <si>
    <t>7703024</t>
  </si>
  <si>
    <t>HOMBRERA GRIS TOPO PENIT SUB OF PPAL RER</t>
  </si>
  <si>
    <t>7703025</t>
  </si>
  <si>
    <t>HOMBRERA GRIS TOPO PENIT SUB OF MAY RER</t>
  </si>
  <si>
    <t>7703026</t>
  </si>
  <si>
    <t>HOMBRERA GRIS TOPO PENIT 3 ESTRELLAS NE</t>
  </si>
  <si>
    <t>7703029</t>
  </si>
  <si>
    <t>HOMB DE GALA AMARILLA BORDADA DG</t>
  </si>
  <si>
    <t>7703030</t>
  </si>
  <si>
    <t>HOMB BI PENIT TMAN SAL AGENTE RER</t>
  </si>
  <si>
    <t>7703031</t>
  </si>
  <si>
    <t>HOMB BI PENIT TMAN SAL CRIO (2D) RER</t>
  </si>
  <si>
    <t>7703033</t>
  </si>
  <si>
    <t>HOMB BI PENIT TMAN FAJ AGENTE RER</t>
  </si>
  <si>
    <t>7703035</t>
  </si>
  <si>
    <t>HOMB BI PENIT TMAN FAJ C 1RO RER</t>
  </si>
  <si>
    <t>7703036</t>
  </si>
  <si>
    <t>HOMB BI PENIT TMAN FAJ SARG RER</t>
  </si>
  <si>
    <t>7703037</t>
  </si>
  <si>
    <t>HOMB BI PENIT TMAN FAJ SARG 1RO RER</t>
  </si>
  <si>
    <t>7703038</t>
  </si>
  <si>
    <t>HOMB BI PENIT TMAN FAJ  S AYTE RER</t>
  </si>
  <si>
    <t>7703039</t>
  </si>
  <si>
    <t>HOMB BI PENIT TMAN FAJ S PPAL RER</t>
  </si>
  <si>
    <t>7703047</t>
  </si>
  <si>
    <t>HOMB BI PENIT TMAN FAJ CRIO PPAL RER</t>
  </si>
  <si>
    <t>7703050</t>
  </si>
  <si>
    <t>HOMB BI PENIT MZA SUB ADJUTOR</t>
  </si>
  <si>
    <t>7703051</t>
  </si>
  <si>
    <t>HOMB BI PENIT MZA ADJUTOR</t>
  </si>
  <si>
    <t>7703052</t>
  </si>
  <si>
    <t>HOMB BI PENIT MZA ADJUTOR PRINCIPAL</t>
  </si>
  <si>
    <t>7703053</t>
  </si>
  <si>
    <t>HOMB BI PENIT MZA SUB ALCAIDE RER</t>
  </si>
  <si>
    <t>7703054</t>
  </si>
  <si>
    <t>HOMB BI PENIT MZA 2SOL SERRETA ALCAIDE</t>
  </si>
  <si>
    <t>7703055</t>
  </si>
  <si>
    <t>7703056</t>
  </si>
  <si>
    <t>HOMB BI PENIT MZA 2SOL SERR/PAL PREFECTO</t>
  </si>
  <si>
    <t>7703057</t>
  </si>
  <si>
    <t>HOMB BI PENIT MZA 3SOL SERR/PAL PREFGRAL</t>
  </si>
  <si>
    <t>7703060</t>
  </si>
  <si>
    <t>HOMB BI PENIT SANTA CRUZ SUB ALCAIDE</t>
  </si>
  <si>
    <t>7703061</t>
  </si>
  <si>
    <t>HOMB BI PENIT SANTA CRUZ ALCAIDE</t>
  </si>
  <si>
    <t>7703062</t>
  </si>
  <si>
    <t>7703065</t>
  </si>
  <si>
    <t>HOMB BI PENIT SANTA CRUZ SUB ADJUTOR</t>
  </si>
  <si>
    <t>7703066</t>
  </si>
  <si>
    <t>HOMB BI PENIT SANTA CRUZ ADJUTOR</t>
  </si>
  <si>
    <t>7703067</t>
  </si>
  <si>
    <t>HOMB BI PENIT SANTA CRUZ ADJUTOR PRINCIP</t>
  </si>
  <si>
    <t>7703070</t>
  </si>
  <si>
    <t>HOMB BI PENIT SANTA CRUZ SUB PREFECTO</t>
  </si>
  <si>
    <t>7703071</t>
  </si>
  <si>
    <t>HOMB BI PENIT SANTA CRUZ PREFECTO</t>
  </si>
  <si>
    <t>7703072</t>
  </si>
  <si>
    <t>HOMB BI PENIT SANTA CRUZ INSPECTOR GRAL</t>
  </si>
  <si>
    <t>7703105</t>
  </si>
  <si>
    <t>HOMB BI POL SUBCOMISARIO (1 DORADA)</t>
  </si>
  <si>
    <t>7703106</t>
  </si>
  <si>
    <t>HOMB BI POL COMISARIO (1PLAT+1DOR)</t>
  </si>
  <si>
    <t>7703107</t>
  </si>
  <si>
    <t>HOMB BI POL COMISARIO (2 DORADAS)</t>
  </si>
  <si>
    <t>7703108</t>
  </si>
  <si>
    <t>HOMB BI POL COMISARIO PPAL TMAN (3 DORA</t>
  </si>
  <si>
    <t>7703109</t>
  </si>
  <si>
    <t>HOMB BI POL ALCAIDE MAYOR 3SOL + SERR BI</t>
  </si>
  <si>
    <t>7703110</t>
  </si>
  <si>
    <t>HOMB BI POL MZA AUXILIAR</t>
  </si>
  <si>
    <t>7703111</t>
  </si>
  <si>
    <t>HOMB BI POL MZA AUX. PRIMERO</t>
  </si>
  <si>
    <t>7703112</t>
  </si>
  <si>
    <t>HOMB BI POL MZA AUX. SEGUNDO</t>
  </si>
  <si>
    <t>7703113</t>
  </si>
  <si>
    <t>HOMB BI POL MZA AUX. MAYOR</t>
  </si>
  <si>
    <t>7703114</t>
  </si>
  <si>
    <t>HOMB BI POL 1 ROMBO DORADO + 1 PLATEA</t>
  </si>
  <si>
    <t>7703115</t>
  </si>
  <si>
    <t>HOMB BI POL 1 ROMBO DORADO CHICO</t>
  </si>
  <si>
    <t>7703116</t>
  </si>
  <si>
    <t>HOMB BI POL 1 ROMBO PLATEADO CHICO</t>
  </si>
  <si>
    <t>7703117</t>
  </si>
  <si>
    <t>HOMB BI POL 2 ROMBOS PLATEADOS CHIC</t>
  </si>
  <si>
    <t>7703118</t>
  </si>
  <si>
    <t>HOMB BI POL 3 ROMBOS PLATEADOS</t>
  </si>
  <si>
    <t>7703119</t>
  </si>
  <si>
    <t>HOMB BI POL 2 ROMBOS DORADOS</t>
  </si>
  <si>
    <t>7703120</t>
  </si>
  <si>
    <t>HOMB BI POL 3 ROMBOS DORADOS</t>
  </si>
  <si>
    <t>7703121</t>
  </si>
  <si>
    <t>HOMB BI POL COMISARIO INSPECTOR</t>
  </si>
  <si>
    <t>7703125</t>
  </si>
  <si>
    <t>HOMB BI POL COMISARIO MAYOR</t>
  </si>
  <si>
    <t>7703129</t>
  </si>
  <si>
    <t>HOMB GALA POLICIA CINTA LAU DORADA</t>
  </si>
  <si>
    <t>7703130</t>
  </si>
  <si>
    <t>HOMB GALA POLICIA CINTA LAU NEGRA</t>
  </si>
  <si>
    <t>7703143</t>
  </si>
  <si>
    <t>HOMB BORD ORO CRIO INSPECTOR 1 ROMBO DG</t>
  </si>
  <si>
    <t>7703157</t>
  </si>
  <si>
    <t>HOMB BORD ORO CRIO GRAL 4 ROMBOS DG</t>
  </si>
  <si>
    <t>7703158</t>
  </si>
  <si>
    <t>HOMB BORD ORO CRIO GRAL 3 ROMBOS DG</t>
  </si>
  <si>
    <t>7703159</t>
  </si>
  <si>
    <t>HOMB BORD ORO CRIO MAYOR 2 ROMBOS DG</t>
  </si>
  <si>
    <t>7703164</t>
  </si>
  <si>
    <t>HOMB BI POL MZA AUX. SUPERIOR</t>
  </si>
  <si>
    <t>7703185</t>
  </si>
  <si>
    <t>HOMB BI POL COMISARIO GENERAL</t>
  </si>
  <si>
    <t>7703200</t>
  </si>
  <si>
    <t>HOMB BORD ORO  P.S.A.</t>
  </si>
  <si>
    <t>7703260</t>
  </si>
  <si>
    <t>HOMB NEUQUEN OF AYDTE BORDADA BI</t>
  </si>
  <si>
    <t>7703340</t>
  </si>
  <si>
    <t>HOMB NEUQUEN OF INSP BORDAD RER</t>
  </si>
  <si>
    <t>7703341</t>
  </si>
  <si>
    <t>HOMB NEUQUEN SUB INSP BORDAD RER</t>
  </si>
  <si>
    <t>7703420</t>
  </si>
  <si>
    <t>HOMB NEUQUEN OF PPAL BORDAD BI</t>
  </si>
  <si>
    <t>7703540</t>
  </si>
  <si>
    <t>HOMB NEUQUEN SUB CRIO BORDAD RER</t>
  </si>
  <si>
    <t>7703599</t>
  </si>
  <si>
    <t>HOMB SEGURYTEC</t>
  </si>
  <si>
    <t>7703600</t>
  </si>
  <si>
    <t>HOMB.</t>
  </si>
  <si>
    <t>7703601</t>
  </si>
  <si>
    <t>HOMB POL CABO</t>
  </si>
  <si>
    <t>7703602</t>
  </si>
  <si>
    <t>HOMB POL CABO 1RO</t>
  </si>
  <si>
    <t>7703603</t>
  </si>
  <si>
    <t>HOMB POL SARGENTO</t>
  </si>
  <si>
    <t>7703604</t>
  </si>
  <si>
    <t>HOMB POL SARGENTO 1RO</t>
  </si>
  <si>
    <t>7703605</t>
  </si>
  <si>
    <t>HOMB POL SARGENTO AYUDANTE</t>
  </si>
  <si>
    <t>7703606</t>
  </si>
  <si>
    <t>HOMB POL SUBOF PRINCIPAL</t>
  </si>
  <si>
    <t>7703607</t>
  </si>
  <si>
    <t>HOMB POL  SUBOF MAYOR</t>
  </si>
  <si>
    <t>7703640</t>
  </si>
  <si>
    <t>HOMB NEUQUEN CRIO INSP BORDADO BI</t>
  </si>
  <si>
    <t>7703651</t>
  </si>
  <si>
    <t>HOMB BI SEG PRIVADA LIMIT 1 GALON</t>
  </si>
  <si>
    <t>7703652</t>
  </si>
  <si>
    <t>HOMB BI SEG PRIVADA LIMIT 2 GALONES</t>
  </si>
  <si>
    <t>7703653</t>
  </si>
  <si>
    <t>HOMB BI SEG PRIVADA LIMIT 3 GALONES</t>
  </si>
  <si>
    <t>7703660</t>
  </si>
  <si>
    <t>HOMB LMGE AZUL</t>
  </si>
  <si>
    <t>7703664</t>
  </si>
  <si>
    <t>HOMB LMGE VERDE 1ER ANIO</t>
  </si>
  <si>
    <t>7703665</t>
  </si>
  <si>
    <t>HOMB LMGE VERDE 2DO ANIO</t>
  </si>
  <si>
    <t>7703666</t>
  </si>
  <si>
    <t>HOMB LMGE VERDE 3ER ANIO</t>
  </si>
  <si>
    <t>7703667</t>
  </si>
  <si>
    <t>HOMB LMGE VERDE 4TO ANIO</t>
  </si>
  <si>
    <t>7703668</t>
  </si>
  <si>
    <t>HOMB LMGE VERDE 5TO ANIO</t>
  </si>
  <si>
    <t>7703669</t>
  </si>
  <si>
    <t>HOMB LMGE VERDE 6TO ANIO</t>
  </si>
  <si>
    <t>7703670</t>
  </si>
  <si>
    <t>HOMB NEUQUEN COMISARIO BORDAD RER</t>
  </si>
  <si>
    <t>7703671</t>
  </si>
  <si>
    <t>HOMB NEUQUEN CABO RER</t>
  </si>
  <si>
    <t>7703672</t>
  </si>
  <si>
    <t>HOMB NEUQUEN CABO 1RO RER</t>
  </si>
  <si>
    <t>7703673</t>
  </si>
  <si>
    <t>HOMB NEUQUEN SARGENTO RER</t>
  </si>
  <si>
    <t>7703674</t>
  </si>
  <si>
    <t>HOMB NEUQUEN SARGENTO 1RO RER</t>
  </si>
  <si>
    <t>7703675</t>
  </si>
  <si>
    <t>HOMB NEUQUEN SARG AYDTE RER</t>
  </si>
  <si>
    <t>7703676</t>
  </si>
  <si>
    <t>HOMB NEUQUEN SUBOFICIAL PPAL RER</t>
  </si>
  <si>
    <t>7703678</t>
  </si>
  <si>
    <t>HOMB NEUQUEN SUBOFICIAL MAYOR RER</t>
  </si>
  <si>
    <t>7703701</t>
  </si>
  <si>
    <t>HOMB NEGRA CABO RER</t>
  </si>
  <si>
    <t>7703702</t>
  </si>
  <si>
    <t>HOMB NEGRA CABO 1 RER</t>
  </si>
  <si>
    <t>7703703</t>
  </si>
  <si>
    <t>HOMB NEGRA SARGENTO RER</t>
  </si>
  <si>
    <t>7703704</t>
  </si>
  <si>
    <t>HOMB NEGRA SARGENTO 1 RER</t>
  </si>
  <si>
    <t>7703705</t>
  </si>
  <si>
    <t>HOMB NEGRA SARGENTO AYUDANTE RER</t>
  </si>
  <si>
    <t>7703706</t>
  </si>
  <si>
    <t>HOMB NEGRA SUB OP PRINCIPAL RER</t>
  </si>
  <si>
    <t>7703707</t>
  </si>
  <si>
    <t>HOMB NEGRA SUB OF MAYOR RER</t>
  </si>
  <si>
    <t>7703713</t>
  </si>
  <si>
    <t>HOMB VERDE SEGUNDO CTE GN RER</t>
  </si>
  <si>
    <t>7703716</t>
  </si>
  <si>
    <t>HOMBRERA VERDE CTE MAYOR GN BI</t>
  </si>
  <si>
    <t>7703777</t>
  </si>
  <si>
    <t>HOMB BORD ORO SANTA CRUZ JEFE 4 ESTRE DG</t>
  </si>
  <si>
    <t>7703780</t>
  </si>
  <si>
    <t>HOMB NEUQUEN CRIO MAYOR BORDADA BI</t>
  </si>
  <si>
    <t>7703815</t>
  </si>
  <si>
    <t>HOMB GALA NUDO HUNGARO DORADA AZZ</t>
  </si>
  <si>
    <t>7703881</t>
  </si>
  <si>
    <t>HOMB GALA NUDO HUNGARO PLATEADA AZZ</t>
  </si>
  <si>
    <t>7703888</t>
  </si>
  <si>
    <t>7703900</t>
  </si>
  <si>
    <t>HOMB POLICIA NEGRA SIN BOTON MET</t>
  </si>
  <si>
    <t>7703901</t>
  </si>
  <si>
    <t>HOMB BI STA CRUZ CRIO INSPECTOR RER</t>
  </si>
  <si>
    <t>7703902</t>
  </si>
  <si>
    <t>HOMB BI STA CRUZ CRIO MAYOR RER</t>
  </si>
  <si>
    <t>7703903</t>
  </si>
  <si>
    <t>HOMB BI STA CRUZ CRIO GRAL RER</t>
  </si>
  <si>
    <t>7703910</t>
  </si>
  <si>
    <t>HOMB VERDE SUBALFERES GN RER</t>
  </si>
  <si>
    <t>7703915</t>
  </si>
  <si>
    <t>HOMBRERA VERDE CTE PPAL GN</t>
  </si>
  <si>
    <t>7703918</t>
  </si>
  <si>
    <t>HOMB VERDE SIN GRADO GN CO RER</t>
  </si>
  <si>
    <t>7703920</t>
  </si>
  <si>
    <t>HOMB NEUQUEN CRIO GRAL BORDADA BI</t>
  </si>
  <si>
    <t>7703951</t>
  </si>
  <si>
    <t>HOMB BORD ORO SANTA CRUZ CRIO GRAL3E DG</t>
  </si>
  <si>
    <t>7703987</t>
  </si>
  <si>
    <t>DO</t>
  </si>
  <si>
    <t>7703994</t>
  </si>
  <si>
    <t>HOMB BORD ORO CRIO STA CRUZ SIN ESTRE DG</t>
  </si>
  <si>
    <t>7703999</t>
  </si>
  <si>
    <t>HOMB BORD ORO SANTA CRUZ CRIO MAYOR  DG</t>
  </si>
  <si>
    <t>7707-536</t>
  </si>
  <si>
    <t>7707000</t>
  </si>
  <si>
    <t>METAL SOL JEFE PROV. BS.AS. NEUQUEN FEM</t>
  </si>
  <si>
    <t>7707001</t>
  </si>
  <si>
    <t>METAL VIVO POL FED NUEVO MOD DORAD FEM</t>
  </si>
  <si>
    <t>7707002</t>
  </si>
  <si>
    <t>METAL RIEL DE 2 FEM</t>
  </si>
  <si>
    <t>7707003</t>
  </si>
  <si>
    <t>METAL VIVO POL FED NUEVO MOD PLATEA RER</t>
  </si>
  <si>
    <t>7707004</t>
  </si>
  <si>
    <t>METAL HEBILLA CAJITA STA CRUZ RER</t>
  </si>
  <si>
    <t>7707005</t>
  </si>
  <si>
    <t>ESC SEGURIDAD FEEL SAFE</t>
  </si>
  <si>
    <t>7707006</t>
  </si>
  <si>
    <t>METAL SNAP DOR PIN RER</t>
  </si>
  <si>
    <t>7707007</t>
  </si>
  <si>
    <t>METAL VIVO POL FER VIEJO MODELO PLAT FEM</t>
  </si>
  <si>
    <t>7707009</t>
  </si>
  <si>
    <t>METAL SNAP DE SILICONA EL PAR RER</t>
  </si>
  <si>
    <t>7707010</t>
  </si>
  <si>
    <t>METAL HEBILLA CUADRADA SALIDA LMGE BM</t>
  </si>
  <si>
    <t>7707011</t>
  </si>
  <si>
    <t>METAL HEBILLA GALA C PASADOR LABRADO FEM</t>
  </si>
  <si>
    <t>7707012</t>
  </si>
  <si>
    <t>BANDERA ECO ( EL PAR) RER</t>
  </si>
  <si>
    <t>7707013</t>
  </si>
  <si>
    <t>METAL RIEL DE 3 FEM</t>
  </si>
  <si>
    <t>7707014</t>
  </si>
  <si>
    <t>HEBILLA CINTURON AMERICANO RER</t>
  </si>
  <si>
    <t>7707015</t>
  </si>
  <si>
    <t>BANDERA ECO MALVINAS (EL PAR)</t>
  </si>
  <si>
    <t>7707016</t>
  </si>
  <si>
    <t>HEBILLA CINTURON SEG 3 PUNTOS 4265</t>
  </si>
  <si>
    <t>7707017</t>
  </si>
  <si>
    <t>HEBILLA DOR CINTO TROPA RER</t>
  </si>
  <si>
    <t>7707018</t>
  </si>
  <si>
    <t>HEBILLA CINTURON SEG 3.0 PUNTOS 4261</t>
  </si>
  <si>
    <t>7707019</t>
  </si>
  <si>
    <t>PASADOR RECTO  PARA CINTURON RER</t>
  </si>
  <si>
    <t>7707020</t>
  </si>
  <si>
    <t>PASADOR CURVO PARA CINTURON RER</t>
  </si>
  <si>
    <t>7707021</t>
  </si>
  <si>
    <t>METAL HEBILLA BOMBERO RED PLA RER</t>
  </si>
  <si>
    <t>7707025</t>
  </si>
  <si>
    <t>METAL ESTRELLA PLAT ANT. 5 PUNTAS FEM</t>
  </si>
  <si>
    <t>7707051</t>
  </si>
  <si>
    <t>SILBATO  CON BRUJULA H3-1 RER</t>
  </si>
  <si>
    <t>7707060</t>
  </si>
  <si>
    <t>METAL ESTRELLA S. LUIS DOR CHICA FEM</t>
  </si>
  <si>
    <t>7707061</t>
  </si>
  <si>
    <t>METAL ESTRELLA S. LUIS PLAT C RER</t>
  </si>
  <si>
    <t>7707070</t>
  </si>
  <si>
    <t>METAL VIVO PROV. BS. AS. DORADO FEM</t>
  </si>
  <si>
    <t>7707071</t>
  </si>
  <si>
    <t>METAL VIVO PROV. BS. AS. PLATEADO FEM</t>
  </si>
  <si>
    <t>7707074</t>
  </si>
  <si>
    <t>METAL INSIGNIA CAPITAN PROV. BS. AS. FEM</t>
  </si>
  <si>
    <t>7707079</t>
  </si>
  <si>
    <t>METAL FLEJE OFICIAL PROV BSAS PLATEA FEM</t>
  </si>
  <si>
    <t>7707081</t>
  </si>
  <si>
    <t>METAL ESTRELLA SAN LUIS DOR GRANDE FEM</t>
  </si>
  <si>
    <t>7707100</t>
  </si>
  <si>
    <t>METAL PALMAS LAUREL CRUZADO 20*40 C FEM</t>
  </si>
  <si>
    <t>7707105</t>
  </si>
  <si>
    <t>ESC GORRA ORO STA CRUZ DG</t>
  </si>
  <si>
    <t>7707110</t>
  </si>
  <si>
    <t>METAL LAPIZ PARA CORDON POR UNIDAD RER</t>
  </si>
  <si>
    <t>7707113</t>
  </si>
  <si>
    <t>METAL ROSETON Y/O ESTADO MAYOR NEUQUEN</t>
  </si>
  <si>
    <t>7707115</t>
  </si>
  <si>
    <t>METAL RUEDA ALADA NQN DOR FEM</t>
  </si>
  <si>
    <t>7707116</t>
  </si>
  <si>
    <t>METAL ALAS DE CHOFER RER</t>
  </si>
  <si>
    <t>7707120</t>
  </si>
  <si>
    <t>METAL LAUREL SIMPLE GRANDE EL PAR C RER</t>
  </si>
  <si>
    <t>7707122</t>
  </si>
  <si>
    <t>METAL LAUREL CRUZADO CHICO 20*40 RER</t>
  </si>
  <si>
    <t>7707136</t>
  </si>
  <si>
    <t>BANDERA ARG.BORD. 7.20X4.40   BARG BI</t>
  </si>
  <si>
    <t>7707139</t>
  </si>
  <si>
    <t>METAL HEBILLA RED NEUQUEN PLATEADA FEM</t>
  </si>
  <si>
    <t>7707154</t>
  </si>
  <si>
    <t>METAL ROMBO 22 PLATEADO FEM</t>
  </si>
  <si>
    <t>7707159</t>
  </si>
  <si>
    <t>BANDERA ARG  BAJA VISIB BARG BI</t>
  </si>
  <si>
    <t>7707160</t>
  </si>
  <si>
    <t>METAL RIEL P/NOMBRE  PLATA FEM</t>
  </si>
  <si>
    <t>7707161</t>
  </si>
  <si>
    <t>METAL RIEL P/NOMBRE DORADO FEM</t>
  </si>
  <si>
    <t>7707170</t>
  </si>
  <si>
    <t>METAL INSIGNIA CABO A SAR RER</t>
  </si>
  <si>
    <t>7707200</t>
  </si>
  <si>
    <t>METAL ESC P/CASQ/BOINA NEUQUEN RER</t>
  </si>
  <si>
    <t>7707220</t>
  </si>
  <si>
    <t>METAL BARRAS ANTIGUEDAD SIN PIN RER</t>
  </si>
  <si>
    <t>7707222</t>
  </si>
  <si>
    <t>CINT CUERO C/HEBILLA DORADA NQN RER</t>
  </si>
  <si>
    <t>7707223</t>
  </si>
  <si>
    <t>METAL. PENIT BALANZA DOR RER</t>
  </si>
  <si>
    <t>7707226</t>
  </si>
  <si>
    <t>METAL LLAVERO POLICIA DE STA CRUZ RER</t>
  </si>
  <si>
    <t>7707235</t>
  </si>
  <si>
    <t>METAL BARRAS ANTIGU CON PIN FEM</t>
  </si>
  <si>
    <t>7707236</t>
  </si>
  <si>
    <t>METAL EMBLEMA BOINA UCCEE RER</t>
  </si>
  <si>
    <t>7707237</t>
  </si>
  <si>
    <t>METAL EMBL BOINA MECANIZADA</t>
  </si>
  <si>
    <t>7707246</t>
  </si>
  <si>
    <t>METAL RIEL DE 4 FEM</t>
  </si>
  <si>
    <t>7707260</t>
  </si>
  <si>
    <t>METAL SILBATO DE RONDA FEM</t>
  </si>
  <si>
    <t>7707266</t>
  </si>
  <si>
    <t>PECT. EJERCITO ARGENTINO   BARG BI</t>
  </si>
  <si>
    <t>7707267</t>
  </si>
  <si>
    <t>PECT. OSCA NEGRO ENGOMADO BI</t>
  </si>
  <si>
    <t>7707273</t>
  </si>
  <si>
    <t>METAL BOTON STA CRUZ 22 PLATEADO FEM</t>
  </si>
  <si>
    <t>7707274</t>
  </si>
  <si>
    <t>METAL BOTON STA CRUZ 16 OJAL PLATEAD FEM</t>
  </si>
  <si>
    <t>7707275</t>
  </si>
  <si>
    <t>METAL BOTON STA CRUZ 16 OJAL DORADO FEM</t>
  </si>
  <si>
    <t>7707276</t>
  </si>
  <si>
    <t>METAL BOTON STA CRUZ 12 C/PATAS PLAT FEM</t>
  </si>
  <si>
    <t>7707277</t>
  </si>
  <si>
    <t>METAL BOTON STA CRUZ 12 C/PATAS DOR FEM</t>
  </si>
  <si>
    <t>7707278</t>
  </si>
  <si>
    <t>METAL BOTON STA CRUZ 22 DORADO FEM</t>
  </si>
  <si>
    <t>7707279</t>
  </si>
  <si>
    <t>METAL BOTON NQUEN 16 MM DORAD C/PATAS BM</t>
  </si>
  <si>
    <t>7707280</t>
  </si>
  <si>
    <t>METAL PROV. BS.AS. SARGENTO FEM</t>
  </si>
  <si>
    <t>7707281</t>
  </si>
  <si>
    <t>METAL ESC GORRA TMAN PLAT SUBOF. RER</t>
  </si>
  <si>
    <t>7707283</t>
  </si>
  <si>
    <t>7707284</t>
  </si>
  <si>
    <t>7707285</t>
  </si>
  <si>
    <t>METAL BOTON PATRIO 22 MM. PLATEADO FEM</t>
  </si>
  <si>
    <t>7707288</t>
  </si>
  <si>
    <t>METAL BOTON PATRIO 12 MM. PLATEADO FEM</t>
  </si>
  <si>
    <t>7707289</t>
  </si>
  <si>
    <t>METAL ESC GORRA PLATEADO GRANDE FEM</t>
  </si>
  <si>
    <t>7707290</t>
  </si>
  <si>
    <t>METAL ESC AGENTE POLICIA FEDERAL PLA RER</t>
  </si>
  <si>
    <t>7707291</t>
  </si>
  <si>
    <t>METAL ESC SUB OF POLICIA FEDERAL PLA RER</t>
  </si>
  <si>
    <t>7707292</t>
  </si>
  <si>
    <t>METAL ESC DOR EJERCITO ARGENTINO RER</t>
  </si>
  <si>
    <t>7707293</t>
  </si>
  <si>
    <t>METAL ESC GORRA POLICIA SAN LUIS DOR RER</t>
  </si>
  <si>
    <t>7707294</t>
  </si>
  <si>
    <t>METAL ESC OFICIAL TUCUMAN DOR RER</t>
  </si>
  <si>
    <t>7707298</t>
  </si>
  <si>
    <t>METAL HEBILLA RED ESC NAC. DORADA FEM</t>
  </si>
  <si>
    <t>7707299</t>
  </si>
  <si>
    <t>METAL HEBILLA RED GENDARMERIA NAC FEM</t>
  </si>
  <si>
    <t>7707318</t>
  </si>
  <si>
    <t>METAL HEBILLA RED DOR STA CRUZ 30MM RER</t>
  </si>
  <si>
    <t>7707319</t>
  </si>
  <si>
    <t>7707320</t>
  </si>
  <si>
    <t>METAL HEBILLA RED GALLO PLATEADA BM</t>
  </si>
  <si>
    <t>7707321</t>
  </si>
  <si>
    <t>METAL HEBILLA RED GALLO DORADA RER</t>
  </si>
  <si>
    <t>7707322</t>
  </si>
  <si>
    <t>METAL HEBILLA RED TORREON DORADA RER</t>
  </si>
  <si>
    <t>7707324</t>
  </si>
  <si>
    <t>METAL HEBILLA RED TORREON PLATEADA RER</t>
  </si>
  <si>
    <t>7707325</t>
  </si>
  <si>
    <t>METAL HEBILLA RED STA CRUZ PLATEADA RER</t>
  </si>
  <si>
    <t>7707333</t>
  </si>
  <si>
    <t>METAL TRABA CORBATA STA CRUZ RER</t>
  </si>
  <si>
    <t>7707349</t>
  </si>
  <si>
    <t>METAL FLEJE OFICIAL PROV BS AS PLAT FEM</t>
  </si>
  <si>
    <t>7707350</t>
  </si>
  <si>
    <t>METAL SILBATO EXTRA GRANDE RER</t>
  </si>
  <si>
    <t>7707357</t>
  </si>
  <si>
    <t>METAL RIEL DE 1 FEM</t>
  </si>
  <si>
    <t>7707368</t>
  </si>
  <si>
    <t>METAL LANZAS CABALLERIA RER</t>
  </si>
  <si>
    <t>7707426</t>
  </si>
  <si>
    <t>METAL BASTON CRIO SAN LUIS RER</t>
  </si>
  <si>
    <t>7707444</t>
  </si>
  <si>
    <t>CINT CUERO C/HEBILLA NIQUELADA NQN RER</t>
  </si>
  <si>
    <t>7707450</t>
  </si>
  <si>
    <t>METAL RUEDA ALADA NQN PLATEAD RER</t>
  </si>
  <si>
    <t>7707452</t>
  </si>
  <si>
    <t>METAL SOL JEFE SUPERIOR CATAMARCA FEM</t>
  </si>
  <si>
    <t>7707453</t>
  </si>
  <si>
    <t>METAL G.N. EMBLEMA AGRUPACION RER</t>
  </si>
  <si>
    <t>7707502</t>
  </si>
  <si>
    <t>METAL BARRA DE CURSO CADETE LMGE FEM</t>
  </si>
  <si>
    <t>7707503</t>
  </si>
  <si>
    <t>METAL BOTON PATRIO 25 MM. DORA FEM</t>
  </si>
  <si>
    <t>7707504</t>
  </si>
  <si>
    <t>METAL BOTON PATRIO 16 MM. DORA OJAL FEM</t>
  </si>
  <si>
    <t>7707505</t>
  </si>
  <si>
    <t>METAL BOTON PATRIO 22 MM. DORA FEM</t>
  </si>
  <si>
    <t>7707508</t>
  </si>
  <si>
    <t>7707511</t>
  </si>
  <si>
    <t>METAL CRISOL LMGE GORRA (UR) FEM</t>
  </si>
  <si>
    <t>7707518</t>
  </si>
  <si>
    <t>METAL ESC GORRA G.N. RER</t>
  </si>
  <si>
    <t>7707519</t>
  </si>
  <si>
    <t>METAL ESC GORRA MZA OFIC (GRANDE) FEM</t>
  </si>
  <si>
    <t>7707521</t>
  </si>
  <si>
    <t>METAL ESCARAPELA ESMALTADA LMGE FEM</t>
  </si>
  <si>
    <t>7707522</t>
  </si>
  <si>
    <t>METAL ESTRELLA ANTIGUEDAD 5 PUNTAS FEM</t>
  </si>
  <si>
    <t>7707523</t>
  </si>
  <si>
    <t>METAL G.N. ESTRELLA OF DORADA RER</t>
  </si>
  <si>
    <t>7707524</t>
  </si>
  <si>
    <t>METAL G.N. ESTRELLA OF PLATEADA RER</t>
  </si>
  <si>
    <t>7707525</t>
  </si>
  <si>
    <t>METAL ESTRELLA PROV.BS.AS. DORADA FEM</t>
  </si>
  <si>
    <t>7707526</t>
  </si>
  <si>
    <t>METAL ESTRELLA PROV. BS.AS. PLATEADA FEM</t>
  </si>
  <si>
    <t>7707528</t>
  </si>
  <si>
    <t>METAL LIRA (BANDA MUSICA) FEM</t>
  </si>
  <si>
    <t>7707529</t>
  </si>
  <si>
    <t>METAL ESC GORRA TMAN DORADO OF. RER</t>
  </si>
  <si>
    <t>7707532</t>
  </si>
  <si>
    <t>METAL HEBILLA RED ESC NAC PLAT LMGE FEM</t>
  </si>
  <si>
    <t>7707533</t>
  </si>
  <si>
    <t>METAL HEBILLA GALA DOR STA CRUZ FEM</t>
  </si>
  <si>
    <t>7707536</t>
  </si>
  <si>
    <t>METAL NOO USAR FEM</t>
  </si>
  <si>
    <t>7707545</t>
  </si>
  <si>
    <t>METAL CRISOL LMGE CHAQUETILLA FEM</t>
  </si>
  <si>
    <t>7707547</t>
  </si>
  <si>
    <t>METAL NUMERO CHICO FEM</t>
  </si>
  <si>
    <t>7707550</t>
  </si>
  <si>
    <t>METAL HEBILLA RED NEUQUEN DORADA BM</t>
  </si>
  <si>
    <t>7707552</t>
  </si>
  <si>
    <t>METAL ROMBO 25MM. DORADO FEM</t>
  </si>
  <si>
    <t>7707553</t>
  </si>
  <si>
    <t>METAL ROMBO 25MM. PLATEADO FEM</t>
  </si>
  <si>
    <t>7707555</t>
  </si>
  <si>
    <t>METAL HEBILLA GALA PLAT. STA CRUZ FEM</t>
  </si>
  <si>
    <t>7707556</t>
  </si>
  <si>
    <t>METAL ROMBO 16 MM. DORADO FEM</t>
  </si>
  <si>
    <t>7707557</t>
  </si>
  <si>
    <t>METAL ROMBO 16MM.PLATEADO FEM</t>
  </si>
  <si>
    <t>7707562</t>
  </si>
  <si>
    <t>METAL SILBATO DE SALIDA FEM</t>
  </si>
  <si>
    <t>7707563</t>
  </si>
  <si>
    <t>METAL G.N. SOL JEFE RER</t>
  </si>
  <si>
    <t>7707565</t>
  </si>
  <si>
    <t>METAL SERRETA 5 ONDAS RER</t>
  </si>
  <si>
    <t>7707566</t>
  </si>
  <si>
    <t>METAL SERRETA 8/10 ONDAS FEM</t>
  </si>
  <si>
    <t>7707567</t>
  </si>
  <si>
    <t>METAL TRABA CORBATA ESC. NAC FEM</t>
  </si>
  <si>
    <t>7707568</t>
  </si>
  <si>
    <t>METAL TRABA CORBATA NQN RER</t>
  </si>
  <si>
    <t>7707569</t>
  </si>
  <si>
    <t>METAL TORREON PENITENCIARIO RER</t>
  </si>
  <si>
    <t>7707570</t>
  </si>
  <si>
    <t>METAL FUSILES CRUZADOS FEM</t>
  </si>
  <si>
    <t>7707571</t>
  </si>
  <si>
    <t>METAL RAYOS CRUZADOS FEM</t>
  </si>
  <si>
    <t>7707572</t>
  </si>
  <si>
    <t>METAL SERRETA TIPO BASTON 6CM 2 PATAS</t>
  </si>
  <si>
    <t>7707582</t>
  </si>
  <si>
    <t>METAL INSIGNIA SUB PPAL C/U DORADA RER</t>
  </si>
  <si>
    <t>7707583</t>
  </si>
  <si>
    <t>PASADOR METAL CINTURON NATO 4583</t>
  </si>
  <si>
    <t>7707584</t>
  </si>
  <si>
    <t>HEBILLA CINT NATO CON DOS PASADORES 4584</t>
  </si>
  <si>
    <t>7707586</t>
  </si>
  <si>
    <t>METAL LIBRITOS ESC DE CADETE FEM</t>
  </si>
  <si>
    <t>7707650</t>
  </si>
  <si>
    <t>METAL TRABA CORBATA SEGURIDAD RER</t>
  </si>
  <si>
    <t>7707670</t>
  </si>
  <si>
    <t>METAL EMBLEMA BOINA INFANT 1940 RER</t>
  </si>
  <si>
    <t>7707671</t>
  </si>
  <si>
    <t>METAL EMBLEMA BOINA GES RER</t>
  </si>
  <si>
    <t>7707672</t>
  </si>
  <si>
    <t>METAL EMBLEMA BOINA SERP BI</t>
  </si>
  <si>
    <t>7707701</t>
  </si>
  <si>
    <t>METAL INSIGNIA SUBOF.MY C/U DORADA RER</t>
  </si>
  <si>
    <t>7707702</t>
  </si>
  <si>
    <t>METAL INSIGNIA SUBOF MY C/U ROJA RER</t>
  </si>
  <si>
    <t>7707710</t>
  </si>
  <si>
    <t>METAL ROSETON Y/O ESTADO MAYOR FEM</t>
  </si>
  <si>
    <t>7707711</t>
  </si>
  <si>
    <t>METAL ESTRELLA ANTIGU 6 PUNTAS RER</t>
  </si>
  <si>
    <t>7707712</t>
  </si>
  <si>
    <t>METAL HACHA BOMBERO TROPA 30*-38 FEM</t>
  </si>
  <si>
    <t>7707713</t>
  </si>
  <si>
    <t>METAL PORTA PREMIOS DORADO RER</t>
  </si>
  <si>
    <t>7707714</t>
  </si>
  <si>
    <t>METAL ROMBO 22 DORADO FEM</t>
  </si>
  <si>
    <t>7707716</t>
  </si>
  <si>
    <t>METAL TRABA CORBATA MENDOZA RER</t>
  </si>
  <si>
    <t>7707722</t>
  </si>
  <si>
    <t>METAL PORTA PREMIOS PLATEADOS RER</t>
  </si>
  <si>
    <t>7707756</t>
  </si>
  <si>
    <t>ESC BORD MZA POL MOTORIZADA AZ/DOR</t>
  </si>
  <si>
    <t>7707757</t>
  </si>
  <si>
    <t>ESC BORD POLICIA SAN JUAN 2018 BI</t>
  </si>
  <si>
    <t>7707758</t>
  </si>
  <si>
    <t>ESC BORD DPTO GUAYMALLEN ARMAS BL BI</t>
  </si>
  <si>
    <t>7707784</t>
  </si>
  <si>
    <t>METAL BARRA PARA PECHO FEM</t>
  </si>
  <si>
    <t>7707831</t>
  </si>
  <si>
    <t>ESC BORD TMAN  VIAL P/BRAZO RER</t>
  </si>
  <si>
    <t>7707832</t>
  </si>
  <si>
    <t>ESC BORD VIGILANCIA VIGITERRA SEGURI RER</t>
  </si>
  <si>
    <t>7707835</t>
  </si>
  <si>
    <t>ESC BRAZO ORO LA RIOJA DG</t>
  </si>
  <si>
    <t>7707900</t>
  </si>
  <si>
    <t>METAL G.N. P/CASQ RER</t>
  </si>
  <si>
    <t>7707922</t>
  </si>
  <si>
    <t>METAL VIVO POL. MZA. SIN SOL FEM</t>
  </si>
  <si>
    <t>7707923</t>
  </si>
  <si>
    <t>METAL VIVO POL. MZA. CON SOL FEM</t>
  </si>
  <si>
    <t>7707924</t>
  </si>
  <si>
    <t>METAL SOL BOMBEROS DORADO RER</t>
  </si>
  <si>
    <t>7707936</t>
  </si>
  <si>
    <t>METAL ESC GORRA NQN CON MARCO RER</t>
  </si>
  <si>
    <t>7707940</t>
  </si>
  <si>
    <t>METAL ESC P/CASQ JUJUY RER</t>
  </si>
  <si>
    <t>7707949</t>
  </si>
  <si>
    <t>METAL ESC GORRA NQUEN NUEVO MODELO BM</t>
  </si>
  <si>
    <t>7707950</t>
  </si>
  <si>
    <t>METAL ESC GORRA STA CRUZ CHICO PLAT RER</t>
  </si>
  <si>
    <t>7707952</t>
  </si>
  <si>
    <t>METAL ESC GORRA DORADO  PFA  75*55 FEM</t>
  </si>
  <si>
    <t>7707953</t>
  </si>
  <si>
    <t>METAL ESC GORRA STA CRUZ GRANDE DOR RER</t>
  </si>
  <si>
    <t>7707980</t>
  </si>
  <si>
    <t>METAL ESPADA CRUZADA STA CRUZ RER</t>
  </si>
  <si>
    <t>7707987</t>
  </si>
  <si>
    <t>METAL INSIGNIA SUB PPAL C/U ROJA RER</t>
  </si>
  <si>
    <t>7707988</t>
  </si>
  <si>
    <t>METAL LLAVERO BALA 9 MM RER</t>
  </si>
  <si>
    <t>7707989</t>
  </si>
  <si>
    <t>METAL LLAVERO BALA FUSIL RER</t>
  </si>
  <si>
    <t>7709000</t>
  </si>
  <si>
    <t>ESC BORD VARIOS</t>
  </si>
  <si>
    <t>7709001</t>
  </si>
  <si>
    <t>7709002</t>
  </si>
  <si>
    <t>ESC BORD TMAN CAMISA POLICIA</t>
  </si>
  <si>
    <t>7709003</t>
  </si>
  <si>
    <t>ESC RECAUDO SEGURIDAD</t>
  </si>
  <si>
    <t>7709004</t>
  </si>
  <si>
    <t>ESC RECAUDO SEGURIDAD CHICO P/BOINA</t>
  </si>
  <si>
    <t>7709005</t>
  </si>
  <si>
    <t>ESC BORD MZA USAR 7709625</t>
  </si>
  <si>
    <t>7709006</t>
  </si>
  <si>
    <t>ESC BORD LR CHAMICAL MOTORIZADA</t>
  </si>
  <si>
    <t>7709007</t>
  </si>
  <si>
    <t>ESC BORD SEGURIDAD 365 MZA</t>
  </si>
  <si>
    <t>7709008</t>
  </si>
  <si>
    <t>7709010</t>
  </si>
  <si>
    <t>ESC BORD NQN GEAR P/BRAZO BV</t>
  </si>
  <si>
    <t>7709013</t>
  </si>
  <si>
    <t>ESC BORD MZA UAP BOINA</t>
  </si>
  <si>
    <t>7709014</t>
  </si>
  <si>
    <t>ESC BORD MZA UCAR BOINA   UCAR</t>
  </si>
  <si>
    <t>7709015</t>
  </si>
  <si>
    <t>ESC BORD MZA UMAR BOINA</t>
  </si>
  <si>
    <t>7709016</t>
  </si>
  <si>
    <t>ESC BORD MZA BOINA MOTORIZADA   BARG</t>
  </si>
  <si>
    <t>7709017</t>
  </si>
  <si>
    <t>ESC BORD MZA DEFENSA CIVIL</t>
  </si>
  <si>
    <t>7709018</t>
  </si>
  <si>
    <t>ESC BORD TMAN PACK</t>
  </si>
  <si>
    <t>7709019</t>
  </si>
  <si>
    <t>ESC BORD LOGO HIDROTECNICA ROVER</t>
  </si>
  <si>
    <t>7709020</t>
  </si>
  <si>
    <t>ESC BORD MZA BOINA B. VISIB MOTORIZADA</t>
  </si>
  <si>
    <t>7709021</t>
  </si>
  <si>
    <t>ESC BORD MZA BOINA GEOP</t>
  </si>
  <si>
    <t>7709022</t>
  </si>
  <si>
    <t>ESC ALTA SEG APM CHICO</t>
  </si>
  <si>
    <t>7709023</t>
  </si>
  <si>
    <t>ESC BORD LMGE SOL 5.5X5.5</t>
  </si>
  <si>
    <t>7709024</t>
  </si>
  <si>
    <t>ESC BORD INSTRUC TIRO ARG BOINA BI</t>
  </si>
  <si>
    <t>7709025</t>
  </si>
  <si>
    <t>ESC BORD INSTRUC TIRO ARG PARCHE BI</t>
  </si>
  <si>
    <t>7709032</t>
  </si>
  <si>
    <t>ESC BORD POLICIA CHUBUT BAJA VISIBILIDAD</t>
  </si>
  <si>
    <t>7709041</t>
  </si>
  <si>
    <t>ESC BORD MZA JEFATURA DEPARTAMENT</t>
  </si>
  <si>
    <t>7709042</t>
  </si>
  <si>
    <t>ESC BORD POLICIA CHUBUT</t>
  </si>
  <si>
    <t>7709043</t>
  </si>
  <si>
    <t>ESC BORD MZA JEFATURA DEPART.CORRED BARG</t>
  </si>
  <si>
    <t>7709049</t>
  </si>
  <si>
    <t>ESC BORD TMAN OFERTA  POR DOS</t>
  </si>
  <si>
    <t>7709061</t>
  </si>
  <si>
    <t>ESC BORD PSA BOINA  BARG</t>
  </si>
  <si>
    <t>7709062</t>
  </si>
  <si>
    <t>ESC BORD PSA AEROPORTUARIA</t>
  </si>
  <si>
    <t>7709063</t>
  </si>
  <si>
    <t>APLIQUE PSA TRUK NEGRO ENGOM NEGRO BI</t>
  </si>
  <si>
    <t>7709064</t>
  </si>
  <si>
    <t>PECT. BORD. 2 SOL P.S.AEROPORTUA PSA BI</t>
  </si>
  <si>
    <t>7709065</t>
  </si>
  <si>
    <t>PECT. BORD. 1 SOL P.S.AEROPORTUA PSA BI</t>
  </si>
  <si>
    <t>7709066</t>
  </si>
  <si>
    <t>PECT. BORD. 3 SOL P.S.AEROPORTUA PSA BI</t>
  </si>
  <si>
    <t>7709067</t>
  </si>
  <si>
    <t>PECT. BORD. 4 SOL P.S.AEROPORTUA PSA BI</t>
  </si>
  <si>
    <t>7709068</t>
  </si>
  <si>
    <t>PECT. BORD. 1 SOL Y SERRETA PSA BI</t>
  </si>
  <si>
    <t>7709069</t>
  </si>
  <si>
    <t>PECT. BORD. 2 SOL Y SERRETA PSA BI</t>
  </si>
  <si>
    <t>7709070</t>
  </si>
  <si>
    <t>PECT BORD 2 SOLES SERRETA DOR ALCAIDE BI</t>
  </si>
  <si>
    <t>7709092</t>
  </si>
  <si>
    <t>ESC BORD NQN BOINA BV DPTO CAPAC P</t>
  </si>
  <si>
    <t>7709094</t>
  </si>
  <si>
    <t>ESC BORD NQN BRAZO DEPTO CAPAC PENI</t>
  </si>
  <si>
    <t>7709101</t>
  </si>
  <si>
    <t>ESC BORD MZA BOINA CABALLERIA     BARG</t>
  </si>
  <si>
    <t>7709102</t>
  </si>
  <si>
    <t>ESC BORD MZA BOINA U-TRAN TVS 540-0</t>
  </si>
  <si>
    <t>7709103</t>
  </si>
  <si>
    <t>ESC BORD MZA BRAZO GES</t>
  </si>
  <si>
    <t>7709104</t>
  </si>
  <si>
    <t>ESC BORD MZA INVESTIGACIONES</t>
  </si>
  <si>
    <t>7709105</t>
  </si>
  <si>
    <t>ESC BORD MZA VCCEE</t>
  </si>
  <si>
    <t>7709106</t>
  </si>
  <si>
    <t>ESC BORD MZA CUSTODIA</t>
  </si>
  <si>
    <t>7709115</t>
  </si>
  <si>
    <t>ESC GORRA ORO NACIONAL</t>
  </si>
  <si>
    <t>7709120</t>
  </si>
  <si>
    <t>ESC BORD MZA TRANSITO GUAYMALLEN</t>
  </si>
  <si>
    <t>7709122</t>
  </si>
  <si>
    <t>ESC GORRA PROVINCIAS VARIAS BORD ORO</t>
  </si>
  <si>
    <t>7709135</t>
  </si>
  <si>
    <t>7709137</t>
  </si>
  <si>
    <t>ESC BORD MZA IUSP PENITENCIARIO</t>
  </si>
  <si>
    <t>7709138</t>
  </si>
  <si>
    <t>ESC BORD MZA IUSP DE BRAZO TVS413-2 16.5</t>
  </si>
  <si>
    <t>7709139</t>
  </si>
  <si>
    <t>ESC BORD MZA IUSP BEIGE CUERPO INSTR.</t>
  </si>
  <si>
    <t>7709142</t>
  </si>
  <si>
    <t>7709156</t>
  </si>
  <si>
    <t>ESC BORD MZA VIAL P/ BRAZO TVS424-0</t>
  </si>
  <si>
    <t>7709157</t>
  </si>
  <si>
    <t>ESC INFANTERIA FUSILES CURSO NAC 2018</t>
  </si>
  <si>
    <t>7709158</t>
  </si>
  <si>
    <t>ESC BORD MZA INFANTERIA</t>
  </si>
  <si>
    <t>7709159</t>
  </si>
  <si>
    <t>ESC BORD STA CRUZ INFANT B/VISIB BRAZO</t>
  </si>
  <si>
    <t>7709160</t>
  </si>
  <si>
    <t>ESC BORD SERV PENIT STA CRUZ       22</t>
  </si>
  <si>
    <t>7709174</t>
  </si>
  <si>
    <t>ESC BORD MZA MUSICA BOINA</t>
  </si>
  <si>
    <t>7709198</t>
  </si>
  <si>
    <t>PARCHE NQN BOMB PICIN LEUFU RER</t>
  </si>
  <si>
    <t>7709200</t>
  </si>
  <si>
    <t>ESC BORD MZA BOINA UPAT</t>
  </si>
  <si>
    <t>7709203</t>
  </si>
  <si>
    <t>ESC BORD CATACPOL   BAJA VISIV</t>
  </si>
  <si>
    <t>7709204</t>
  </si>
  <si>
    <t>ESC BORD CATACPOL</t>
  </si>
  <si>
    <t>7709208</t>
  </si>
  <si>
    <t>ESC BORD MZA AVIACIÓN</t>
  </si>
  <si>
    <t>7709212</t>
  </si>
  <si>
    <t>ESC BORD MZA BOINA TRASLADO</t>
  </si>
  <si>
    <t>7709228</t>
  </si>
  <si>
    <t>ESC BORD RIO NEGRO POL BV</t>
  </si>
  <si>
    <t>7709229</t>
  </si>
  <si>
    <t>ESC BORD RIO NEGRO POLICIA</t>
  </si>
  <si>
    <t>7709230</t>
  </si>
  <si>
    <t>ESC BORD NQN SEG SAN PABLO</t>
  </si>
  <si>
    <t>7709233</t>
  </si>
  <si>
    <t>ESC BORD MZA BOINA LICEO LMGE BARG</t>
  </si>
  <si>
    <t>7709234</t>
  </si>
  <si>
    <t>ESC BORD STA CRUZ INFANT B/VISIB BOINA</t>
  </si>
  <si>
    <t>7709235</t>
  </si>
  <si>
    <t>ESC BORD STA CRUZ PATRULLA URBANA  BARG</t>
  </si>
  <si>
    <t>7709238</t>
  </si>
  <si>
    <t>ESC BORD MZA IUSP B.VISIB. CUERPO INSTR.</t>
  </si>
  <si>
    <t>7709245</t>
  </si>
  <si>
    <t>ESC BORD MZA OF. JEFES  Y SUP</t>
  </si>
  <si>
    <t>7709246</t>
  </si>
  <si>
    <t>ESC BORD MZA OF JEFES Y SUP BEIGE</t>
  </si>
  <si>
    <t>7709251</t>
  </si>
  <si>
    <t>ESC BORD NQN BOINA ACAD.B.V.(ACA</t>
  </si>
  <si>
    <t>7709272</t>
  </si>
  <si>
    <t>7709273</t>
  </si>
  <si>
    <t>ESC BORD SAME JUJUY ENGOMADO</t>
  </si>
  <si>
    <t>7709274</t>
  </si>
  <si>
    <t>ESC BORD SALTA POLICIA DORADO</t>
  </si>
  <si>
    <t>7709285</t>
  </si>
  <si>
    <t>ESC BORD MZA RURAL BOINA</t>
  </si>
  <si>
    <t>7709300</t>
  </si>
  <si>
    <t>ESC BORD SERVICIO PENITENCIARIO FEDERAL</t>
  </si>
  <si>
    <t>7709301</t>
  </si>
  <si>
    <t>ESC POLICIA</t>
  </si>
  <si>
    <t>7709302</t>
  </si>
  <si>
    <t>ESC BORD PENITENCIARIA SAN JUAN</t>
  </si>
  <si>
    <t>7709303</t>
  </si>
  <si>
    <t>ESC BORD SERV PENIT SAN FELIPE DEP Y REC</t>
  </si>
  <si>
    <t>7709304</t>
  </si>
  <si>
    <t>ESC BORD SAN JUAN MOTORIZADA</t>
  </si>
  <si>
    <t>7709306</t>
  </si>
  <si>
    <t>ESC BORD SAN JUAN RADIOELEC</t>
  </si>
  <si>
    <t>7709307</t>
  </si>
  <si>
    <t>ESC BORD UCCEE BOINA</t>
  </si>
  <si>
    <t>7709308</t>
  </si>
  <si>
    <t>ESC BORD UCCEE BOINA BV</t>
  </si>
  <si>
    <t>7709310</t>
  </si>
  <si>
    <t>ESC BORD NQN P/BRAZO SEOAR</t>
  </si>
  <si>
    <t>7709312</t>
  </si>
  <si>
    <t>ESC BORD CRISOL BUZO</t>
  </si>
  <si>
    <t>7709330</t>
  </si>
  <si>
    <t>ESC BORD MZA U.A.R BOINA UNIDAD ACCION P</t>
  </si>
  <si>
    <t>7709333</t>
  </si>
  <si>
    <t>ESC BORD MZA POL VIEJO MODELO   BARG</t>
  </si>
  <si>
    <t>7709338</t>
  </si>
  <si>
    <t>ESC BORD TMAN PENIT P/CASQ</t>
  </si>
  <si>
    <t>7709341</t>
  </si>
  <si>
    <t>ESC BORD TMAN PENIT GRIS</t>
  </si>
  <si>
    <t>7709350</t>
  </si>
  <si>
    <t>ESC BORD NQN B VISIB.METROPOLITANA</t>
  </si>
  <si>
    <t>7709351</t>
  </si>
  <si>
    <t>ESC BORD NQN. USAR 7709504</t>
  </si>
  <si>
    <t>7709352</t>
  </si>
  <si>
    <t>ESC BORD NQN DESP</t>
  </si>
  <si>
    <t>7709355</t>
  </si>
  <si>
    <t>7709358</t>
  </si>
  <si>
    <t>ESC BORD TMAN BOMBEROS</t>
  </si>
  <si>
    <t>7709360</t>
  </si>
  <si>
    <t>ESC BORD MZA PENIT. GEOP</t>
  </si>
  <si>
    <t>7709361</t>
  </si>
  <si>
    <t>ESC BORD MZA PENIT. SANIDAD</t>
  </si>
  <si>
    <t>7709364</t>
  </si>
  <si>
    <t>ESC BORD MZA BOINA CANES</t>
  </si>
  <si>
    <t>7709365</t>
  </si>
  <si>
    <t>ESC BORD MZA BOINA  INFANTERIA     BARG</t>
  </si>
  <si>
    <t>7709380</t>
  </si>
  <si>
    <t>ESC BORD MZA UCAR MANGA BB TVS424-0</t>
  </si>
  <si>
    <t>7709381</t>
  </si>
  <si>
    <t>ESC TMAN COMANDO RADIOEL. NO SE USA MAS</t>
  </si>
  <si>
    <t>7709384</t>
  </si>
  <si>
    <t>7709393</t>
  </si>
  <si>
    <t>ESC BORD MZA PENIT BOINA SERP BAJA VIS</t>
  </si>
  <si>
    <t>7709394</t>
  </si>
  <si>
    <t>ESC BORD MZA PENIT BOINA SERP BARG</t>
  </si>
  <si>
    <t>7709395</t>
  </si>
  <si>
    <t>ESC BORD MZA BOMBEROS VOL MAIPU</t>
  </si>
  <si>
    <t>7709396</t>
  </si>
  <si>
    <t>ESC BORD MZA PENIT DIVISION TRASLADO</t>
  </si>
  <si>
    <t>7709401</t>
  </si>
  <si>
    <t>ESC BORD MZA BOINA GES       BARG</t>
  </si>
  <si>
    <t>7709406</t>
  </si>
  <si>
    <t>ESC BORD NQN INSTRUCTOR</t>
  </si>
  <si>
    <t>7709410</t>
  </si>
  <si>
    <t>ESC BORD STA CRUZ  POL RER072 28</t>
  </si>
  <si>
    <t>7709411</t>
  </si>
  <si>
    <t>ESC BORD STA CRUZ BAJA VISIBILIDAD</t>
  </si>
  <si>
    <t>7709412</t>
  </si>
  <si>
    <t>ESC BORD STA CRUZ INST SUP FORM POLICIAL</t>
  </si>
  <si>
    <t>7709413</t>
  </si>
  <si>
    <t>ESC BORD STA CRUZ TRANSITO B/ VISIBILIDA</t>
  </si>
  <si>
    <t>7709417</t>
  </si>
  <si>
    <t>ESC BORD MZA PENIT.SEG.INT.GRIS</t>
  </si>
  <si>
    <t>7709419</t>
  </si>
  <si>
    <t>ESC BORD MZA PENIT.OFICIAL SUPER</t>
  </si>
  <si>
    <t>7709420</t>
  </si>
  <si>
    <t>ESC BORD MZA UMAR MANGA  TVS424-0</t>
  </si>
  <si>
    <t>7709421</t>
  </si>
  <si>
    <t>ESC BORD MZA PENIT SEG EXT FONDO NEGRO</t>
  </si>
  <si>
    <t>7709422</t>
  </si>
  <si>
    <t>ESC BORD MZA PENIT SEG EXT FONDO GRIS</t>
  </si>
  <si>
    <t>7709425</t>
  </si>
  <si>
    <t>ESC BORD TMAN  POLICIA BARG</t>
  </si>
  <si>
    <t>7709426</t>
  </si>
  <si>
    <t>ESC BORD TMAN ESCUELA DE CADETES</t>
  </si>
  <si>
    <t>7709439</t>
  </si>
  <si>
    <t>ESC BORD JUJUY POLICIA BB TVS434-2</t>
  </si>
  <si>
    <t>7709440</t>
  </si>
  <si>
    <t>ESC BORD CATAM. POL OFICIAL 36</t>
  </si>
  <si>
    <t>7709441</t>
  </si>
  <si>
    <t>ESC BORD CATAM POL SUBOF TVS 527-28</t>
  </si>
  <si>
    <t>7709442</t>
  </si>
  <si>
    <t>ESC BORD POL CATAMARCA ESC DE CADETES</t>
  </si>
  <si>
    <t>7709443</t>
  </si>
  <si>
    <t>ESC BORD CATAM. POLICIA BAJA VISIBILIDAD</t>
  </si>
  <si>
    <t>7709450</t>
  </si>
  <si>
    <t>ESC BORD MZA PENIT. CANES</t>
  </si>
  <si>
    <t>7709451</t>
  </si>
  <si>
    <t>ESC SN.JUAN BRAZO CANES</t>
  </si>
  <si>
    <t>7709452</t>
  </si>
  <si>
    <t>ESC BORD NQN POLICIA  BARG</t>
  </si>
  <si>
    <t>7709453</t>
  </si>
  <si>
    <t>ESC BORD STA CRUZ CANES BAJA VIS</t>
  </si>
  <si>
    <t>7709454</t>
  </si>
  <si>
    <t>ESC BORD NQN GRETARCCO</t>
  </si>
  <si>
    <t>7709455</t>
  </si>
  <si>
    <t>ESC BORD STA CRUZ GEOR BAJA VIS</t>
  </si>
  <si>
    <t>7709456</t>
  </si>
  <si>
    <t>ESC BORD MZA PENIT SERP BV   BARG</t>
  </si>
  <si>
    <t>7709457</t>
  </si>
  <si>
    <t>ESC BORD STA CRUZ ALCALDIA POLICIAL BV</t>
  </si>
  <si>
    <t>7709458</t>
  </si>
  <si>
    <t>ESC BORD MZA PENIT SERP BORDO     BARG</t>
  </si>
  <si>
    <t>7709459</t>
  </si>
  <si>
    <t>ESC BORD G.N.  (BRAZO)</t>
  </si>
  <si>
    <t>7709460</t>
  </si>
  <si>
    <t>ESC BORD TMAN BANANITA C.E.R.O.</t>
  </si>
  <si>
    <t>7709461</t>
  </si>
  <si>
    <t>ESC BORD TMAN BRAZO C.E.R.O.</t>
  </si>
  <si>
    <t>7709462</t>
  </si>
  <si>
    <t>ESC BORD TMAN BOINA C.E.R.O.</t>
  </si>
  <si>
    <t>7709465</t>
  </si>
  <si>
    <t>ESC BORD TMAN DIR GRAL PREV URBANA</t>
  </si>
  <si>
    <t>7709473</t>
  </si>
  <si>
    <t>ESC BORD NQN BOMBERO CUTRALCO BRAZO</t>
  </si>
  <si>
    <t>7709490</t>
  </si>
  <si>
    <t>ESC BORD NQN POL RURAL Y CANES</t>
  </si>
  <si>
    <t>7709495</t>
  </si>
  <si>
    <t>ESC BORD CATAM. BOINA GIR BD</t>
  </si>
  <si>
    <t>7709499</t>
  </si>
  <si>
    <t>ESC TMAN OFICIALES</t>
  </si>
  <si>
    <t>7709500</t>
  </si>
  <si>
    <t>PECT. ALAS CHOFER B.VISIBILIDAD BI</t>
  </si>
  <si>
    <t>7709501</t>
  </si>
  <si>
    <t>ESC BORD NQN ACAD.POL. B.V.(ACAD</t>
  </si>
  <si>
    <t>7709502</t>
  </si>
  <si>
    <t>ESC BORD TMAN MOTOR</t>
  </si>
  <si>
    <t>7709503</t>
  </si>
  <si>
    <t>PECT. BORD. 1SOL 1LINEA PSA BI</t>
  </si>
  <si>
    <t>7709504</t>
  </si>
  <si>
    <t>ESC BORD NQN UNIDAD DE DETENCION  BARG</t>
  </si>
  <si>
    <t>7709505</t>
  </si>
  <si>
    <t>ESC BORD NQN ACADEMIA DE POLICIA</t>
  </si>
  <si>
    <t>7709506</t>
  </si>
  <si>
    <t>PECT. BORD. 2SOL 1LINEA PSA BI</t>
  </si>
  <si>
    <t>7709517</t>
  </si>
  <si>
    <t>ESC GORRA ORO MENDOZA</t>
  </si>
  <si>
    <t>7709540</t>
  </si>
  <si>
    <t>APLIQUE SEGURIDAD RER</t>
  </si>
  <si>
    <t>7709547</t>
  </si>
  <si>
    <t>ESC BORD MZA POL BAJA VISIBILID</t>
  </si>
  <si>
    <t>7709549</t>
  </si>
  <si>
    <t>ESC BORD MZA 911 BARG</t>
  </si>
  <si>
    <t>7709555</t>
  </si>
  <si>
    <t>ESC BORD CHUBUT DROGAS GRANDE</t>
  </si>
  <si>
    <t>7709556</t>
  </si>
  <si>
    <t>ESC BORD CHUBUT DROGAS CHICO</t>
  </si>
  <si>
    <t>7709572</t>
  </si>
  <si>
    <t>ESC BORD MZA BOMBEROS          BARG</t>
  </si>
  <si>
    <t>7709600</t>
  </si>
  <si>
    <t>ESC BORD MZA PENIT INFOPE         BARG</t>
  </si>
  <si>
    <t>7709601</t>
  </si>
  <si>
    <t>ESC BORD SANTA FE GAT</t>
  </si>
  <si>
    <t>7709602</t>
  </si>
  <si>
    <t>ESC BORD SAN JUAN GRUPO ESPECIAL SUR</t>
  </si>
  <si>
    <t>7709603</t>
  </si>
  <si>
    <t>ESC BORD SAN JUAN BANDERA GES SUR</t>
  </si>
  <si>
    <t>7709606</t>
  </si>
  <si>
    <t>ESC BORD SAN JUAN POLICIA  BARG</t>
  </si>
  <si>
    <t>7709608</t>
  </si>
  <si>
    <t>ESC BORD MZA ESCUADRON AEREO POL. MZA</t>
  </si>
  <si>
    <t>7709625</t>
  </si>
  <si>
    <t>ESC BORD MZA INFANTERIA BAJA V. TV</t>
  </si>
  <si>
    <t>7709650</t>
  </si>
  <si>
    <t>ESC BORD MZA POLICIA CIENTIFICA</t>
  </si>
  <si>
    <t>7709653</t>
  </si>
  <si>
    <t>ESC BORD MZA UEP BOINA   BARG</t>
  </si>
  <si>
    <t>7709654</t>
  </si>
  <si>
    <t>ESC BORD MZA B CIVICO    BARG</t>
  </si>
  <si>
    <t>7709655</t>
  </si>
  <si>
    <t>ESC BORD MZA POLICA CON  VELCRO</t>
  </si>
  <si>
    <t>7709656</t>
  </si>
  <si>
    <t>ESC BORD MZA UEP BOINA BAJA VIS</t>
  </si>
  <si>
    <t>7709660</t>
  </si>
  <si>
    <t>ESC BORD MZA UEP TUPUNGATO</t>
  </si>
  <si>
    <t>7709661</t>
  </si>
  <si>
    <t>ESC BORD MZA UEP BAJA TUPUNGATO</t>
  </si>
  <si>
    <t>7709662</t>
  </si>
  <si>
    <t>ESC BORD MZA UEP CAPITAL</t>
  </si>
  <si>
    <t>7709663</t>
  </si>
  <si>
    <t>ESC BORD MZA UEP SAN RAFAEL</t>
  </si>
  <si>
    <t>7709664</t>
  </si>
  <si>
    <t>ESC BORD MZA UEP GLLEN TVS531-31</t>
  </si>
  <si>
    <t>7709665</t>
  </si>
  <si>
    <t>ESC BORD MZA POL. NUEVO MODELO BARG</t>
  </si>
  <si>
    <t>7709666</t>
  </si>
  <si>
    <t>ESC BORD MZA UEP LAS HERAS</t>
  </si>
  <si>
    <t>7709667</t>
  </si>
  <si>
    <t>ESC BORD MZA UEP LUJAN</t>
  </si>
  <si>
    <t>7709668</t>
  </si>
  <si>
    <t>ESC UNIDAD CUERPOS ESPECIALES</t>
  </si>
  <si>
    <t>7709669</t>
  </si>
  <si>
    <t>ESC BORD MZA UEP SAN MARTIN</t>
  </si>
  <si>
    <t>7709670</t>
  </si>
  <si>
    <t>ESC BORD MZA UEP TUNUYAN</t>
  </si>
  <si>
    <t>7709671</t>
  </si>
  <si>
    <t>ESC BORD MZA UEP SAN CARLOS</t>
  </si>
  <si>
    <t>7709680</t>
  </si>
  <si>
    <t>ESC BORD MZA RURAL  MANGA TVS</t>
  </si>
  <si>
    <t>7709700</t>
  </si>
  <si>
    <t>ESC BORD SAN LUIS POLICIA TVS477-04</t>
  </si>
  <si>
    <t>7709709</t>
  </si>
  <si>
    <t>ESC BORD MZA SARPOL</t>
  </si>
  <si>
    <t>7709712</t>
  </si>
  <si>
    <t>ESC BORD MZA PENIT. CONDOR  BARG</t>
  </si>
  <si>
    <t>7709753</t>
  </si>
  <si>
    <t>ESC BORD MZA CABALLERIA TV 424-14</t>
  </si>
  <si>
    <t>7709754</t>
  </si>
  <si>
    <t>ESC BORD MZA MOTORIZADA B VISIB.  BARG</t>
  </si>
  <si>
    <t>7709755</t>
  </si>
  <si>
    <t>ESC BORD MZA UPAT</t>
  </si>
  <si>
    <t>7709756</t>
  </si>
  <si>
    <t>ESC BORD MZA POL MOTORIZADA AZ/DOR BARG</t>
  </si>
  <si>
    <t>7709784</t>
  </si>
  <si>
    <t>ESC BORD MZA ASISTENCIA TURISTICA</t>
  </si>
  <si>
    <t>7709785</t>
  </si>
  <si>
    <t>ESC BORD MZA PATRULLA DE RESCATE</t>
  </si>
  <si>
    <t>7709786</t>
  </si>
  <si>
    <t>ESC BORD MZA TRANVIA</t>
  </si>
  <si>
    <t>7709787</t>
  </si>
  <si>
    <t>ESC BORD MZA UPP PARQUE BRAZO   BARG</t>
  </si>
  <si>
    <t>7709788</t>
  </si>
  <si>
    <t>ESC BORD MZA UPP BOINA</t>
  </si>
  <si>
    <t>7709789</t>
  </si>
  <si>
    <t>ESC BORD NQN OFICIAL/DORAD POLICIA BARG</t>
  </si>
  <si>
    <t>7709790</t>
  </si>
  <si>
    <t>ESC BORD NQN SUBOFICIAL/PLT POLICIA BARG</t>
  </si>
  <si>
    <t>7709800</t>
  </si>
  <si>
    <t>ESC BORD T. FUEGO POLI DIARIO</t>
  </si>
  <si>
    <t>7709801</t>
  </si>
  <si>
    <t>ESC BORD T. FUEGO POLI GALA</t>
  </si>
  <si>
    <t>7709802</t>
  </si>
  <si>
    <t>ESC BORD SANTA FE INFANTERIA UR II</t>
  </si>
  <si>
    <t>7709803</t>
  </si>
  <si>
    <t>ESC BORD SANTA FE INFANTERIA EQUIPO BRAV</t>
  </si>
  <si>
    <t>7709804</t>
  </si>
  <si>
    <t>ESC BORD SANTA FE GIRI</t>
  </si>
  <si>
    <t>7709805</t>
  </si>
  <si>
    <t>ESC BORD SANTA FE U.E.P.T Y V.V</t>
  </si>
  <si>
    <t>7709806</t>
  </si>
  <si>
    <t>ESC BORD SANTA FE EXPIL SEG.</t>
  </si>
  <si>
    <t>7709807</t>
  </si>
  <si>
    <t>ESC BORD SANTA FE COMANDO RADIOELC.</t>
  </si>
  <si>
    <t>7709808</t>
  </si>
  <si>
    <t>ESC BORD SANTA FE POLICIA</t>
  </si>
  <si>
    <t>7709809</t>
  </si>
  <si>
    <t>ESC BORD SANTA FE BRIGADA MOTORIZADA</t>
  </si>
  <si>
    <t>7709810</t>
  </si>
  <si>
    <t>ESC BORD SANTA FE PAT</t>
  </si>
  <si>
    <t>7709811</t>
  </si>
  <si>
    <t>ESC BORD SANTA FE UNIDAD ESP CASA DE GOB</t>
  </si>
  <si>
    <t>7709812</t>
  </si>
  <si>
    <t>ESC BORD SANTA FE EQUIPO CHARLY</t>
  </si>
  <si>
    <t>7709813</t>
  </si>
  <si>
    <t>ESC BORD SANTA FE POLICIA COMUNITARIA</t>
  </si>
  <si>
    <t>7709814</t>
  </si>
  <si>
    <t>ESC BORD SANTA FE GDIA INFANT 4 CPIA</t>
  </si>
  <si>
    <t>7709815</t>
  </si>
  <si>
    <t>ESC BORD SANTA FE GDIA INFANT. 2 CPIA</t>
  </si>
  <si>
    <t>7709816</t>
  </si>
  <si>
    <t>ESC BORD SANTA FE POLICIA BV</t>
  </si>
  <si>
    <t>7709817</t>
  </si>
  <si>
    <t>ESC BORD SANTA FE CDO RADIOELC. ALVEAR</t>
  </si>
  <si>
    <t>7709818</t>
  </si>
  <si>
    <t>ESC BORD SANTA FE DIVISION LOGISTICA</t>
  </si>
  <si>
    <t>7709819</t>
  </si>
  <si>
    <t>ESC BORD SANTA FE GDIA INFANT 5 CPIA</t>
  </si>
  <si>
    <t>7709820</t>
  </si>
  <si>
    <t>ESC BORD SANTA FE BOMBEROS</t>
  </si>
  <si>
    <t>7709821</t>
  </si>
  <si>
    <t>ESC BORD SANTA FE INFANTERIA EQUIPO ALFA</t>
  </si>
  <si>
    <t>7709831</t>
  </si>
  <si>
    <t>ESC BI BRAZO NO SE SA MAS</t>
  </si>
  <si>
    <t>7709833</t>
  </si>
  <si>
    <t>ESC BORD LA RIOJA POLICIA   TVS 515</t>
  </si>
  <si>
    <t>7709834</t>
  </si>
  <si>
    <t>ESC BORD LA RIOJA CRIA D LA MUJER</t>
  </si>
  <si>
    <t>7709835</t>
  </si>
  <si>
    <t>ESC BORD TMAN BOINA VIAL</t>
  </si>
  <si>
    <t>7709836</t>
  </si>
  <si>
    <t>ESC PECTO CITRUSVIL/VILUCO</t>
  </si>
  <si>
    <t>7709850</t>
  </si>
  <si>
    <t>ESC BORD NQN CIPO TIRO CLUB</t>
  </si>
  <si>
    <t>7709851</t>
  </si>
  <si>
    <t>ESC BORD NQN B VISIB. POLICIA</t>
  </si>
  <si>
    <t>7709852</t>
  </si>
  <si>
    <t>ESC BORD NQN ESC DE CADETES</t>
  </si>
  <si>
    <t>7709853</t>
  </si>
  <si>
    <t>BAND ARG GENDARMERIA NACIONAL</t>
  </si>
  <si>
    <t>7709854</t>
  </si>
  <si>
    <t>ESC BORD MZA CANES BRAZO</t>
  </si>
  <si>
    <t>7709855</t>
  </si>
  <si>
    <t>ESC BORD MZA BANDA DE MUSICA GUSTAVO BAR</t>
  </si>
  <si>
    <t>7709856</t>
  </si>
  <si>
    <t>ESC BORD MZA UEP GODOY CRUZ</t>
  </si>
  <si>
    <t>7709857</t>
  </si>
  <si>
    <t>ESC BORD MZA DIRECCION DE INVESTIGA</t>
  </si>
  <si>
    <t>7709858</t>
  </si>
  <si>
    <t>ESC BORD MZA POLI IUSP GUARDIA</t>
  </si>
  <si>
    <t>7709859</t>
  </si>
  <si>
    <t>ESC BORD STA CRUZ ESC DE CADETES</t>
  </si>
  <si>
    <t>7709860</t>
  </si>
  <si>
    <t>ESC BORD MZA CANES BRAZO BAJA VISIBILIDA</t>
  </si>
  <si>
    <t>7709861</t>
  </si>
  <si>
    <t>ESC BORD MZA UEP RIVADAVIA</t>
  </si>
  <si>
    <t>7709865</t>
  </si>
  <si>
    <t>ESC BORD MZA UEP JUNIN</t>
  </si>
  <si>
    <t>7709866</t>
  </si>
  <si>
    <t>ESC BORD MZA POL BEIGE</t>
  </si>
  <si>
    <t>7709867</t>
  </si>
  <si>
    <t>ESC BORD MZA PENIT ALMAF. BD</t>
  </si>
  <si>
    <t>7709869</t>
  </si>
  <si>
    <t>ESC BORD MZA PENIT. RESGUARDO IMAGE</t>
  </si>
  <si>
    <t>77098818</t>
  </si>
  <si>
    <t>7709890</t>
  </si>
  <si>
    <t>ESC BORD IUSP BOINA LOGO BAJA VIS</t>
  </si>
  <si>
    <t>7709900</t>
  </si>
  <si>
    <t>ESC BORD MZA MOTOR. BD TVS</t>
  </si>
  <si>
    <t>7709901</t>
  </si>
  <si>
    <t>ESC PENIT. BOINA BD ALMAFUERTE</t>
  </si>
  <si>
    <t>7709902</t>
  </si>
  <si>
    <t>ESC BORD STA CRUZ BOMBERO TVS536-14</t>
  </si>
  <si>
    <t>7709909</t>
  </si>
  <si>
    <t>ESC BORD NQN PLAZA HUINCUL BOMB VO</t>
  </si>
  <si>
    <t>7709943</t>
  </si>
  <si>
    <t>ESC BORD MZA SANIDAD POLICIAL</t>
  </si>
  <si>
    <t>7709955</t>
  </si>
  <si>
    <t>ESC BORD NQN SEM BOINA</t>
  </si>
  <si>
    <t>7709956</t>
  </si>
  <si>
    <t>ESC BORD NQN SEM BRAZO</t>
  </si>
  <si>
    <t>7709998</t>
  </si>
  <si>
    <t>ESC EMPRESA ALBIERO MONITOREO TUC</t>
  </si>
  <si>
    <t>7709999</t>
  </si>
  <si>
    <t>ESC BORD TMAN  POLICIA VIEJO MODELO</t>
  </si>
  <si>
    <t>7710001</t>
  </si>
  <si>
    <t>7710010</t>
  </si>
  <si>
    <t>ESC GOMA POLICIA SANTA CRUZ BAJA VISIBI</t>
  </si>
  <si>
    <t>7710020</t>
  </si>
  <si>
    <t>ESC GOMA POLICIA SANTA FE COLOR</t>
  </si>
  <si>
    <t>7710021</t>
  </si>
  <si>
    <t>ESC GOMA POLICIA SANTA FE BAJA VISIBILID</t>
  </si>
  <si>
    <t>7710022</t>
  </si>
  <si>
    <t>ESC POLICIA MENDOZA CUERO 6.5*5</t>
  </si>
  <si>
    <t>7710030</t>
  </si>
  <si>
    <t>7710031</t>
  </si>
  <si>
    <t>7710032</t>
  </si>
  <si>
    <t>BANDERA GOMA ARG VERD BOSQ 8X4.5CM RER</t>
  </si>
  <si>
    <t>7711003</t>
  </si>
  <si>
    <t>SOL BORD ORO DG</t>
  </si>
  <si>
    <t>7711034</t>
  </si>
  <si>
    <t>ESTRELLA BORD ORO STA CRUZ DG</t>
  </si>
  <si>
    <t>7711068</t>
  </si>
  <si>
    <t>APLIQUE CARTELLONE NEGRO BI</t>
  </si>
  <si>
    <t>7711069</t>
  </si>
  <si>
    <t>APLIQUE SEGURIDAD 10 X 2.5 RER</t>
  </si>
  <si>
    <t>7711070</t>
  </si>
  <si>
    <t>APLIQUE SEGURIDAD P/ESPALDA ESTAMPA</t>
  </si>
  <si>
    <t>7711091</t>
  </si>
  <si>
    <t>ESC BORD TMAN BANANITA  BARG BI</t>
  </si>
  <si>
    <t>7711100</t>
  </si>
  <si>
    <t>ESC BORD NQN PARA BOINA SEOAR RER</t>
  </si>
  <si>
    <t>7711136</t>
  </si>
  <si>
    <t>BAND   USAR 7707/136</t>
  </si>
  <si>
    <t>7711137</t>
  </si>
  <si>
    <t>BAND ARG MODELO INF</t>
  </si>
  <si>
    <t>7711138</t>
  </si>
  <si>
    <t>BAND ARG MODELO INF BV</t>
  </si>
  <si>
    <t>7711139</t>
  </si>
  <si>
    <t>APLIQUE INFANTERIA RER</t>
  </si>
  <si>
    <t>7711141</t>
  </si>
  <si>
    <t>APLIQUE INFANTERIA BV RER</t>
  </si>
  <si>
    <t>7711205</t>
  </si>
  <si>
    <t>BANDERA CON PALABRA ARG. (GAST)</t>
  </si>
  <si>
    <t>7711213</t>
  </si>
  <si>
    <t>BANDERA S.CRUZ  RER 077 RER</t>
  </si>
  <si>
    <t>7711214</t>
  </si>
  <si>
    <t>BANDERA BORD S.CRUZ BAJA V</t>
  </si>
  <si>
    <t>7711222</t>
  </si>
  <si>
    <t>APLIQUE POLICIA P/ CHALECO RER</t>
  </si>
  <si>
    <t>7711300</t>
  </si>
  <si>
    <t>BANDERA BORD CUTRAL/CO NQN</t>
  </si>
  <si>
    <t>7711413</t>
  </si>
  <si>
    <t>PALMA BORD IND PENIT TMAN CAMISA</t>
  </si>
  <si>
    <t>7711503</t>
  </si>
  <si>
    <t>BRAZALATE G.N RER</t>
  </si>
  <si>
    <t>7711676</t>
  </si>
  <si>
    <t>ROMBO BORD ORO DG</t>
  </si>
  <si>
    <t>7800000</t>
  </si>
  <si>
    <t>CABLE USB</t>
  </si>
  <si>
    <t>8203124</t>
  </si>
  <si>
    <t>CASQ RIP TIGER CELESTE</t>
  </si>
  <si>
    <t>8203265</t>
  </si>
  <si>
    <t>ZAPATO DAMA CUERO FLOR ART.265 RER</t>
  </si>
  <si>
    <t>8203267</t>
  </si>
  <si>
    <t>ZAPATO PUNTERA ACERO 1071 CC</t>
  </si>
  <si>
    <t>8203268</t>
  </si>
  <si>
    <t>ZAPATO DE SEG P/ACERO T ESP 46/50 RER</t>
  </si>
  <si>
    <t>8203830</t>
  </si>
  <si>
    <t>ZAPATO GOMA ELE</t>
  </si>
  <si>
    <t>8203835</t>
  </si>
  <si>
    <t>ZAPATO CUERO NEGRO C/PUNTERA RER</t>
  </si>
  <si>
    <t>8205010</t>
  </si>
  <si>
    <t>BOTIN PRUSIANO MARRON RER</t>
  </si>
  <si>
    <t>8205011</t>
  </si>
  <si>
    <t>BOTIN PRUSIANO MARRON AGENCIA RER</t>
  </si>
  <si>
    <t>8205016</t>
  </si>
  <si>
    <t>BOTIN CORTO BLANCO CUERO/GAMUZA 1016</t>
  </si>
  <si>
    <t>8205018</t>
  </si>
  <si>
    <t>BOTIN DE TRABAJO PUNTA ACERO NEGRO AFU</t>
  </si>
  <si>
    <t>8205020</t>
  </si>
  <si>
    <t>BOTIN PRUSIANO NEGRO RER</t>
  </si>
  <si>
    <t>8205021</t>
  </si>
  <si>
    <t>BOTIN PRUSIANO NEGRO AGENCIA RER</t>
  </si>
  <si>
    <t>8205030</t>
  </si>
  <si>
    <t>BOTA PETROLERA RER</t>
  </si>
  <si>
    <t>8205040</t>
  </si>
  <si>
    <t>BOTIN AMERICANO RER</t>
  </si>
  <si>
    <t>8205041</t>
  </si>
  <si>
    <t>BORCEGUI TODO CUERO RERDA RER</t>
  </si>
  <si>
    <t>8205042</t>
  </si>
  <si>
    <t>BORCEGUI TACTICO CUERO RERDA ESPECI RER</t>
  </si>
  <si>
    <t>8205044</t>
  </si>
  <si>
    <t>BOTIN AMERICANO AGENCIA RER</t>
  </si>
  <si>
    <t>8205050</t>
  </si>
  <si>
    <t>BORCEGUI CUERO  CLASICO RER</t>
  </si>
  <si>
    <t>8205051</t>
  </si>
  <si>
    <t>BORCEGUI CON PELUCHE CC</t>
  </si>
  <si>
    <t>8205060</t>
  </si>
  <si>
    <t>BOTIN CLASICO RER</t>
  </si>
  <si>
    <t>8205061</t>
  </si>
  <si>
    <t>BOTIN CLASICO AGENCIA RER</t>
  </si>
  <si>
    <t>8205078</t>
  </si>
  <si>
    <t>8205079</t>
  </si>
  <si>
    <t>BORCEGUI TACTICO TODO CUERO ESPECIA RER</t>
  </si>
  <si>
    <t>8205080</t>
  </si>
  <si>
    <t>BORCEGUI COMANDO CORTO ART80 C/CIERRE CA</t>
  </si>
  <si>
    <t>8205115</t>
  </si>
  <si>
    <t>BORCEGUI TACTICO RERDA LMGE CC</t>
  </si>
  <si>
    <t>8205116</t>
  </si>
  <si>
    <t>BORCEGUI TACTICO RERDA T. ESPECIAL RER</t>
  </si>
  <si>
    <t>8205117</t>
  </si>
  <si>
    <t>BORCEGUI FULL GRAIN 1071 RER</t>
  </si>
  <si>
    <t>8205118</t>
  </si>
  <si>
    <t>BORCEGUI COMANDO RERDA ART60 CIERRE CAR</t>
  </si>
  <si>
    <t>8205119</t>
  </si>
  <si>
    <t>8205120</t>
  </si>
  <si>
    <t>BORCEGUIE TACTICO MARRON RERDA</t>
  </si>
  <si>
    <t>8205150</t>
  </si>
  <si>
    <t>BORCEGUI ALTA MONTA¥A RER</t>
  </si>
  <si>
    <t>8205450</t>
  </si>
  <si>
    <t>BORCEGUI TACTICO NEGRO MARAZ</t>
  </si>
  <si>
    <t>8205456</t>
  </si>
  <si>
    <t>BORCEGUI TACTICO CON CIERRE NO USAR RER</t>
  </si>
  <si>
    <t>8205800</t>
  </si>
  <si>
    <t>BORCEGUI TACTICO CAMEL MARAZ</t>
  </si>
  <si>
    <t>8205801</t>
  </si>
  <si>
    <t>BORCEGUI TACTICO CAMEL OJAL PLAST RER</t>
  </si>
  <si>
    <t>8205881</t>
  </si>
  <si>
    <t>BORCEGUI COMANDO CORTO ART81 BEIGE C/CIE</t>
  </si>
  <si>
    <t>8251025</t>
  </si>
  <si>
    <t>BINOCULARES TASCO 10X25 RER</t>
  </si>
  <si>
    <t>8300777</t>
  </si>
  <si>
    <t>CAMBIO DE VISERA RER</t>
  </si>
  <si>
    <t>8301000</t>
  </si>
  <si>
    <t>BOINA PANA AZUL RER</t>
  </si>
  <si>
    <t>8301008</t>
  </si>
  <si>
    <t>BOINA PANA BEIGE LMGE RER</t>
  </si>
  <si>
    <t>8301300</t>
  </si>
  <si>
    <t>BOINA PANA VERDE</t>
  </si>
  <si>
    <t>8301310</t>
  </si>
  <si>
    <t>BOINA LANA NEGRA UNA PIEZA ORF</t>
  </si>
  <si>
    <t>8301311</t>
  </si>
  <si>
    <t>BOINA 100X100 LANA NEGRA S/COSTURAS-26</t>
  </si>
  <si>
    <t>8301312</t>
  </si>
  <si>
    <t>BOINA LANA NEGRA S/COSTURAS C/BROCHES-26</t>
  </si>
  <si>
    <t>8301313</t>
  </si>
  <si>
    <t>LINTERNA 4674-4677</t>
  </si>
  <si>
    <t>8301350</t>
  </si>
  <si>
    <t>BOINA PANA ROJA RER</t>
  </si>
  <si>
    <t>8301495</t>
  </si>
  <si>
    <t>BOINA TELA AZUL MF</t>
  </si>
  <si>
    <t>8301558</t>
  </si>
  <si>
    <t>BOINA LANA AZUL 5581-26-2/3</t>
  </si>
  <si>
    <t>8301700</t>
  </si>
  <si>
    <t>BOINA TELA NEGRA MF</t>
  </si>
  <si>
    <t>8301805</t>
  </si>
  <si>
    <t>BOINA PANA NEGRA RER</t>
  </si>
  <si>
    <t>8301900</t>
  </si>
  <si>
    <t>BOINA PA¥O NEGRA RER</t>
  </si>
  <si>
    <t>8301901</t>
  </si>
  <si>
    <t>BOINA PAÑO AZUL</t>
  </si>
  <si>
    <t>8302001</t>
  </si>
  <si>
    <t>AGEN. BIRRETE AGENCIA DE SEGUR LIMIT RER</t>
  </si>
  <si>
    <t>8303000</t>
  </si>
  <si>
    <t>CASQ RIP TIGER VERDE</t>
  </si>
  <si>
    <t>8303002</t>
  </si>
  <si>
    <t>CASQ RIP NEGRO SUBCRIO/CRIO VISERA BORD</t>
  </si>
  <si>
    <t>8303003</t>
  </si>
  <si>
    <t>CASQ RIP AZUL CRIO GENERAL VISERA BORD</t>
  </si>
  <si>
    <t>8303004</t>
  </si>
  <si>
    <t>CASQ RIP AZUL SUBCRIO/CRIO VISERA BORD</t>
  </si>
  <si>
    <t>8303005</t>
  </si>
  <si>
    <t>CASQ GAB AZUL CON ABROJO</t>
  </si>
  <si>
    <t>8303006</t>
  </si>
  <si>
    <t>CASQ GAB NEGRO CON ABROJO</t>
  </si>
  <si>
    <t>8303007</t>
  </si>
  <si>
    <t>CASQ RIP REQUISA</t>
  </si>
  <si>
    <t>8303008</t>
  </si>
  <si>
    <t>8303009</t>
  </si>
  <si>
    <t>CASQ RIP DESERTICO</t>
  </si>
  <si>
    <t>8303010</t>
  </si>
  <si>
    <t>8303011</t>
  </si>
  <si>
    <t>CASQ GAB AZUL IMPORTADO CON TRABA</t>
  </si>
  <si>
    <t>8303012</t>
  </si>
  <si>
    <t>CASQ NEGRO IMPORT</t>
  </si>
  <si>
    <t>8303013</t>
  </si>
  <si>
    <t>CASQ RIP AZUL CON ABROJO</t>
  </si>
  <si>
    <t>8303014</t>
  </si>
  <si>
    <t>CASQ AZUL  URBANO TUCUMAN</t>
  </si>
  <si>
    <t>8303015</t>
  </si>
  <si>
    <t>CASQ GRIS RIP C CINTA A CUADRO</t>
  </si>
  <si>
    <t>8303016</t>
  </si>
  <si>
    <t>CASQ EJERC C ABROJO</t>
  </si>
  <si>
    <t>8303017</t>
  </si>
  <si>
    <t>CASQ RIP EJERCITO MULTICAM</t>
  </si>
  <si>
    <t>8303018</t>
  </si>
  <si>
    <t>CASQ RIP AZUL CRIO INSPECTOR VISERA BOR</t>
  </si>
  <si>
    <t>8303019</t>
  </si>
  <si>
    <t>CASQ RIP NEGRO CRIO INSPECTOR VISERA BOR</t>
  </si>
  <si>
    <t>8303032</t>
  </si>
  <si>
    <t>BONNY RIP MIMETICO RER</t>
  </si>
  <si>
    <t>8303033</t>
  </si>
  <si>
    <t>BONNY RIP RURAL RER</t>
  </si>
  <si>
    <t>8303110</t>
  </si>
  <si>
    <t>CASQ PETREO BORD NEUQUEN</t>
  </si>
  <si>
    <t>8303111</t>
  </si>
  <si>
    <t>CASQ NEGRO BORD NEUQUEN</t>
  </si>
  <si>
    <t>8303112</t>
  </si>
  <si>
    <t>CASQ GRIS BORD NEUQUEN</t>
  </si>
  <si>
    <t>8303113</t>
  </si>
  <si>
    <t>CASQ RIP GRIS ABROJO</t>
  </si>
  <si>
    <t>8303114</t>
  </si>
  <si>
    <t>CASQ GAB GRIS ABROJO</t>
  </si>
  <si>
    <t>8303115</t>
  </si>
  <si>
    <t>CASQ GAB AZUL BOMB CUTRALCO ABROJO</t>
  </si>
  <si>
    <t>8303120</t>
  </si>
  <si>
    <t>CASQ REVER GABARD.</t>
  </si>
  <si>
    <t>8303121</t>
  </si>
  <si>
    <t>CASQ REVERS VIAL TMAN</t>
  </si>
  <si>
    <t>8303123</t>
  </si>
  <si>
    <t>CASQ AMER REVER RIP STOP</t>
  </si>
  <si>
    <t>8303124</t>
  </si>
  <si>
    <t>CASQ RIP DIGITAL MIMET RURAL</t>
  </si>
  <si>
    <t>8303125</t>
  </si>
  <si>
    <t>CASQ REVER RIP MIME/NEG</t>
  </si>
  <si>
    <t>8303126</t>
  </si>
  <si>
    <t>CASQ REVER RIP GRIS/NEG</t>
  </si>
  <si>
    <t>8303127</t>
  </si>
  <si>
    <t>CASQ REVER RIP INFANT/NEG</t>
  </si>
  <si>
    <t>8303128</t>
  </si>
  <si>
    <t>CASQ RIP DIGITAL ACU</t>
  </si>
  <si>
    <t>8303129</t>
  </si>
  <si>
    <t>CASQ RIP NEGRO C/OJALILLOS IMP</t>
  </si>
  <si>
    <t>8303130</t>
  </si>
  <si>
    <t>CASQ RIP AZUL C/OJALILLOS IMP</t>
  </si>
  <si>
    <t>8303131</t>
  </si>
  <si>
    <t>CASQ RIP NEGRO C/OJALITO BORD NQN</t>
  </si>
  <si>
    <t>8303132</t>
  </si>
  <si>
    <t>CASQ RIP AZUL C/OJALITO BORD NQN</t>
  </si>
  <si>
    <t>8303133</t>
  </si>
  <si>
    <t>CASQ RIP RURAL  C/ABROJO</t>
  </si>
  <si>
    <t>8303222</t>
  </si>
  <si>
    <t>CASQ ARMADO AZUL</t>
  </si>
  <si>
    <t>8303297</t>
  </si>
  <si>
    <t>RELOJ TACTICO MALLA/PLASTI ICE FROG 5524</t>
  </si>
  <si>
    <t>8303298</t>
  </si>
  <si>
    <t>RELOJ TACTICO O.T.S 5512-693-30-48/3,6</t>
  </si>
  <si>
    <t>8303299</t>
  </si>
  <si>
    <t>RELOJ TACTICO DIGITAL 5514-30-48/3,6</t>
  </si>
  <si>
    <t>8303300</t>
  </si>
  <si>
    <t>RELOJ TACTICO O.T.S T7033G 5518-30-48/3,</t>
  </si>
  <si>
    <t>8303356</t>
  </si>
  <si>
    <t>CASQ RIP NEGRO STA FE C ABROJO C/ESC RER</t>
  </si>
  <si>
    <t>8303357</t>
  </si>
  <si>
    <t>8303358</t>
  </si>
  <si>
    <t>CASQ RIP NEGRO STA FE SERRETA Y LAU RER</t>
  </si>
  <si>
    <t>8303495</t>
  </si>
  <si>
    <t>CASQ RIP AZUL C ABROJO</t>
  </si>
  <si>
    <t>8303496</t>
  </si>
  <si>
    <t>CASQ RIP DIGITAL GRIS</t>
  </si>
  <si>
    <t>8303523</t>
  </si>
  <si>
    <t>RELOJ TACTICO MIMETICO/COLOR 9523</t>
  </si>
  <si>
    <t>8303544</t>
  </si>
  <si>
    <t>CASQ RIP INFANTERIA CON ABROJO</t>
  </si>
  <si>
    <t>8303665</t>
  </si>
  <si>
    <t>CASQ ARMADO  VERDE</t>
  </si>
  <si>
    <t>8303674</t>
  </si>
  <si>
    <t>CASQ GAB NEGRO AJUSTABLE C/TRABA 4674</t>
  </si>
  <si>
    <t>8303677</t>
  </si>
  <si>
    <t>CASQ GAB AZUL AJUSTABLE C/TRABA 4674</t>
  </si>
  <si>
    <t>8303700</t>
  </si>
  <si>
    <t>CASQ RIP AZUL NQUEN. VISERA BORDADA RER</t>
  </si>
  <si>
    <t>8303701</t>
  </si>
  <si>
    <t>CASQ RIP NEGRO NQUEN. VISERA BORDADA RER</t>
  </si>
  <si>
    <t>8303800</t>
  </si>
  <si>
    <t>CASQ RIP AZUL NQUEN. RER</t>
  </si>
  <si>
    <t>8303900</t>
  </si>
  <si>
    <t>CASQ RIP NEGRO ABROJO</t>
  </si>
  <si>
    <t>8303901</t>
  </si>
  <si>
    <t>CASQ RIP NEGRO C ABROJO Y CINTA A CUA</t>
  </si>
  <si>
    <t>8303902</t>
  </si>
  <si>
    <t>CASQ RIP BEIGE ABROJO</t>
  </si>
  <si>
    <t>8303987</t>
  </si>
  <si>
    <t>CASQ MUNIC. GUAYMALLEN RER</t>
  </si>
  <si>
    <t>8305000</t>
  </si>
  <si>
    <t>GORRA AZUL SIN ATRIBUTOS RER</t>
  </si>
  <si>
    <t>8305001</t>
  </si>
  <si>
    <t>GORRA GRIS SIN ATRIBUTOS RER</t>
  </si>
  <si>
    <t>8305002</t>
  </si>
  <si>
    <t>GORRA NEGRA SIN ATRIBUTOS RER</t>
  </si>
  <si>
    <t>8305003</t>
  </si>
  <si>
    <t>GORRA BLANCA SIN ATRIBUTO RER</t>
  </si>
  <si>
    <t>8305004</t>
  </si>
  <si>
    <t>GORRA GENDARMERIA NACIONAL</t>
  </si>
  <si>
    <t>8305006</t>
  </si>
  <si>
    <t>GORRA AZUL VISERA SUB COMISA/COMISA RER</t>
  </si>
  <si>
    <t>8305007</t>
  </si>
  <si>
    <t>GORRA AZUL VISERA COMISARIO GENERAL RER</t>
  </si>
  <si>
    <t>8305008</t>
  </si>
  <si>
    <t>GORRA AZUL VISERA COMISARIO INSPECT RER</t>
  </si>
  <si>
    <t>8306100</t>
  </si>
  <si>
    <t>GORRO CON PIEL IMP</t>
  </si>
  <si>
    <t>8306101</t>
  </si>
  <si>
    <t>GORRO PIEL CON REFLECTIVO IMP 1120</t>
  </si>
  <si>
    <t>8306200</t>
  </si>
  <si>
    <t>GORRO POLAR IMP 1163</t>
  </si>
  <si>
    <t>8307001</t>
  </si>
  <si>
    <t>BONNY RIP AZUL RER</t>
  </si>
  <si>
    <t>8307002</t>
  </si>
  <si>
    <t>BONNY RIP BEIGE RER</t>
  </si>
  <si>
    <t>8307017</t>
  </si>
  <si>
    <t>CHAMBERGO LMGE GRIS LSA</t>
  </si>
  <si>
    <t>8307018</t>
  </si>
  <si>
    <t>CHAMBERGO LMGE VERDE LSA</t>
  </si>
  <si>
    <t>8307159</t>
  </si>
  <si>
    <t>CHAMBERGO DE LANA GRIS</t>
  </si>
  <si>
    <t>8307810</t>
  </si>
  <si>
    <t>CHAMBERGO DE PELO DE LIEBRE RER</t>
  </si>
  <si>
    <t>8307811</t>
  </si>
  <si>
    <t>CHAMBERGO DE LANA NEGRO LSA</t>
  </si>
  <si>
    <t>8307812</t>
  </si>
  <si>
    <t>SOMBRERO GRIS PERLA COPA NAT SRH</t>
  </si>
  <si>
    <t>8307813</t>
  </si>
  <si>
    <t>SOMBRERO NEGRO COPA NAT SRH</t>
  </si>
  <si>
    <t>8351026</t>
  </si>
  <si>
    <t>PERISCOPIO TACTICO NEGRO UZI RER</t>
  </si>
  <si>
    <t>8400000</t>
  </si>
  <si>
    <t>GORRITA BEISBOL LISA AZUL GEI</t>
  </si>
  <si>
    <t>8400001</t>
  </si>
  <si>
    <t>GORRITA MZA  AZUL LMGE</t>
  </si>
  <si>
    <t>8400002</t>
  </si>
  <si>
    <t>GORRITA BEISBOL LISA NEGRA GEI</t>
  </si>
  <si>
    <t>8400003</t>
  </si>
  <si>
    <t>8400008</t>
  </si>
  <si>
    <t>8400009</t>
  </si>
  <si>
    <t>GORRITA BASEBALL CAP 4689-4691</t>
  </si>
  <si>
    <t>8400010</t>
  </si>
  <si>
    <t>GORRITA BEISBOL LISA GRIS GEI</t>
  </si>
  <si>
    <t>8400020</t>
  </si>
  <si>
    <t>GORRITA CAP 002</t>
  </si>
  <si>
    <t>8400021</t>
  </si>
  <si>
    <t>GORRITA AMERICA SEGURIDAD</t>
  </si>
  <si>
    <t>8400024</t>
  </si>
  <si>
    <t>GORRITA MZA IUSP AZUL 2.23 RER</t>
  </si>
  <si>
    <t>8400025</t>
  </si>
  <si>
    <t>GORRITA MZA IUSP NEGRA RER</t>
  </si>
  <si>
    <t>8400026</t>
  </si>
  <si>
    <t>GORRITA NEUQUEN GRIS U DE DETENCION RER</t>
  </si>
  <si>
    <t>8400027</t>
  </si>
  <si>
    <t>GORRITA MZA IUSP TEC SEG PENIT NEGRA</t>
  </si>
  <si>
    <t>8400028</t>
  </si>
  <si>
    <t>GORRITA NQN POL</t>
  </si>
  <si>
    <t>8400029</t>
  </si>
  <si>
    <t>GORRITA MARRON SEG PRIV CENTRAL</t>
  </si>
  <si>
    <t>8400030</t>
  </si>
  <si>
    <t>GORRITA RIO NEGRO CIEP NEGRA BI</t>
  </si>
  <si>
    <t>8400032</t>
  </si>
  <si>
    <t>GORRITA NEGRA MUNI SEMILLOSA BORDA</t>
  </si>
  <si>
    <t>8400035</t>
  </si>
  <si>
    <t>GORRO BLANCO POLAR RER</t>
  </si>
  <si>
    <t>8400036</t>
  </si>
  <si>
    <t>GORRO VERDE POLAR RER</t>
  </si>
  <si>
    <t>8400062</t>
  </si>
  <si>
    <t>GORRITA TMAN DOR CDO RADIOELECTRICO RER</t>
  </si>
  <si>
    <t>8400070</t>
  </si>
  <si>
    <t>OREJERAS SIN PIEL RER</t>
  </si>
  <si>
    <t>8400076</t>
  </si>
  <si>
    <t>GORRO NIEVE CAP076 RER</t>
  </si>
  <si>
    <t>8400080</t>
  </si>
  <si>
    <t>OREJERAS RER</t>
  </si>
  <si>
    <t>8400085</t>
  </si>
  <si>
    <t>GORRITA LA RIOJA POLICIA</t>
  </si>
  <si>
    <t>8400086</t>
  </si>
  <si>
    <t>GORRITA LA RIOJA MONTADA</t>
  </si>
  <si>
    <t>8400087</t>
  </si>
  <si>
    <t>GORRITA POLICIA STA FE BORD AMARILLO</t>
  </si>
  <si>
    <t>8400088</t>
  </si>
  <si>
    <t>GORRITA POLICIA STA FE  BORD BLANCO</t>
  </si>
  <si>
    <t>8400089</t>
  </si>
  <si>
    <t>GORRITA POLICIA STA FE BORD DORADO RER</t>
  </si>
  <si>
    <t>8400090</t>
  </si>
  <si>
    <t>GORRITA POLICIA STA FE BORD PLATEADO</t>
  </si>
  <si>
    <t>8400105</t>
  </si>
  <si>
    <t>GORRITA TMAN POL AZUL RER</t>
  </si>
  <si>
    <t>8400106</t>
  </si>
  <si>
    <t>GORRA TMAN POL NEGRA RER</t>
  </si>
  <si>
    <t>8400110</t>
  </si>
  <si>
    <t>GORRITA TMAN POL NEGRA/DOR C/ESCUDO RER</t>
  </si>
  <si>
    <t>8400111</t>
  </si>
  <si>
    <t>GORRO NATWAY PASAMONTA¥A RER</t>
  </si>
  <si>
    <t>8400112</t>
  </si>
  <si>
    <t>GORRITA STA CRUZ BOMBEROS BI</t>
  </si>
  <si>
    <t>8400113</t>
  </si>
  <si>
    <t>GORRO SPINIT PASAMONTA¥A</t>
  </si>
  <si>
    <t>8400114</t>
  </si>
  <si>
    <t>GORRO NATWQY FACE MASK 01</t>
  </si>
  <si>
    <t>8400116</t>
  </si>
  <si>
    <t>GORRO STX DOBLE POLAR C/VISERA RER</t>
  </si>
  <si>
    <t>8400117</t>
  </si>
  <si>
    <t>GORRO DOBLE POLAR CON VISERA</t>
  </si>
  <si>
    <t>8400119</t>
  </si>
  <si>
    <t>8400120</t>
  </si>
  <si>
    <t>GORRITA PCN F1 NEGRA RER</t>
  </si>
  <si>
    <t>8400121</t>
  </si>
  <si>
    <t>GORRITA CATACPOL RER</t>
  </si>
  <si>
    <t>8400122</t>
  </si>
  <si>
    <t>GORRITA PCN F1 AZUL RER</t>
  </si>
  <si>
    <t>8400123</t>
  </si>
  <si>
    <t>GORRITA MZA POLICIA RER</t>
  </si>
  <si>
    <t>8400124</t>
  </si>
  <si>
    <t>GORRITA BORD COER NEGRA LOGO VERDE RER</t>
  </si>
  <si>
    <t>8400125</t>
  </si>
  <si>
    <t>GORRITA UPAT POL TURISTICA AZUL</t>
  </si>
  <si>
    <t>8400126</t>
  </si>
  <si>
    <t>GORRITA SAN JUAN POLICIA HILO BLANCO RER</t>
  </si>
  <si>
    <t>8400127</t>
  </si>
  <si>
    <t>GORRITA SEGURYTEC NEGRA C LOGO</t>
  </si>
  <si>
    <t>8400128</t>
  </si>
  <si>
    <t>GORRITA F54 AZUL 6 GAJOS 5469 AJUSTABLE-</t>
  </si>
  <si>
    <t>8400129</t>
  </si>
  <si>
    <t>GORRITA F54 NEGRA 6 GAJOS 5469 AJUSTABLE</t>
  </si>
  <si>
    <t>8400130</t>
  </si>
  <si>
    <t>GORRITA RIO GALLEGOS TRANSITO</t>
  </si>
  <si>
    <t>8400131</t>
  </si>
  <si>
    <t>GORRITA F1 AZUL PCM DORA</t>
  </si>
  <si>
    <t>8400132</t>
  </si>
  <si>
    <t>GORRITA STA CRUZ  D.I.C.C. RER</t>
  </si>
  <si>
    <t>8400142</t>
  </si>
  <si>
    <t>GORRITA STA CRUZ INSTITUTO S.F.P. RER</t>
  </si>
  <si>
    <t>8400150</t>
  </si>
  <si>
    <t>GORRITA TUCUMAN POL BOMBEROS RER</t>
  </si>
  <si>
    <t>8400155</t>
  </si>
  <si>
    <t>GORRITA JUJUY POLICIA</t>
  </si>
  <si>
    <t>8400158</t>
  </si>
  <si>
    <t>GORRO CAP 158</t>
  </si>
  <si>
    <t>8400164</t>
  </si>
  <si>
    <t>GORRITA POLICIA TURISTICA</t>
  </si>
  <si>
    <t>8400165</t>
  </si>
  <si>
    <t>GORRITA JUJUY BOMBEROS 1907</t>
  </si>
  <si>
    <t>8400166</t>
  </si>
  <si>
    <t>GORRITA CANES</t>
  </si>
  <si>
    <t>8400167</t>
  </si>
  <si>
    <t>GORRITA MZA UPAT</t>
  </si>
  <si>
    <t>8400168</t>
  </si>
  <si>
    <t>GORRITA MZA UMAR RER</t>
  </si>
  <si>
    <t>8400169</t>
  </si>
  <si>
    <t>GORRITA MZA BOMBEROS RER</t>
  </si>
  <si>
    <t>8400170</t>
  </si>
  <si>
    <t>GORRITA NEGRA TRANSITO GUAYMALLEN ABROJO</t>
  </si>
  <si>
    <t>8400173</t>
  </si>
  <si>
    <t>GORRITA MZA POLICIAL VIAL RER</t>
  </si>
  <si>
    <t>8400174</t>
  </si>
  <si>
    <t>GORRITA MZA BODEGA PULENTA ESTATE</t>
  </si>
  <si>
    <t>8400190</t>
  </si>
  <si>
    <t>GORRO LANA ROCKY FORRADO 53190</t>
  </si>
  <si>
    <t>8400214</t>
  </si>
  <si>
    <t>GORRITA BORD UROF VI AZUL</t>
  </si>
  <si>
    <t>8400222</t>
  </si>
  <si>
    <t>GORRITA LAS PIRCAS NEGRA</t>
  </si>
  <si>
    <t>8400223</t>
  </si>
  <si>
    <t>GORRITA NEGRA KINETA RER</t>
  </si>
  <si>
    <t>8400224</t>
  </si>
  <si>
    <t>GORRITA PREMIUM VS MOTIVOS RELIEVE RER</t>
  </si>
  <si>
    <t>8400240</t>
  </si>
  <si>
    <t>GORRO LANA ROCKY 53240 SIN FORRAR RER</t>
  </si>
  <si>
    <t>8400252</t>
  </si>
  <si>
    <t>GORRITA STA CRUZ POL AZUL BI</t>
  </si>
  <si>
    <t>8400265</t>
  </si>
  <si>
    <t>GORRITA MZA KINETA</t>
  </si>
  <si>
    <t>8400280</t>
  </si>
  <si>
    <t>GORRITA TMAN ASUNTOS INTERNOS RER</t>
  </si>
  <si>
    <t>8400286</t>
  </si>
  <si>
    <t>GORRITA MZA. TRANSITO - PREVENTORES RER</t>
  </si>
  <si>
    <t>8400287</t>
  </si>
  <si>
    <t>GORRITA NEGRA PREVENTORES/MUNI MZA</t>
  </si>
  <si>
    <t>8400292</t>
  </si>
  <si>
    <t>GORRITA MZA POLICIA MONTADA CABALL. RER</t>
  </si>
  <si>
    <t>8400300</t>
  </si>
  <si>
    <t>GORRITA SPF NEGRA BI</t>
  </si>
  <si>
    <t>8400309</t>
  </si>
  <si>
    <t>GORRITA SAN LUIS ISSP J.P.PRINGLES</t>
  </si>
  <si>
    <t>8400311</t>
  </si>
  <si>
    <t>GORRITA BOMBERO PUERTO DESEADO RER</t>
  </si>
  <si>
    <t>8400312</t>
  </si>
  <si>
    <t>GORRITA LR CHAMICAL MOTORIZADA NEGRA</t>
  </si>
  <si>
    <t>8400323</t>
  </si>
  <si>
    <t>GORRITA POLI CONTRA NARCOTRAFICO BORD</t>
  </si>
  <si>
    <t>8400330</t>
  </si>
  <si>
    <t>GORRITA MZA CANES RER</t>
  </si>
  <si>
    <t>8400333</t>
  </si>
  <si>
    <t>GORRITA STA CRUZ POL NEGRA BI</t>
  </si>
  <si>
    <t>8400356</t>
  </si>
  <si>
    <t>GORRITA CHUBUT POL AZUL RER</t>
  </si>
  <si>
    <t>8400357</t>
  </si>
  <si>
    <t>GORRITA CHUBUT POL NEGRA RER</t>
  </si>
  <si>
    <t>8400360</t>
  </si>
  <si>
    <t>GORRITA TMAN PLAT CDO RADIOELECT RER</t>
  </si>
  <si>
    <t>8400367</t>
  </si>
  <si>
    <t>GORRITA MZA UCAR   071/071/150 BI</t>
  </si>
  <si>
    <t>8400368</t>
  </si>
  <si>
    <t>GORRITA SAN LUIS POLICIA BI</t>
  </si>
  <si>
    <t>8400369</t>
  </si>
  <si>
    <t>GORRITA MZA MUNICIPALIDAD DE LAS HERAS</t>
  </si>
  <si>
    <t>8400370</t>
  </si>
  <si>
    <t>GORRITA MZA POLICIA DE INVEST. BI</t>
  </si>
  <si>
    <t>8400390</t>
  </si>
  <si>
    <t>GORRITA MZA PENITENCIARIA PLATEADA BI</t>
  </si>
  <si>
    <t>8400391</t>
  </si>
  <si>
    <t>GORRITA MZA PENIT SERP BV BI</t>
  </si>
  <si>
    <t>8400392</t>
  </si>
  <si>
    <t>8400393</t>
  </si>
  <si>
    <t>GORRITA MZA PENITENCIARIA DORADA RER</t>
  </si>
  <si>
    <t>8400452</t>
  </si>
  <si>
    <t>GORRITA ASPIRANTE NEGRA</t>
  </si>
  <si>
    <t>8400456</t>
  </si>
  <si>
    <t>GORRITA SARPOL CON CINTA A CUADROS BI</t>
  </si>
  <si>
    <t>8400564</t>
  </si>
  <si>
    <t>GORRITA SAN JUAN PENITENCIARIA</t>
  </si>
  <si>
    <t>8400650</t>
  </si>
  <si>
    <t>GORRITA RIO NEGRO POL OFICIAL BI</t>
  </si>
  <si>
    <t>8400651</t>
  </si>
  <si>
    <t>GORRITA INVESTIGACIONES AZ RIO NEGRO</t>
  </si>
  <si>
    <t>8400654</t>
  </si>
  <si>
    <t>GORRITA NEGRA GREY FOX</t>
  </si>
  <si>
    <t>8400661</t>
  </si>
  <si>
    <t>GORRO VERDUGO RER</t>
  </si>
  <si>
    <t>8400662</t>
  </si>
  <si>
    <t>GORRO VERDUGO C/ CALAVERA RER</t>
  </si>
  <si>
    <t>8400663</t>
  </si>
  <si>
    <t>GORRO VERDUGO C FORRO POLAR</t>
  </si>
  <si>
    <t>8400664</t>
  </si>
  <si>
    <t>GORRO VERDUGO C/ FORRO PIEL</t>
  </si>
  <si>
    <t>8400689</t>
  </si>
  <si>
    <t>GORRITA F1 NEGRA AJUSTABLE 4689</t>
  </si>
  <si>
    <t>8400691</t>
  </si>
  <si>
    <t>GORRITA F1 AZUL AJUSTABLE 4689</t>
  </si>
  <si>
    <t>8400753</t>
  </si>
  <si>
    <t>GORRITA SAN JUAN POLICIA HOLO DORADO BI</t>
  </si>
  <si>
    <t>8400852</t>
  </si>
  <si>
    <t>GORRITA RIO NEGRO COER RER</t>
  </si>
  <si>
    <t>8400907</t>
  </si>
  <si>
    <t>GORRITA AHB43907</t>
  </si>
  <si>
    <t>8400908</t>
  </si>
  <si>
    <t>GORRITA F1 CON 5 LED INCORPORADOS 4414</t>
  </si>
  <si>
    <t>8400951</t>
  </si>
  <si>
    <t>GORRITA POLICIA IMVESTIGACIONES AZUL</t>
  </si>
  <si>
    <t>8401001</t>
  </si>
  <si>
    <t>8401002</t>
  </si>
  <si>
    <t>8401003</t>
  </si>
  <si>
    <t>SUDADERA RED MILITAR VERDE ORF</t>
  </si>
  <si>
    <t>8401004</t>
  </si>
  <si>
    <t>SUDADERA RED MILITAR BEIGE ORF</t>
  </si>
  <si>
    <t>8401005</t>
  </si>
  <si>
    <t>SUDADERA RED MILITAR MARRON ORF</t>
  </si>
  <si>
    <t>8401006</t>
  </si>
  <si>
    <t>SUDADERA RED MILITAR BLANCA ORF</t>
  </si>
  <si>
    <t>8401007</t>
  </si>
  <si>
    <t>SUDADERA MICRORED MILITAR XL NEGRA RER</t>
  </si>
  <si>
    <t>8401008</t>
  </si>
  <si>
    <t>SUDADERA MICRORED MILITAR XL CAMUFLA RER</t>
  </si>
  <si>
    <t>8401009</t>
  </si>
  <si>
    <t>SUDADERA RED MILITAR NEG 160 X 0.45 RER</t>
  </si>
  <si>
    <t>8401010</t>
  </si>
  <si>
    <t>SUDADERA RED MILITAR NEG 160 X 0.25 RER</t>
  </si>
  <si>
    <t>8401011</t>
  </si>
  <si>
    <t>SUDADERA RED MILITAR VER 160 X 0.45 RER</t>
  </si>
  <si>
    <t>8401012</t>
  </si>
  <si>
    <t>SUDADERA RED MILITAR VER 160 X 0.25 RER</t>
  </si>
  <si>
    <t>8401232</t>
  </si>
  <si>
    <t>GORRA DICC RER</t>
  </si>
  <si>
    <t>8500001</t>
  </si>
  <si>
    <t>ESPOSAS CON BISAGRA IMP-7/3 1211</t>
  </si>
  <si>
    <t>8500002</t>
  </si>
  <si>
    <t>ESPOSAS SMITH &amp; WESS CADE NEG J10095 RER</t>
  </si>
  <si>
    <t>8500003</t>
  </si>
  <si>
    <t>ESPOSAS SMITH &amp; WESS PARA PIES RER</t>
  </si>
  <si>
    <t>8500300</t>
  </si>
  <si>
    <t>ESPOSAS CON CADENA IMP-7/3 1211</t>
  </si>
  <si>
    <t>8500500</t>
  </si>
  <si>
    <t>PRECINTOS POLICIALES TACTICOS LUBRI MAL</t>
  </si>
  <si>
    <t>8501001</t>
  </si>
  <si>
    <t>PORTA CREDENCIAL DESMONTABLE KAE</t>
  </si>
  <si>
    <t>8501015</t>
  </si>
  <si>
    <t>PORTA BOTELLA/TERMO MOLLE KAE</t>
  </si>
  <si>
    <t>8501024</t>
  </si>
  <si>
    <t>8501025</t>
  </si>
  <si>
    <t>PORTA CRED CUERO  BILLETERA 1025 TB</t>
  </si>
  <si>
    <t>8501026</t>
  </si>
  <si>
    <t>PORTA CRED CUERO LIBRO 1026 TB</t>
  </si>
  <si>
    <t>8501027</t>
  </si>
  <si>
    <t>PORTA CRED CUERO COLGANTE 1027 TB</t>
  </si>
  <si>
    <t>8501034</t>
  </si>
  <si>
    <t>PORTA CREDENCIAL BILLLE PREMIUM 1034 TB</t>
  </si>
  <si>
    <t>8501228</t>
  </si>
  <si>
    <t>PORTA CREDENCIAL RER</t>
  </si>
  <si>
    <t>8501551</t>
  </si>
  <si>
    <t>PORTA ELEMENTO POLIA VERDE GN RER</t>
  </si>
  <si>
    <t>8501594</t>
  </si>
  <si>
    <t>CUCHILLO TRENTO COMANDO 131673</t>
  </si>
  <si>
    <t>8501602</t>
  </si>
  <si>
    <t>INSIG BI CABO 1 GRIS PEN</t>
  </si>
  <si>
    <t>8501621</t>
  </si>
  <si>
    <t>PORTA ELEMENTO POLIA NEG XTL 621</t>
  </si>
  <si>
    <t>8501654</t>
  </si>
  <si>
    <t>PORTA CREDENCIAL CON CHAPA INVESTIG RER</t>
  </si>
  <si>
    <t>8501655</t>
  </si>
  <si>
    <t>PORTA CREDENCIAL ESPECIAL RER</t>
  </si>
  <si>
    <t>8501662</t>
  </si>
  <si>
    <t>8501700</t>
  </si>
  <si>
    <t>MORRAL TACTICO DE DESCARGA RER</t>
  </si>
  <si>
    <t>8503000</t>
  </si>
  <si>
    <t>ESPOSAS ALC</t>
  </si>
  <si>
    <t>8503003</t>
  </si>
  <si>
    <t>ESPOSAS DESCARTABLES RRD RER</t>
  </si>
  <si>
    <t>8503011</t>
  </si>
  <si>
    <t>ESPOSAS RERDA</t>
  </si>
  <si>
    <t>8503012</t>
  </si>
  <si>
    <t>ESPOSAS CON GANCHO EM-7/3 1211</t>
  </si>
  <si>
    <t>8503020</t>
  </si>
  <si>
    <t>PROT. PHB3 HOMBRO Y ANTEBRAZO RER</t>
  </si>
  <si>
    <t>8503026</t>
  </si>
  <si>
    <t>LINTERNA NEGRA CHICA LUG</t>
  </si>
  <si>
    <t>8503045</t>
  </si>
  <si>
    <t>ESPOSAS CON BISAGRA 1211-7/3</t>
  </si>
  <si>
    <t>8503046</t>
  </si>
  <si>
    <t>ESPOSA MARSHALL RER</t>
  </si>
  <si>
    <t>8503060</t>
  </si>
  <si>
    <t>TONFA PLASTICA TECH.POLICE SOL</t>
  </si>
  <si>
    <t>8503061</t>
  </si>
  <si>
    <t>TONFA C/ PORTATONFA RERDA RER</t>
  </si>
  <si>
    <t>850306101</t>
  </si>
  <si>
    <t>ARTICULOS PARA DEFENSA PERSONAL</t>
  </si>
  <si>
    <t>8503063</t>
  </si>
  <si>
    <t>PROT. PP01 PIERNA RODILLA TOBILL EM RER</t>
  </si>
  <si>
    <t>8503090</t>
  </si>
  <si>
    <t>ESCUDO ANTIDIST. POLICARB. CURVO 50 SOL</t>
  </si>
  <si>
    <t>8503091</t>
  </si>
  <si>
    <t>ESCUDO ANTIDIST BURBUJA C VISOR VB02 SOL</t>
  </si>
  <si>
    <t>8503098</t>
  </si>
  <si>
    <t>PALMA BORD ORO CALAFATES STA CRUZ DG</t>
  </si>
  <si>
    <t>8503100</t>
  </si>
  <si>
    <t>BASTON ACERO EXT. FUNDA POLIA C RER</t>
  </si>
  <si>
    <t>8503111</t>
  </si>
  <si>
    <t>PROTECTOR AUDITIVO RER</t>
  </si>
  <si>
    <t>8503125</t>
  </si>
  <si>
    <t>8503130</t>
  </si>
  <si>
    <t>CASQ RIP AZUL C/OJALITOS IMP</t>
  </si>
  <si>
    <t>8503159</t>
  </si>
  <si>
    <t>BASTON RIGIDO BP 70 CM 205</t>
  </si>
  <si>
    <t>8503168</t>
  </si>
  <si>
    <t>8503201</t>
  </si>
  <si>
    <t>RELOJ CON LINTERNA Y BRUJULA IMP-30</t>
  </si>
  <si>
    <t>8503202</t>
  </si>
  <si>
    <t>TONFA POLIPROPILENO RERDA RER202</t>
  </si>
  <si>
    <t>8503209</t>
  </si>
  <si>
    <t>BASTON FLEXIBLE 45 CM RER209</t>
  </si>
  <si>
    <t>8503224</t>
  </si>
  <si>
    <t>8503230</t>
  </si>
  <si>
    <t>BASTON DE MANDO RER</t>
  </si>
  <si>
    <t>8503234</t>
  </si>
  <si>
    <t>PALMA BORD ORO AZUL 7 HOJAS CHAQUET DG</t>
  </si>
  <si>
    <t>8503235</t>
  </si>
  <si>
    <t>PALMA BORD ORO BLANCA 7 HOJAS CAMISA DG</t>
  </si>
  <si>
    <t>8503236</t>
  </si>
  <si>
    <t>PALMA BORD ORO BLANCA 11 HOJAS CAMISA DG</t>
  </si>
  <si>
    <t>8503238</t>
  </si>
  <si>
    <t>PALMA BORD ORO CELESTE 7 HOJAS CAMISA DG</t>
  </si>
  <si>
    <t>8503250</t>
  </si>
  <si>
    <t>BASTON RIGIDO BP 45CM RER207</t>
  </si>
  <si>
    <t>8503258</t>
  </si>
  <si>
    <t>SABLE LARGO RER</t>
  </si>
  <si>
    <t>8503302</t>
  </si>
  <si>
    <t>RELOJ EXPONI IMP-20</t>
  </si>
  <si>
    <t>8503303</t>
  </si>
  <si>
    <t>RELOJ SPORT WATCH TACTICO 5506-1,8/3,6</t>
  </si>
  <si>
    <t>8503304</t>
  </si>
  <si>
    <t>RELOJ LASIKA SPORT WR 30 MTS RER</t>
  </si>
  <si>
    <t>8503305</t>
  </si>
  <si>
    <t>RELOJ TACTICO 4098-4102-30</t>
  </si>
  <si>
    <t>8503310</t>
  </si>
  <si>
    <t>ESPOSAS NEGRAS CON CADENA</t>
  </si>
  <si>
    <t>8503320</t>
  </si>
  <si>
    <t>CASCO ANTIDIST. CA03 CON VISOR DE 3 SOL</t>
  </si>
  <si>
    <t>8503401</t>
  </si>
  <si>
    <t>BASTON EXTENSIBLE IMP</t>
  </si>
  <si>
    <t>8503402</t>
  </si>
  <si>
    <t>BASTON EXTENSIBLE POLICE NEGRO CROM IMP</t>
  </si>
  <si>
    <t>8503424</t>
  </si>
  <si>
    <t>BASTON EXTENSIBLE FUNDA VERDE RER</t>
  </si>
  <si>
    <t>8503425</t>
  </si>
  <si>
    <t>BASTON EXTENSIBLE GOMA NEGRO</t>
  </si>
  <si>
    <t>8503426</t>
  </si>
  <si>
    <t>BASTON EXTENSIBLE POLICE RER</t>
  </si>
  <si>
    <t>8503427</t>
  </si>
  <si>
    <t>BASTON EXTENSIBLE CROMADO RER</t>
  </si>
  <si>
    <t>8503428</t>
  </si>
  <si>
    <t>8503429</t>
  </si>
  <si>
    <t>BASTON EXTENSIBLE POLICE CORTO RER</t>
  </si>
  <si>
    <t>8503450</t>
  </si>
  <si>
    <t>CARGADOR USB SOLAR RER</t>
  </si>
  <si>
    <t>8503451</t>
  </si>
  <si>
    <t>BASTON LINTERNA RECARGABLE RER</t>
  </si>
  <si>
    <t>8503456</t>
  </si>
  <si>
    <t>8503457</t>
  </si>
  <si>
    <t>ESPOSA ALCATRAZ RER</t>
  </si>
  <si>
    <t>8503458</t>
  </si>
  <si>
    <t>ESPOSAS TORO</t>
  </si>
  <si>
    <t>8503500</t>
  </si>
  <si>
    <t>PROT. PAC BRAZO CODO Y ANTEBRAZO RER</t>
  </si>
  <si>
    <t>8503505</t>
  </si>
  <si>
    <t>LINTERNA TRASERA BICI LUG</t>
  </si>
  <si>
    <t>8503600</t>
  </si>
  <si>
    <t>KIT RODILLERAS Y CODERAS TACTICAS 5637-2</t>
  </si>
  <si>
    <t>8503638</t>
  </si>
  <si>
    <t>PROT.CODO XTL 838 XTR</t>
  </si>
  <si>
    <t>8503639</t>
  </si>
  <si>
    <t>PROT RODILLA XTL 839 XTR</t>
  </si>
  <si>
    <t>8503712</t>
  </si>
  <si>
    <t>SABLE CORTO RER</t>
  </si>
  <si>
    <t>8503716</t>
  </si>
  <si>
    <t>BASTON DE CAUCHO BG46 SOL</t>
  </si>
  <si>
    <t>8503750</t>
  </si>
  <si>
    <t>PROTECTOR DE RODILLA E.Z.</t>
  </si>
  <si>
    <t>8503760</t>
  </si>
  <si>
    <t>PROTECTOR DE CODO E.Z.</t>
  </si>
  <si>
    <t>8503800</t>
  </si>
  <si>
    <t>SET 4 ANTEOJOS IMP</t>
  </si>
  <si>
    <t>8503801</t>
  </si>
  <si>
    <t>MASCARA CON VISERA 0.23 X 0.24 MT POLICA</t>
  </si>
  <si>
    <t>8503802</t>
  </si>
  <si>
    <t>MASCARA REBATIBLE</t>
  </si>
  <si>
    <t>8503803</t>
  </si>
  <si>
    <t>MASCARA PREMIUM CON VISERA 0.23 X 0.41MT</t>
  </si>
  <si>
    <t>8503804</t>
  </si>
  <si>
    <t>MASCARA CON VISERA P/NINIOS</t>
  </si>
  <si>
    <t>8503808</t>
  </si>
  <si>
    <t>MASCARA REBATIBLE 0.23 X 0.24 MT POLICA</t>
  </si>
  <si>
    <t>8503820</t>
  </si>
  <si>
    <t>PROTECTOR VISUAL ARGON ANTEOJO</t>
  </si>
  <si>
    <t>8503821</t>
  </si>
  <si>
    <t>ANTIPARRA SPORT 2003YT/13.80</t>
  </si>
  <si>
    <t>8503822</t>
  </si>
  <si>
    <t>ANTIPARRA SPORT 3000BM/19.00 GLA</t>
  </si>
  <si>
    <t>8503823</t>
  </si>
  <si>
    <t>ANTIPARRA 3000MS/19.00 GLA</t>
  </si>
  <si>
    <t>8503824</t>
  </si>
  <si>
    <t>ANTIPARRA 3000RM/19.00 GLA</t>
  </si>
  <si>
    <t>8503825</t>
  </si>
  <si>
    <t>ANTIPARRA SPORT 3007PL/21.3</t>
  </si>
  <si>
    <t>8503826</t>
  </si>
  <si>
    <t>ANTIPARRA SPORT 3007RP/21.3</t>
  </si>
  <si>
    <t>8503827</t>
  </si>
  <si>
    <t>ANTIPARRA SPORT 3009PL/21.30</t>
  </si>
  <si>
    <t>8503828</t>
  </si>
  <si>
    <t>ANTIPARRA SPORT 3009RP/21.30</t>
  </si>
  <si>
    <t>8503829</t>
  </si>
  <si>
    <t>ANTIPARRA SPORT KITX3 3011ST/35.15</t>
  </si>
  <si>
    <t>8503830</t>
  </si>
  <si>
    <t>ANTIPARRA SPORT 3101SM/13.80</t>
  </si>
  <si>
    <t>8503831</t>
  </si>
  <si>
    <t>ANTIPARRA SPORT 3104CM/11.85 GLA</t>
  </si>
  <si>
    <t>8503832</t>
  </si>
  <si>
    <t>ANTIPARRA SPORT 3104DR/11.85 GLA</t>
  </si>
  <si>
    <t>8503833</t>
  </si>
  <si>
    <t>ANTIPARRA SPORT 3104SM/11.85</t>
  </si>
  <si>
    <t>8503834</t>
  </si>
  <si>
    <t>ANTIPARRA SPORT MIMET DIG</t>
  </si>
  <si>
    <t>8503835</t>
  </si>
  <si>
    <t>ANTIPARRA/LENTES SPORT C SUJETADOR RER</t>
  </si>
  <si>
    <t>8503836</t>
  </si>
  <si>
    <t>ANTIPARRA/LENTES 3 EN 1 C SUJETADOR</t>
  </si>
  <si>
    <t>8503837</t>
  </si>
  <si>
    <t>LENTES PYRAMEX XSG KIT BALLIST CLEAR MIN</t>
  </si>
  <si>
    <t>8503853</t>
  </si>
  <si>
    <t>PROTECTOR DE MUSLO BM</t>
  </si>
  <si>
    <t>8503888</t>
  </si>
  <si>
    <t>PROT. PI INGLE RER</t>
  </si>
  <si>
    <t>8503901</t>
  </si>
  <si>
    <t>TONFA POLICARBONATO RERDA RER201</t>
  </si>
  <si>
    <t>8503983</t>
  </si>
  <si>
    <t>PALMA BORD ORO CELESTE 11 HOJAS CAMI DG</t>
  </si>
  <si>
    <t>8503984</t>
  </si>
  <si>
    <t>PALMA BORD ORO AZUL 11 HOJAS CHAQUET DG</t>
  </si>
  <si>
    <t>8503999</t>
  </si>
  <si>
    <t>TONFA TECH. POLICE TP60 SOL</t>
  </si>
  <si>
    <t>8505000</t>
  </si>
  <si>
    <t>PECT ESC CADETES BARRA BL-AZ-NE BI</t>
  </si>
  <si>
    <t>8505001</t>
  </si>
  <si>
    <t>PECT. B/DENS. 1 ROMBO CHICO RER</t>
  </si>
  <si>
    <t>8505002</t>
  </si>
  <si>
    <t>PECT. B/DENS. 2 ROMBOS CHIC BI</t>
  </si>
  <si>
    <t>8505003</t>
  </si>
  <si>
    <t>BASE DE TELA</t>
  </si>
  <si>
    <t>8505004</t>
  </si>
  <si>
    <t>PECT. B/DENS. 3 ROMBOS RER</t>
  </si>
  <si>
    <t>8505005</t>
  </si>
  <si>
    <t>PECT. B/DENS. 1 ROMBO SERRE RER</t>
  </si>
  <si>
    <t>8505006</t>
  </si>
  <si>
    <t>PECT. B/DENS. 2 ROMBOS Y SE RER</t>
  </si>
  <si>
    <t>8505007</t>
  </si>
  <si>
    <t>PECT. B/DENS. 1 ROMBO Y PAL RER</t>
  </si>
  <si>
    <t>8505008</t>
  </si>
  <si>
    <t>PECT. B/DENS. 2 ROMBOS Y PA RER</t>
  </si>
  <si>
    <t>8505009</t>
  </si>
  <si>
    <t>INSIG BI SARG PRIMERO</t>
  </si>
  <si>
    <t>8505010</t>
  </si>
  <si>
    <t>PECT BORD SAN LUIS  1 LINEA RER</t>
  </si>
  <si>
    <t>8505011</t>
  </si>
  <si>
    <t>PECT BORD SAN LUIS  2 LINEAS RER</t>
  </si>
  <si>
    <t>8505012</t>
  </si>
  <si>
    <t>PECT BORD SAN LUIS 3 ESTR PLAT GR BI</t>
  </si>
  <si>
    <t>8505013</t>
  </si>
  <si>
    <t>GRUPO SANGUINEO MOSQUETON/LLAVERO RER</t>
  </si>
  <si>
    <t>8505014</t>
  </si>
  <si>
    <t>PECT. GRUPO SANGUINEO   BARG BI</t>
  </si>
  <si>
    <t>8505015</t>
  </si>
  <si>
    <t>GRIFA POLICIA GALLO PAR RER</t>
  </si>
  <si>
    <t>8505016</t>
  </si>
  <si>
    <t>GRUPO SANGUINEO CUADRADO BI</t>
  </si>
  <si>
    <t>8505017</t>
  </si>
  <si>
    <t>8505018</t>
  </si>
  <si>
    <t>GRIFA BOMBEROS EL PAR RER</t>
  </si>
  <si>
    <t>8505019</t>
  </si>
  <si>
    <t>8505020</t>
  </si>
  <si>
    <t>GRIFA PENITENCIARIA EL PAR RER</t>
  </si>
  <si>
    <t>8505021</t>
  </si>
  <si>
    <t>PECT ESC CADETES 1 BARRA BL OJAL BI</t>
  </si>
  <si>
    <t>8505022</t>
  </si>
  <si>
    <t>PECT ESC CADETES 2 BARRAS BL OJAL BI</t>
  </si>
  <si>
    <t>850502201</t>
  </si>
  <si>
    <t>PECT. BORD. ORO SANTA CRUZ CRIO. INSP.</t>
  </si>
  <si>
    <t>8505023</t>
  </si>
  <si>
    <t>PECT ESC CADETES 1 BARRA AZ BI</t>
  </si>
  <si>
    <t>850502302</t>
  </si>
  <si>
    <t>PECT. BORD. ORO SANTA CRUZ CRIO. MAYOR</t>
  </si>
  <si>
    <t>8505024</t>
  </si>
  <si>
    <t>PECT ESC CADETES 2 BARRAS AZ BI</t>
  </si>
  <si>
    <t>850502403</t>
  </si>
  <si>
    <t>PECT. BORD. ORO SANTA CRUZ CRIO. GRAL.</t>
  </si>
  <si>
    <t>8505025</t>
  </si>
  <si>
    <t>PECT BORD ORO S CRUZ JEFE 4 ESTR DG</t>
  </si>
  <si>
    <t>8505026</t>
  </si>
  <si>
    <t>PECT. BORD. OF PPAL. INFANTERIA BI</t>
  </si>
  <si>
    <t>8505027</t>
  </si>
  <si>
    <t>PECT ESC CADETES 3 BARRAS AZ BI</t>
  </si>
  <si>
    <t>8505028</t>
  </si>
  <si>
    <t>PECT BORD ORO CRIO GRAL SANTA CRUZ DG</t>
  </si>
  <si>
    <t>8505029</t>
  </si>
  <si>
    <t>PECT BORD ORO CRIO MAYOR SANTA CRUZ DG</t>
  </si>
  <si>
    <t>8505030</t>
  </si>
  <si>
    <t>PECT BORD ORO CRIO INSP SANTA CRUZ DG</t>
  </si>
  <si>
    <t>8505031</t>
  </si>
  <si>
    <t>PECT ESC CADETES 1 BARRA NE RER</t>
  </si>
  <si>
    <t>8505032</t>
  </si>
  <si>
    <t>PECT ESC CADETES 2 BARRAS NE RER</t>
  </si>
  <si>
    <t>8505033</t>
  </si>
  <si>
    <t>PEC BORD BAND INFANT CN2018 BAJA VIS BI</t>
  </si>
  <si>
    <t>8505063</t>
  </si>
  <si>
    <t>PECT. BORD. AMERICA SEGURIDAD BI</t>
  </si>
  <si>
    <t>8505068</t>
  </si>
  <si>
    <t>NOMBRE BORDADO LETRAS METALIZADAS BI</t>
  </si>
  <si>
    <t>8505069</t>
  </si>
  <si>
    <t>NOMBRE PECTO ALTA SEGURIDAD BI</t>
  </si>
  <si>
    <t>8505070</t>
  </si>
  <si>
    <t>NOMBRE BORDADO MENDOZA BI</t>
  </si>
  <si>
    <t>8505071</t>
  </si>
  <si>
    <t>NOMBRE BORD 2 LINEAS (NQN-TMAN) BI</t>
  </si>
  <si>
    <t>8505072</t>
  </si>
  <si>
    <t>NOMBRE BORDADO MZA 2UNIDADES RER</t>
  </si>
  <si>
    <t>8505073</t>
  </si>
  <si>
    <t>NOMBRE BORD TUC B.V. BI</t>
  </si>
  <si>
    <t>8505074</t>
  </si>
  <si>
    <t>NOMBRE BORD MOTORIZADA BI</t>
  </si>
  <si>
    <t>8505075</t>
  </si>
  <si>
    <t>NOMBRE BORD INFANTERIA BI</t>
  </si>
  <si>
    <t>8505076</t>
  </si>
  <si>
    <t>NOMBRE BORD + RANGO PCIA DE SANTA FE RER</t>
  </si>
  <si>
    <t>8505100</t>
  </si>
  <si>
    <t>BARBIJO TAPABOCA TELA ECO</t>
  </si>
  <si>
    <t>8505101</t>
  </si>
  <si>
    <t>PECT BORD RUEDA ALADA POL VIAL BAND RER</t>
  </si>
  <si>
    <t>8505109</t>
  </si>
  <si>
    <t>PECT BORD RUEDA ALADA VIAL BAJA VISI BI</t>
  </si>
  <si>
    <t>8505110</t>
  </si>
  <si>
    <t>PECT FUERZA AEREA DOS ALAS RER</t>
  </si>
  <si>
    <t>8505111</t>
  </si>
  <si>
    <t>PECT BORD 4 ROMB 22MM DOR DIREC RER</t>
  </si>
  <si>
    <t>8505118</t>
  </si>
  <si>
    <t>PECT. BORD 1 ESTRELLA ANTIG BARG RER</t>
  </si>
  <si>
    <t>8505120</t>
  </si>
  <si>
    <t>PECT. BORD LMGE GIMNASIA 1ER ANIO BI</t>
  </si>
  <si>
    <t>8505121</t>
  </si>
  <si>
    <t>BASE ACRIL. 1 UNA ESTRELLA  6X2 RER</t>
  </si>
  <si>
    <t>8505122</t>
  </si>
  <si>
    <t>BASE ACRIL. 2 DOS ESTRELLAS 6X2 RER</t>
  </si>
  <si>
    <t>8505123</t>
  </si>
  <si>
    <t>BASE ACRIL. 3 TRES ESTRELLAS 2X10 RER</t>
  </si>
  <si>
    <t>8505124</t>
  </si>
  <si>
    <t>BASE ACRIL. 4 CUATRO ESTRELLAS 2X10 RER</t>
  </si>
  <si>
    <t>8505125</t>
  </si>
  <si>
    <t>BASE ACRIL. 5 CINCO ESTRELLAS 2X10 RER</t>
  </si>
  <si>
    <t>8505126</t>
  </si>
  <si>
    <t>BASE ACRIL. 6 SEIS ESTRELLAS 2X10 RER</t>
  </si>
  <si>
    <t>8505127</t>
  </si>
  <si>
    <t>PECT. BORD. PENIT. SERP RER</t>
  </si>
  <si>
    <t>8505128</t>
  </si>
  <si>
    <t>PECT BORD PENIT SETRA BI</t>
  </si>
  <si>
    <t>8505129</t>
  </si>
  <si>
    <t>PECT. BORD. PENIT. ALAS SERP  BARG BI</t>
  </si>
  <si>
    <t>8505130</t>
  </si>
  <si>
    <t>PECT. ALAS DE CHOFER TVS 465-02 BI</t>
  </si>
  <si>
    <t>8505131</t>
  </si>
  <si>
    <t>PECT. ALAS BORD MOTORISTA TVS506-13 RER</t>
  </si>
  <si>
    <t>8505132</t>
  </si>
  <si>
    <t>PECT. ALAS CHOF+MECA+MOTOR TRIPLE</t>
  </si>
  <si>
    <t>8505133</t>
  </si>
  <si>
    <t>BASE ACRIL. 2 DOS ROMBOS CHICOS 3X6 RER</t>
  </si>
  <si>
    <t>8505134</t>
  </si>
  <si>
    <t>PECT. BORD LMGE GIMNASIA 2DO ANIO BI</t>
  </si>
  <si>
    <t>8505135</t>
  </si>
  <si>
    <t>PECT. BORD LMGE GIMNASIA 3ER ANIO BI</t>
  </si>
  <si>
    <t>8505136</t>
  </si>
  <si>
    <t>PECT. BORD LMGE GIMNASIA 4TO ANIO BI</t>
  </si>
  <si>
    <t>8505137</t>
  </si>
  <si>
    <t>PECT. BORD LMGE GIMNASIA 5TO ANIO BI</t>
  </si>
  <si>
    <t>8505138</t>
  </si>
  <si>
    <t>PECT. BORD LMGE GIMNASIA 6TO ANIO BI</t>
  </si>
  <si>
    <t>8505139</t>
  </si>
  <si>
    <t>PECT. BORD. B. VISIB. AUX. BI</t>
  </si>
  <si>
    <t>8505140</t>
  </si>
  <si>
    <t>PECT. BORD. B. VISIB. AUXILIAR 1 BI</t>
  </si>
  <si>
    <t>8505141</t>
  </si>
  <si>
    <t>PECT. BORD. B. VISIB. AUX. SEGUNDO BI</t>
  </si>
  <si>
    <t>8505142</t>
  </si>
  <si>
    <t>PECT. BORD. B. VISB. AUX. MAYOR BI</t>
  </si>
  <si>
    <t>8505149</t>
  </si>
  <si>
    <t>BASE ACRIL AUXILIAR MAYOR RER</t>
  </si>
  <si>
    <t>8505150</t>
  </si>
  <si>
    <t>8505151</t>
  </si>
  <si>
    <t>BASE ACRIL. 1 UN ROMBO CHICO 3X3 RER</t>
  </si>
  <si>
    <t>8505153</t>
  </si>
  <si>
    <t>BASE ACRIL. 3  ROMBOS CHICOS 8X RER</t>
  </si>
  <si>
    <t>8505154</t>
  </si>
  <si>
    <t>BASE ACRIL. AUXILIAR RER</t>
  </si>
  <si>
    <t>8505155</t>
  </si>
  <si>
    <t>BASE ACRIL. AUXILIAR 1ERA RER</t>
  </si>
  <si>
    <t>8505156</t>
  </si>
  <si>
    <t>PECT. BORD. AUXILIAR   11 BI</t>
  </si>
  <si>
    <t>8505157</t>
  </si>
  <si>
    <t>PECT. BORD. AUXILIAR PRIMERO    12 BI</t>
  </si>
  <si>
    <t>8505158</t>
  </si>
  <si>
    <t>PECT. BORD. AUXILIAR MAYOR BI</t>
  </si>
  <si>
    <t>8505159</t>
  </si>
  <si>
    <t>PECT. 1 ROMBO CHICO PLATEADO  BARG BI</t>
  </si>
  <si>
    <t>8505160</t>
  </si>
  <si>
    <t>PECT. 1 ROMBO CHICO DORADO BARG BI</t>
  </si>
  <si>
    <t>8505161</t>
  </si>
  <si>
    <t>BASE ACRIL. 1 UN ROMBO GRANDE RER</t>
  </si>
  <si>
    <t>8505162</t>
  </si>
  <si>
    <t>BASE ACRIL. 2 DOS ROMBOS GRANDES RER</t>
  </si>
  <si>
    <t>8505163</t>
  </si>
  <si>
    <t>PECT BI AUXILIAR BEIGE BI</t>
  </si>
  <si>
    <t>8505164</t>
  </si>
  <si>
    <t>PECT BI AUXILIAR PRIMERO BEIGE BI</t>
  </si>
  <si>
    <t>8505165</t>
  </si>
  <si>
    <t>PECT BI AUXILIAR SEGUNDO BEIGE BI</t>
  </si>
  <si>
    <t>8505166</t>
  </si>
  <si>
    <t>PECT BI AUXILIAR MAYOR BEIGE BI</t>
  </si>
  <si>
    <t>8505167</t>
  </si>
  <si>
    <t>PECT BORD SL 1 ESTR PLAT OF AYTE BI</t>
  </si>
  <si>
    <t>8505168</t>
  </si>
  <si>
    <t>PECT BORD SL 2 ESTR PLAT OF INSP BI</t>
  </si>
  <si>
    <t>8505169</t>
  </si>
  <si>
    <t>PECT BORD SL 3 ESTR PLAT OF PPAL BI</t>
  </si>
  <si>
    <t>8505170</t>
  </si>
  <si>
    <t>BASE ACRIL. 2 DOS BARRAS CURSO CADE RER</t>
  </si>
  <si>
    <t>8505171</t>
  </si>
  <si>
    <t>BASE ACRIL ROMBO GRANDE+SERRETA RER</t>
  </si>
  <si>
    <t>8505172</t>
  </si>
  <si>
    <t>BASE ACRIL DOS ROMBOS GRANDE Y SERRE RER</t>
  </si>
  <si>
    <t>8505173</t>
  </si>
  <si>
    <t>BASE ACRIL ROMBO+PALMA+SERRETA RER</t>
  </si>
  <si>
    <t>8505175</t>
  </si>
  <si>
    <t>PECT. BORD. AUXILIAR SUPERIOR BI</t>
  </si>
  <si>
    <t>8505176</t>
  </si>
  <si>
    <t>PECT BORD SL 1 ESTR DOR OF SUBINSP BI</t>
  </si>
  <si>
    <t>8505177</t>
  </si>
  <si>
    <t>PECT BORD SL 1 ESTR SERR DOR SCOMIS BI</t>
  </si>
  <si>
    <t>8505178</t>
  </si>
  <si>
    <t>PECT BORD SL 2 ESTR SERR DOR COMIS BI</t>
  </si>
  <si>
    <t>8505196</t>
  </si>
  <si>
    <t>PECT 2 ROMBOS CHICOS PLAT BARG BI</t>
  </si>
  <si>
    <t>8505200</t>
  </si>
  <si>
    <t>BASE CHALECO CHICA</t>
  </si>
  <si>
    <t>8505201</t>
  </si>
  <si>
    <t>PECT 3 SOL STA CRUZ RER</t>
  </si>
  <si>
    <t>8505202</t>
  </si>
  <si>
    <t>PECT 2 SOL STA CRUZ RER</t>
  </si>
  <si>
    <t>8505203</t>
  </si>
  <si>
    <t>PECT 1 SOL STA CRUZ RER</t>
  </si>
  <si>
    <t>8505204</t>
  </si>
  <si>
    <t>PECT 4 SOL STA CRUZ BI</t>
  </si>
  <si>
    <t>8505205</t>
  </si>
  <si>
    <t>PECT 1 SOL SUB ADJUTOR MENDOZA RER</t>
  </si>
  <si>
    <t>8505206</t>
  </si>
  <si>
    <t>PECT 2 SOL ADJUTOR MENDOZA RER</t>
  </si>
  <si>
    <t>8505207</t>
  </si>
  <si>
    <t>PECT 3 SOL ADJUTOR PRINCIPAL MENDO RER</t>
  </si>
  <si>
    <t>8505208</t>
  </si>
  <si>
    <t>PECT 2 SOL ADJUTOR MENDOZA BAJA VIS BI</t>
  </si>
  <si>
    <t>8505209</t>
  </si>
  <si>
    <t>PECT 1 SOL F/ AZUL Y SERR SUB ALCAID BI</t>
  </si>
  <si>
    <t>8505210</t>
  </si>
  <si>
    <t>PECT 3 SOL ADJUTOR PPAL MENDO BVIS BI</t>
  </si>
  <si>
    <t>8505211</t>
  </si>
  <si>
    <t>PECT 1 SOL SUB ADJUTOR MENDOZA B VIS BI</t>
  </si>
  <si>
    <t>8505215</t>
  </si>
  <si>
    <t>PECT BORD 1 SOL PLAT RG</t>
  </si>
  <si>
    <t>8505216</t>
  </si>
  <si>
    <t>PECT BORD 2 SOL PLAT RG</t>
  </si>
  <si>
    <t>8505217</t>
  </si>
  <si>
    <t>PECT BORD 3 SOL PLAT RG</t>
  </si>
  <si>
    <t>8505219</t>
  </si>
  <si>
    <t>NO USAR PECT BORD 2 ESTRELLAS ANTIG BARG</t>
  </si>
  <si>
    <t>8505220</t>
  </si>
  <si>
    <t>PECT BORD ESTRELLAS ANTIG BARG BI</t>
  </si>
  <si>
    <t>8505221</t>
  </si>
  <si>
    <t>PECT BORD ESTRELLAS ANTIG BAJA VIS  RER</t>
  </si>
  <si>
    <t>8505223</t>
  </si>
  <si>
    <t>PECT 1 ROMBO BASE NE PALMA CRIO INSP RER</t>
  </si>
  <si>
    <t>8505224</t>
  </si>
  <si>
    <t>PECT 1 ROMBO BASE FRAN PALMA C. INSP BI</t>
  </si>
  <si>
    <t>8505225</t>
  </si>
  <si>
    <t>PECT 1 ROMBO BASE FR PALMA BL C INSP BI</t>
  </si>
  <si>
    <t>8505233</t>
  </si>
  <si>
    <t>PECT 2 ROMBOS CHICOS 1 DOR Y 1 PLA  BI</t>
  </si>
  <si>
    <t>8505243</t>
  </si>
  <si>
    <t>PECT 3 ROMBO CHICOS OF. PPAL BARG BI</t>
  </si>
  <si>
    <t>8505250</t>
  </si>
  <si>
    <t>PECT. 3 ROMBO CHICOS DORADOS BARG BI</t>
  </si>
  <si>
    <t>8505262</t>
  </si>
  <si>
    <t>PECT 1 ROMBO Y SERRETA SUBCOMIS BARG BI</t>
  </si>
  <si>
    <t>8505263</t>
  </si>
  <si>
    <t>PECT. BORD VOLUNTARIO 1RA EJERCITO BI</t>
  </si>
  <si>
    <t>8505264</t>
  </si>
  <si>
    <t>PECT BORD VOLUNTARIO 2DA EJERCITO BI</t>
  </si>
  <si>
    <t>8505290</t>
  </si>
  <si>
    <t>PECT. 2 ROMBOS Y PALMA CRIO MY BI</t>
  </si>
  <si>
    <t>8505291</t>
  </si>
  <si>
    <t>PECT. COMISARIO PCIA. DE SA RER</t>
  </si>
  <si>
    <t>8505320</t>
  </si>
  <si>
    <t>INSIG BI RURAL CRIO INSP</t>
  </si>
  <si>
    <t>8505322</t>
  </si>
  <si>
    <t>PECT. BORD 5 ESTRELLAS ANTIG</t>
  </si>
  <si>
    <t>8505324</t>
  </si>
  <si>
    <t>INSIG BI RURAL CABO BI</t>
  </si>
  <si>
    <t>8505329</t>
  </si>
  <si>
    <t>PECT 2 ROMBOS DOR/PLA  SERR CRIO BARG BI</t>
  </si>
  <si>
    <t>8505330</t>
  </si>
  <si>
    <t>PECT. 3 ROMBOS Y SERRETA CRIO PPAL RER</t>
  </si>
  <si>
    <t>8505331</t>
  </si>
  <si>
    <t>PECT 2 ROMBOS DOR Y SERRETA COMISARIO BI</t>
  </si>
  <si>
    <t>8505367</t>
  </si>
  <si>
    <t>PECT. 3 ROMBOS Y PALMA  CRIO GRAL BI</t>
  </si>
  <si>
    <t>8505600</t>
  </si>
  <si>
    <t>PECT BORD MZA UMAR</t>
  </si>
  <si>
    <t>8505601</t>
  </si>
  <si>
    <t>INSIG BI CABO GRIS PENITE</t>
  </si>
  <si>
    <t>8505602</t>
  </si>
  <si>
    <t>INSIG BI SUB AYUDANTE PENIT</t>
  </si>
  <si>
    <t>8505603</t>
  </si>
  <si>
    <t>INSIG BI SUB OFICIAL AYUDANTE PENIT</t>
  </si>
  <si>
    <t>8505604</t>
  </si>
  <si>
    <t>INSIG BI SUB OFICIAL AUXILIAR PENIT</t>
  </si>
  <si>
    <t>8505605</t>
  </si>
  <si>
    <t>INSIG BI SUB OFICIAL PRIMERA PENIT</t>
  </si>
  <si>
    <t>8505606</t>
  </si>
  <si>
    <t>INSIG BI SUBOFICIAL PRINCIPAL PENIT</t>
  </si>
  <si>
    <t>8505607</t>
  </si>
  <si>
    <t>INSIG BI SUB OFICIAL MAYOR PENIT BI</t>
  </si>
  <si>
    <t>8505688</t>
  </si>
  <si>
    <t>VISERA BORD ORO SUB COMISARIO/COMIS DG</t>
  </si>
  <si>
    <t>8505689</t>
  </si>
  <si>
    <t>VISERA BORD ORO CRIO. INSPECTOR DG</t>
  </si>
  <si>
    <t>8505690</t>
  </si>
  <si>
    <t>VISERA BORD ORO CRIO. GENERAL DG</t>
  </si>
  <si>
    <t>8505691</t>
  </si>
  <si>
    <t>VISERA BORD ORO JEFE SUP  STA CRUZ DG</t>
  </si>
  <si>
    <t>8505692</t>
  </si>
  <si>
    <t>VISERA LISA NEGRA RER</t>
  </si>
  <si>
    <t>8505693</t>
  </si>
  <si>
    <t>VISERA BORD ORO P.S.A.</t>
  </si>
  <si>
    <t>8505701</t>
  </si>
  <si>
    <t>INSIG BI CABO BI       AZUL/AMARILLO</t>
  </si>
  <si>
    <t>8505702</t>
  </si>
  <si>
    <t>INSIG BI CABO PRIMERO BI  AZUL/AMARILLO</t>
  </si>
  <si>
    <t>8505703</t>
  </si>
  <si>
    <t>INSIG BI SARGENTO BI      AZUL/AMARILLO</t>
  </si>
  <si>
    <t>8505704</t>
  </si>
  <si>
    <t>INSIG BI SARGENTO PRIMERO  AZUL/AMARILLO</t>
  </si>
  <si>
    <t>8505705</t>
  </si>
  <si>
    <t>INSIG BI SARGENTO AYUDANTE AZUL/AMARILLO</t>
  </si>
  <si>
    <t>8505706</t>
  </si>
  <si>
    <t>INSIG BI SUB OFICIAL PPAL AZUL/AMARILLO</t>
  </si>
  <si>
    <t>8505707</t>
  </si>
  <si>
    <t>INSIG BI SUB OFICIAL MAYOR AZUL/AMARILLO</t>
  </si>
  <si>
    <t>8505708</t>
  </si>
  <si>
    <t>INSIG BI CABO BEIGE BI</t>
  </si>
  <si>
    <t>8505709</t>
  </si>
  <si>
    <t>INSIG BI CABO PRIMERO BEIGE BI</t>
  </si>
  <si>
    <t>8505710</t>
  </si>
  <si>
    <t>INSIG BI SARGENTO BEIGE BI</t>
  </si>
  <si>
    <t>8505711</t>
  </si>
  <si>
    <t>INSIG BI SARGENTO PRIMERO BEIGE BI</t>
  </si>
  <si>
    <t>8505712</t>
  </si>
  <si>
    <t>INSIG BI SARGENTO AYUDANTE BEIGE BI</t>
  </si>
  <si>
    <t>8505713</t>
  </si>
  <si>
    <t>INSIG BI SUB OF PPAL BEIGE BI</t>
  </si>
  <si>
    <t>8505714</t>
  </si>
  <si>
    <t>INSIG BI SUB OF MAYOR BEIGE BI</t>
  </si>
  <si>
    <t>8505789</t>
  </si>
  <si>
    <t>PECT. BORD. AUXILIAR SEGUNDO BI</t>
  </si>
  <si>
    <t>8505809</t>
  </si>
  <si>
    <t>PECT BORD SANTA FE CDO RADIO ELECTR RER</t>
  </si>
  <si>
    <t>8505810</t>
  </si>
  <si>
    <t>PECT BORD PROVINCIA SANTA FE RER</t>
  </si>
  <si>
    <t>8505820</t>
  </si>
  <si>
    <t>BARBIJO CORDON NEGRO AZZ</t>
  </si>
  <si>
    <t>8505821</t>
  </si>
  <si>
    <t>BARBIJO CHAROLADO NEGRO LISO ESC</t>
  </si>
  <si>
    <t>8505822</t>
  </si>
  <si>
    <t>BARBIJO CHAROLADO NEGRO CON SOUTACH ESC</t>
  </si>
  <si>
    <t>8505823</t>
  </si>
  <si>
    <t>BARBIJO CORDON DORADO AZZ</t>
  </si>
  <si>
    <t>8505824</t>
  </si>
  <si>
    <t>BARBIJO CORDON BICOLOR RER</t>
  </si>
  <si>
    <t>8505825</t>
  </si>
  <si>
    <t>BARBIJO RIP REV. PLISADO AZUL NOCHE</t>
  </si>
  <si>
    <t>8505826</t>
  </si>
  <si>
    <t>BARBIJO TAPABOCA RIP REV. CAMU</t>
  </si>
  <si>
    <t>8505827</t>
  </si>
  <si>
    <t>BARBIJO BAT REV. PLISADO CELESTE</t>
  </si>
  <si>
    <t>8505838</t>
  </si>
  <si>
    <t>PECT. BORD. CATACPOL TIRO TACTICO BI</t>
  </si>
  <si>
    <t>8507002</t>
  </si>
  <si>
    <t>TIRO SABLE CUERO 1041 TB</t>
  </si>
  <si>
    <t>8508065</t>
  </si>
  <si>
    <t>PINTURA ENMASCARAR RER</t>
  </si>
  <si>
    <t>8508121</t>
  </si>
  <si>
    <t>LUSTRE CREMA CUERO 60/14001 RER</t>
  </si>
  <si>
    <t>850812160</t>
  </si>
  <si>
    <t>8508132</t>
  </si>
  <si>
    <t>CREMA PARA BORCEGUIES RER</t>
  </si>
  <si>
    <t>850814110</t>
  </si>
  <si>
    <t>LUSTRE REST 100/14001 RER</t>
  </si>
  <si>
    <t>850822000</t>
  </si>
  <si>
    <t>LUSTRE ESPONJA SILIC22022 RER</t>
  </si>
  <si>
    <t>8508507</t>
  </si>
  <si>
    <t>LUSTRE IMPERMEABLE 120/5007 RER</t>
  </si>
  <si>
    <t>850850712</t>
  </si>
  <si>
    <t>8509729</t>
  </si>
  <si>
    <t>DRAGONA DORADA AZZ</t>
  </si>
  <si>
    <t>8511115</t>
  </si>
  <si>
    <t>METAL SILBATO PLASTICO NEGRO RER</t>
  </si>
  <si>
    <t>8511421</t>
  </si>
  <si>
    <t>CACHAS BROWNING HI-POWER 10421 KAE</t>
  </si>
  <si>
    <t>8511446</t>
  </si>
  <si>
    <t>CACHAS ANATOMICAS TAURUS KAE</t>
  </si>
  <si>
    <t>8511522</t>
  </si>
  <si>
    <t>CACHAS ANATOMICAS BERSA  10442 RER</t>
  </si>
  <si>
    <t>8511744</t>
  </si>
  <si>
    <t>CACHAS 11.25 BALLESTER  10431 RER</t>
  </si>
  <si>
    <t>8513001</t>
  </si>
  <si>
    <t>KIT P/LIMPIEZA RRD ESCOPETA KAE</t>
  </si>
  <si>
    <t>8513012</t>
  </si>
  <si>
    <t>CARGADOR BHP 10012 RER</t>
  </si>
  <si>
    <t>8513160</t>
  </si>
  <si>
    <t>LUBRILINA KIT BAQUETA ESCPOP/CEPILLO MAL</t>
  </si>
  <si>
    <t>8513173</t>
  </si>
  <si>
    <t>8513174</t>
  </si>
  <si>
    <t>KIT DE LIMPIEZA LUBRI 50CC + BAQT9MM MAL</t>
  </si>
  <si>
    <t>8513175</t>
  </si>
  <si>
    <t>BAQUETA GRUESO CALIBRE 8 1002 KAE</t>
  </si>
  <si>
    <t>8513224</t>
  </si>
  <si>
    <t>KIT DE LIMPIEZA KRICO  - BARALDO - RER</t>
  </si>
  <si>
    <t>8513243</t>
  </si>
  <si>
    <t>CARGADOR CORTO BROW  10011 RER</t>
  </si>
  <si>
    <t>8513244</t>
  </si>
  <si>
    <t>CARGADOR BERSA THUNDER 10070 RER</t>
  </si>
  <si>
    <t>8513245</t>
  </si>
  <si>
    <t>CARGADOR TAURUS 10023 RER</t>
  </si>
  <si>
    <t>8513303</t>
  </si>
  <si>
    <t>PANIO P LIMPIAR ARMA CAL 38 AL 45 KAE</t>
  </si>
  <si>
    <t>8513405</t>
  </si>
  <si>
    <t>KIT DE LIMPIEZA KRICO 51405 RER</t>
  </si>
  <si>
    <t>8515001</t>
  </si>
  <si>
    <t>CORBATA COLEGIAL ESCOSESA RER</t>
  </si>
  <si>
    <t>8515004</t>
  </si>
  <si>
    <t>CORBATIN LMGE RER</t>
  </si>
  <si>
    <t>8515180</t>
  </si>
  <si>
    <t>LUBRICANTE PARA ARMAS MAL</t>
  </si>
  <si>
    <t>8515181</t>
  </si>
  <si>
    <t>SET 2 CEPILLOS DE LIMPIEZA DE ARMAS RER</t>
  </si>
  <si>
    <t>8515746</t>
  </si>
  <si>
    <t>CORBATA UNIFORME AZUL JLC</t>
  </si>
  <si>
    <t>8515747</t>
  </si>
  <si>
    <t>CORBATA BEIGE UNIFORME JLC</t>
  </si>
  <si>
    <t>8515748</t>
  </si>
  <si>
    <t>CORBATA UNIFORME NEGRO JLC</t>
  </si>
  <si>
    <t>8515749</t>
  </si>
  <si>
    <t>CORBATA UNIFORME MARRON JLC</t>
  </si>
  <si>
    <t>8515760</t>
  </si>
  <si>
    <t>CORBATA UNIFORME GRIS JLC</t>
  </si>
  <si>
    <t>8516000</t>
  </si>
  <si>
    <t>POLAINAS RER</t>
  </si>
  <si>
    <t>8517000</t>
  </si>
  <si>
    <t>GUANTES TERMICOS NEGRO RER</t>
  </si>
  <si>
    <t>8517001</t>
  </si>
  <si>
    <t>GUANTES TERMICOS VERDE RER</t>
  </si>
  <si>
    <t>MENDOZA</t>
  </si>
  <si>
    <t>8517004</t>
  </si>
  <si>
    <t>GUANTES MECHANIX MPACT3</t>
  </si>
  <si>
    <t>8517035</t>
  </si>
  <si>
    <t>GUANTES TINSULATE</t>
  </si>
  <si>
    <t>8517050</t>
  </si>
  <si>
    <t>GUANTES POLAR NEGRO RER</t>
  </si>
  <si>
    <t>8517051</t>
  </si>
  <si>
    <t>GUANTE LANA SIN DEDO NEGRO RER</t>
  </si>
  <si>
    <t>8517103</t>
  </si>
  <si>
    <t>GUANTES CABRITILLA 6/14 RER</t>
  </si>
  <si>
    <t>851710307</t>
  </si>
  <si>
    <t>GUANTES CABRETILLA 07</t>
  </si>
  <si>
    <t>851710308</t>
  </si>
  <si>
    <t>GUANTES CABRETILLA 8</t>
  </si>
  <si>
    <t>851710309</t>
  </si>
  <si>
    <t>GUANTES CABRETILLA 9</t>
  </si>
  <si>
    <t>851710310</t>
  </si>
  <si>
    <t>GUANTES CABRETILLA 10</t>
  </si>
  <si>
    <t>851710375</t>
  </si>
  <si>
    <t>GUANTES CABRETILLA 7.5</t>
  </si>
  <si>
    <t>851710385</t>
  </si>
  <si>
    <t>GUANTES CABRETILLA 8.5</t>
  </si>
  <si>
    <t>851710395</t>
  </si>
  <si>
    <t>GUANTES CABRETILLA 9.5</t>
  </si>
  <si>
    <t>8517104</t>
  </si>
  <si>
    <t>GUANTES TERMICOS BLANCO RER</t>
  </si>
  <si>
    <t>8517110</t>
  </si>
  <si>
    <t>GUANTES COMBATE DEDOS  5 ABIERTOS RER</t>
  </si>
  <si>
    <t>8517235</t>
  </si>
  <si>
    <t>GUANTES BLANCOS LMGE RER</t>
  </si>
  <si>
    <t>8517300</t>
  </si>
  <si>
    <t>GUANTES MOTEADOS PRENTEX RER</t>
  </si>
  <si>
    <t>8517408</t>
  </si>
  <si>
    <t>GUANTES CAMUFLADOS RER</t>
  </si>
  <si>
    <t>8517900</t>
  </si>
  <si>
    <t>8517901</t>
  </si>
  <si>
    <t>8517902</t>
  </si>
  <si>
    <t>8517904</t>
  </si>
  <si>
    <t>8517905</t>
  </si>
  <si>
    <t>8517907</t>
  </si>
  <si>
    <t>GUANTE TACTICO NEGRO C/DEDO Y PROT RER</t>
  </si>
  <si>
    <t>8518000</t>
  </si>
  <si>
    <t>CORBATA SARPOL JLC</t>
  </si>
  <si>
    <t>8518011</t>
  </si>
  <si>
    <t>MASCARA NEOPRENE RERDA RER</t>
  </si>
  <si>
    <t>8518012</t>
  </si>
  <si>
    <t>MASCARA NEOPRENE MOTO RER</t>
  </si>
  <si>
    <t>8518013</t>
  </si>
  <si>
    <t>MASCARA NEOPRENE PASAMONTA¥A RER</t>
  </si>
  <si>
    <t>8518014</t>
  </si>
  <si>
    <t>MASCARA BALACLAVA 1RA PIEL 8088-1,2/3</t>
  </si>
  <si>
    <t>8518015</t>
  </si>
  <si>
    <t>MASCARA NEOPRENE BARBIJO RER</t>
  </si>
  <si>
    <t>8518016</t>
  </si>
  <si>
    <t>MASCARA FACIAL MALLA CH NEG CALAVERA RER</t>
  </si>
  <si>
    <t>8518017</t>
  </si>
  <si>
    <t>MASCARA FACIAL MALLA M NEGRA RER</t>
  </si>
  <si>
    <t>8518018</t>
  </si>
  <si>
    <t>MASCARA FACIAL MALLA XG NEGRA RER</t>
  </si>
  <si>
    <t>8518019</t>
  </si>
  <si>
    <t>MASCARA BARBIJO TELA NEG C CALAVERA RER</t>
  </si>
  <si>
    <t>8518159</t>
  </si>
  <si>
    <t>CUELLO POLAR NEGRO CON PECHERA RER</t>
  </si>
  <si>
    <t>8518300</t>
  </si>
  <si>
    <t>MASCARA PAINTBALL RER</t>
  </si>
  <si>
    <t>8518753</t>
  </si>
  <si>
    <t>CONJ MASCARA NEOPRENE Y GAFAS RER</t>
  </si>
  <si>
    <t>8518789</t>
  </si>
  <si>
    <t>CUELLO POLAR CON PECHERA RER</t>
  </si>
  <si>
    <t>8519021</t>
  </si>
  <si>
    <t>AEROSOL PEACE 110 GRS</t>
  </si>
  <si>
    <t>8519022</t>
  </si>
  <si>
    <t>AEROSOL GAS SMITH AND WESSON 22 GR MIN</t>
  </si>
  <si>
    <t>8519040</t>
  </si>
  <si>
    <t>AEROSOL FRANCES 40ML RER</t>
  </si>
  <si>
    <t>8519041</t>
  </si>
  <si>
    <t>AEROSOL GAS SABRE 150499 - 60 GRS AB</t>
  </si>
  <si>
    <t>8519042</t>
  </si>
  <si>
    <t>AEROSOL GAS SABRE 14 GRS AB</t>
  </si>
  <si>
    <t>8519043</t>
  </si>
  <si>
    <t>AEROSOL GAS A.P.G THE GUARD 450GR</t>
  </si>
  <si>
    <t>8519044</t>
  </si>
  <si>
    <t>AEROSOL GAS SABRE 150498 - 22GR. AB</t>
  </si>
  <si>
    <t>8519060</t>
  </si>
  <si>
    <t>AEROSOL GAS POLICE 60 ML RER</t>
  </si>
  <si>
    <t>851949714</t>
  </si>
  <si>
    <t>AEROSOL GAS SABRE 150497-14GRS</t>
  </si>
  <si>
    <t>851949822</t>
  </si>
  <si>
    <t>AEROSOL GAS SABRE 150498 - 22GR.</t>
  </si>
  <si>
    <t>AEROSOL GAS SABRE 150499 - 60 GRS</t>
  </si>
  <si>
    <t>8519500</t>
  </si>
  <si>
    <t>AEROSOL GAS SABRE 150500 - 120 GRS AB</t>
  </si>
  <si>
    <t>851950099</t>
  </si>
  <si>
    <t>AEROSOL GAS SABRE 150500 - 110 GRS</t>
  </si>
  <si>
    <t>8519502</t>
  </si>
  <si>
    <t>AEROSOL GAS SABRE LADY 22 GR RER</t>
  </si>
  <si>
    <t>8520000</t>
  </si>
  <si>
    <t>8520001</t>
  </si>
  <si>
    <t>LINTERNA 9 LED P10311 RER</t>
  </si>
  <si>
    <t>8520003</t>
  </si>
  <si>
    <t>LINTERNA T6-26 LED LATERAL ROJO/BCO 5547</t>
  </si>
  <si>
    <t>85200038</t>
  </si>
  <si>
    <t>LINTERNA 7781</t>
  </si>
  <si>
    <t>8520004</t>
  </si>
  <si>
    <t>PUNTERO LASER 4409</t>
  </si>
  <si>
    <t>8520005</t>
  </si>
  <si>
    <t>LINTERNA W.LIGHT 5590 CARG/SOLAR/USB/BRU</t>
  </si>
  <si>
    <t>8520006</t>
  </si>
  <si>
    <t>KIT SOS SUPERV TARJ MULT+PINZA+SILBATO</t>
  </si>
  <si>
    <t>8520007</t>
  </si>
  <si>
    <t>LAPICERA TACTICA KUBOTAN 5553  4236</t>
  </si>
  <si>
    <t>8520008</t>
  </si>
  <si>
    <t>LINTERNA TORCH 4059</t>
  </si>
  <si>
    <t>8520009</t>
  </si>
  <si>
    <t>CAMPING FAROL WOLL 009 RER</t>
  </si>
  <si>
    <t>8520010</t>
  </si>
  <si>
    <t>CAMPING FAROL WOOL 010 RER</t>
  </si>
  <si>
    <t>8520011</t>
  </si>
  <si>
    <t>CAMPING FAROL WOLL 011 RER</t>
  </si>
  <si>
    <t>8520012</t>
  </si>
  <si>
    <t>LINERNA TORCH 4037-4039</t>
  </si>
  <si>
    <t>8520013</t>
  </si>
  <si>
    <t>LINTERNA 4048-4051C CAJA</t>
  </si>
  <si>
    <t>8520014</t>
  </si>
  <si>
    <t>8520015</t>
  </si>
  <si>
    <t>LINTERNA SPINIT MEGA 101/W 185015/0 RER</t>
  </si>
  <si>
    <t>8520016</t>
  </si>
  <si>
    <t>LINTERNA USB ZOOM/IMAN/LED LATERAL 5546-</t>
  </si>
  <si>
    <t>8520017</t>
  </si>
  <si>
    <t>MIRA CON LUZ, LASER Y CABLE 4490/4495</t>
  </si>
  <si>
    <t>8520018</t>
  </si>
  <si>
    <t>LINTERNA TORCH 4060-4061</t>
  </si>
  <si>
    <t>8520019</t>
  </si>
  <si>
    <t>LINTERNA 311 FLASJLIGTH 4733-4737</t>
  </si>
  <si>
    <t>8520020</t>
  </si>
  <si>
    <t>LINTERNA 1932-1936</t>
  </si>
  <si>
    <t>8520021</t>
  </si>
  <si>
    <t>8520022</t>
  </si>
  <si>
    <t>LINTERNA USB BATTERY 4626-4629</t>
  </si>
  <si>
    <t>8520023</t>
  </si>
  <si>
    <t>LINTERNA ACB9023C</t>
  </si>
  <si>
    <t>8520024</t>
  </si>
  <si>
    <t>LINTERNA USB 18650 BATTERY 4629</t>
  </si>
  <si>
    <t>8520025</t>
  </si>
  <si>
    <t>LINTERNA RECARG.LED LATERAL C/CAJA 5543-</t>
  </si>
  <si>
    <t>8520026</t>
  </si>
  <si>
    <t>LINTERNA FRONTAL LED BICI BLIST 7026 LUG</t>
  </si>
  <si>
    <t>8520027</t>
  </si>
  <si>
    <t>LNTERNA TORCH 4067-4069</t>
  </si>
  <si>
    <t>8520028</t>
  </si>
  <si>
    <t>LINTERNA TORCH 4064</t>
  </si>
  <si>
    <t>8520029</t>
  </si>
  <si>
    <t>LINTERNA TORCH 4030-4033</t>
  </si>
  <si>
    <t>8520030</t>
  </si>
  <si>
    <t>LINTERNA USB C/ZOOM E IMAN 9/10X2,5 3 40</t>
  </si>
  <si>
    <t>8520031</t>
  </si>
  <si>
    <t>LINTERNA 4045-4047</t>
  </si>
  <si>
    <t>8520032</t>
  </si>
  <si>
    <t>LINTERNA 1941-1945</t>
  </si>
  <si>
    <t>8520033</t>
  </si>
  <si>
    <t>LINTERNA 1946-1950</t>
  </si>
  <si>
    <t>8520034</t>
  </si>
  <si>
    <t>LINTERNA 7745</t>
  </si>
  <si>
    <t>8520035</t>
  </si>
  <si>
    <t>LINTERNA 7776</t>
  </si>
  <si>
    <t>8520036</t>
  </si>
  <si>
    <t>LINTERNA 7750</t>
  </si>
  <si>
    <t>8520037</t>
  </si>
  <si>
    <t>LINTERNA USB 4037-4039</t>
  </si>
  <si>
    <t>8520040</t>
  </si>
  <si>
    <t>BLANCO P/ TIRO PUNTERIA METALICO 5BL RER</t>
  </si>
  <si>
    <t>8520042</t>
  </si>
  <si>
    <t>BINOCULAR SHILBA 12X50</t>
  </si>
  <si>
    <t>8520045</t>
  </si>
  <si>
    <t>LINTERNA RECARG USB C/ZOOM11CM 4050/5544</t>
  </si>
  <si>
    <t>8520050</t>
  </si>
  <si>
    <t>LINTERNA LUZ TRAS USB 3 COLORES 05 LUG</t>
  </si>
  <si>
    <t>8520051</t>
  </si>
  <si>
    <t>LINTERNA 4048+CABLE USB+ROMPEVIDRIO</t>
  </si>
  <si>
    <t>8520052</t>
  </si>
  <si>
    <t>LINTERNA 4068 S/ACCESORIOS (8520051)</t>
  </si>
  <si>
    <t>8520059</t>
  </si>
  <si>
    <t>LINTERNA USB 3/4HS CZOOM 11X2,5CM 3FUNC</t>
  </si>
  <si>
    <t>8520060</t>
  </si>
  <si>
    <t>LINTERNA USB 3/4 HS C/ZOOM 10X2,3CM 3F 4</t>
  </si>
  <si>
    <t>8520064</t>
  </si>
  <si>
    <t>LINTERNA 12.5X3CM CAJA VERDE4064+PILAUSB</t>
  </si>
  <si>
    <t>8520065</t>
  </si>
  <si>
    <t>LINTERNA ESTENSIBLE FELXIBLE RER</t>
  </si>
  <si>
    <t>8520066</t>
  </si>
  <si>
    <t>LINTERNA USB ORF</t>
  </si>
  <si>
    <t>8520067</t>
  </si>
  <si>
    <t>LINTERNA 4067 ZOOM R/VIDRIO + CABLE USB</t>
  </si>
  <si>
    <t>8520068</t>
  </si>
  <si>
    <t>LINTERNA C/ ZOOM S/ACC (8520064)12.5X3</t>
  </si>
  <si>
    <t>8520070</t>
  </si>
  <si>
    <t>LINTERNA 4067 ZOOM SIN /ACC (8520067)</t>
  </si>
  <si>
    <t>8520100</t>
  </si>
  <si>
    <t>CARGADOR USB PARA BATERIAS/PILAS</t>
  </si>
  <si>
    <t>8520101</t>
  </si>
  <si>
    <t>8520102</t>
  </si>
  <si>
    <t>NAVAJA 21CM MASTIFF/GRIS DA162  9-11/3</t>
  </si>
  <si>
    <t>8520103</t>
  </si>
  <si>
    <t>NAVAJA CORTAPLUMA 17 FUNCIONES 4209-4211</t>
  </si>
  <si>
    <t>8520104</t>
  </si>
  <si>
    <t>NAVAJA BROWNING NEGRA 10B LUG</t>
  </si>
  <si>
    <t>8520105</t>
  </si>
  <si>
    <t>LINTERNA SPINIT METAL. 2AA 185105 RER</t>
  </si>
  <si>
    <t>8520106</t>
  </si>
  <si>
    <t>LINTERNA RECARGABLE CHICA RER</t>
  </si>
  <si>
    <t>8520110</t>
  </si>
  <si>
    <t>NAVAJA 21CM BUCK/GRIS DA139   10-3/3</t>
  </si>
  <si>
    <t>85201100</t>
  </si>
  <si>
    <t>NAVAJA 20 CM</t>
  </si>
  <si>
    <t>8520111</t>
  </si>
  <si>
    <t>NAVAJA 8 CM METALICA NEGRA M52</t>
  </si>
  <si>
    <t>8520115</t>
  </si>
  <si>
    <t>LINTERNA SPINIT METALB AA 5202B NEG RER</t>
  </si>
  <si>
    <t>8520116</t>
  </si>
  <si>
    <t>CAMPING PACK GEL FUEL IMP</t>
  </si>
  <si>
    <t>CAMPING</t>
  </si>
  <si>
    <t>8520118</t>
  </si>
  <si>
    <t>LINTERNA C/ZOOM Y USB 5545 LUZ LATERAL 2</t>
  </si>
  <si>
    <t>8520119</t>
  </si>
  <si>
    <t>LINTERNA MULTIFUNCION DAMA</t>
  </si>
  <si>
    <t>8520120</t>
  </si>
  <si>
    <t>LINTERNA MULTIFUNCION CON LASER RER</t>
  </si>
  <si>
    <t>8520121</t>
  </si>
  <si>
    <t>BRAZALETE PARACAIDISTA CUERDA</t>
  </si>
  <si>
    <t>8520122</t>
  </si>
  <si>
    <t>MOSQUETON CON TRABA ROSCA</t>
  </si>
  <si>
    <t>8520123</t>
  </si>
  <si>
    <t>MOSQUETON CON SOGA</t>
  </si>
  <si>
    <t>8520124</t>
  </si>
  <si>
    <t>8520125</t>
  </si>
  <si>
    <t>PEDERNAL MAGNESIO INICIADOR DE FUEGO LUG</t>
  </si>
  <si>
    <t>8520126</t>
  </si>
  <si>
    <t>PEDERNAL GRANDE RER</t>
  </si>
  <si>
    <t>8520127</t>
  </si>
  <si>
    <t>PEDERNAL MEDIANO RER</t>
  </si>
  <si>
    <t>8520130</t>
  </si>
  <si>
    <t>LINTERNA RECARGABLE CAJA NEGRA RER</t>
  </si>
  <si>
    <t>8520141</t>
  </si>
  <si>
    <t>LINTERNA 9 LED FLASHLIGTH RER</t>
  </si>
  <si>
    <t>8520142</t>
  </si>
  <si>
    <t>BALIZA KIT X 3  C/ BASE</t>
  </si>
  <si>
    <t>8520143</t>
  </si>
  <si>
    <t>BALIZA KIT X 6 SOLES</t>
  </si>
  <si>
    <t>8520144</t>
  </si>
  <si>
    <t>BALIZA MINI MULTIUSO USB</t>
  </si>
  <si>
    <t>8520155</t>
  </si>
  <si>
    <t>LINTERNA RECARGABLE RER</t>
  </si>
  <si>
    <t>8520162</t>
  </si>
  <si>
    <t>NAVAJA 21CM MASTIFF/CAMUFLADA   14-28/3</t>
  </si>
  <si>
    <t>8520165</t>
  </si>
  <si>
    <t>8520166</t>
  </si>
  <si>
    <t>LINTERNA FLUOR SUMERGIBLE RECARGABLE IMP</t>
  </si>
  <si>
    <t>8520175</t>
  </si>
  <si>
    <t>LINTERNA RECARGABLE CAJA VERDE RER</t>
  </si>
  <si>
    <t>8520190</t>
  </si>
  <si>
    <t>NAVAJA 28 CM M MADERA 2 TRAAS CAJA LUG</t>
  </si>
  <si>
    <t>8520209</t>
  </si>
  <si>
    <t>CORTAPLUMAS 17 FUNCIONES 4209</t>
  </si>
  <si>
    <t>8520220</t>
  </si>
  <si>
    <t>8520222</t>
  </si>
  <si>
    <t>GANCHO MOSQUETON MULTIFUNCION LUG</t>
  </si>
  <si>
    <t>8520230</t>
  </si>
  <si>
    <t>NAVAJA MARIPOSA GRIS  19-12/3</t>
  </si>
  <si>
    <t>8520264</t>
  </si>
  <si>
    <t>LINTERNA CON ZOOM IMP</t>
  </si>
  <si>
    <t>8520265</t>
  </si>
  <si>
    <t>LINTERNA C/ZOOM 3X10CM 3F IMP 4733</t>
  </si>
  <si>
    <t>8520271</t>
  </si>
  <si>
    <t>LINTERNA BASTON RECARGABLE RER</t>
  </si>
  <si>
    <t>8520282</t>
  </si>
  <si>
    <t>MANOPLA ACERO DEFENSA LUG</t>
  </si>
  <si>
    <t>8520290</t>
  </si>
  <si>
    <t>LINTERNA RECARGABLE POWER STYLE 180 RER</t>
  </si>
  <si>
    <t>8520305</t>
  </si>
  <si>
    <t>CAMPING CADENA CERRUCHO P CORTAR</t>
  </si>
  <si>
    <t>8520306</t>
  </si>
  <si>
    <t>LINTERNA SOOYA RER</t>
  </si>
  <si>
    <t>8520372</t>
  </si>
  <si>
    <t>NAVAJA 23 CM C/ CERRUCHO Y ESTUCHE LUG</t>
  </si>
  <si>
    <t>8520398</t>
  </si>
  <si>
    <t>LINTERNA POLICE RECARGABLE IMP</t>
  </si>
  <si>
    <t>8520407</t>
  </si>
  <si>
    <t>LINTERNA DOITE  VISERA 183407/LHL00 RER</t>
  </si>
  <si>
    <t>8520419</t>
  </si>
  <si>
    <t>SOGA PARA REMOLQUE LUG</t>
  </si>
  <si>
    <t>8520458</t>
  </si>
  <si>
    <t>8520506</t>
  </si>
  <si>
    <t>GANCHO MOSQUETON CLIP LUG</t>
  </si>
  <si>
    <t>8520507</t>
  </si>
  <si>
    <t>GANCHO MOSQUETON ROSCA LUG</t>
  </si>
  <si>
    <t>8520508</t>
  </si>
  <si>
    <t>MOSQUETON POLIM PLASTICO MOLLE NEGRO RER</t>
  </si>
  <si>
    <t>8520509</t>
  </si>
  <si>
    <t>MOSQUETON POLIM PLASTICO MOLLE GRIS RER</t>
  </si>
  <si>
    <t>8520510</t>
  </si>
  <si>
    <t>MOSQUETON POLIM PLASTICO MOLLE NARAN RER</t>
  </si>
  <si>
    <t>8520511</t>
  </si>
  <si>
    <t>8520512</t>
  </si>
  <si>
    <t>MOSQUETON ACERO 9CM X 9MM</t>
  </si>
  <si>
    <t>8520513</t>
  </si>
  <si>
    <t>MOSQUETON ACERO/GRIS 9CM C/ROSCA 5565/4</t>
  </si>
  <si>
    <t>8520517</t>
  </si>
  <si>
    <t>NAVAJA MARIPOSA CAMUFLADA 5517 LUG-023/3</t>
  </si>
  <si>
    <t>8520546</t>
  </si>
  <si>
    <t>LINTERNA RECARGABLE POLICE RER</t>
  </si>
  <si>
    <t>8520556</t>
  </si>
  <si>
    <t>LINTERNA RECARGABLE CON BRUJULA RER</t>
  </si>
  <si>
    <t>8520620</t>
  </si>
  <si>
    <t>PILA RECARGABLE 3.7 V RER</t>
  </si>
  <si>
    <t>8520623</t>
  </si>
  <si>
    <t>PILAS AAA POR TRES RER</t>
  </si>
  <si>
    <t>8520624</t>
  </si>
  <si>
    <t>PILAS AAA POR 2 (PAR)</t>
  </si>
  <si>
    <t>8520625</t>
  </si>
  <si>
    <t>LINTERNA NHL 8625 RER</t>
  </si>
  <si>
    <t>8520626</t>
  </si>
  <si>
    <t>PILA 18650 BATERIA REUT.VERDE USB 4526</t>
  </si>
  <si>
    <t>8520629</t>
  </si>
  <si>
    <t>PILA 18650 BATERIA REUTILIZABLE</t>
  </si>
  <si>
    <t>8520690</t>
  </si>
  <si>
    <t>BINOCULARES PROFESIONAL 25X60 L690 LUG</t>
  </si>
  <si>
    <t>8520691</t>
  </si>
  <si>
    <t>BINOCULARES TASCO 8X21CM 0955</t>
  </si>
  <si>
    <t>8520710</t>
  </si>
  <si>
    <t>8520726</t>
  </si>
  <si>
    <t>LINTERNA PARA CICLISTAS USB 4726</t>
  </si>
  <si>
    <t>8520728</t>
  </si>
  <si>
    <t>LINTERNA C/ZOOM S/ACC (8520729)</t>
  </si>
  <si>
    <t>8520729</t>
  </si>
  <si>
    <t>LINTERNA C/ZOOM 13X3,2CM 3F 4729+PILAUSB</t>
  </si>
  <si>
    <t>8520733</t>
  </si>
  <si>
    <t>LINTERNA SOLART09 4863 BRUJULA/IMAN/ROMP</t>
  </si>
  <si>
    <t>8520738</t>
  </si>
  <si>
    <t>8520745</t>
  </si>
  <si>
    <t>LINTERNA POLICE + CABLE USB</t>
  </si>
  <si>
    <t>8520746</t>
  </si>
  <si>
    <t>LINTERNA POLICE 7745 S/ACC (8520745)</t>
  </si>
  <si>
    <t>8520750</t>
  </si>
  <si>
    <t>8520751</t>
  </si>
  <si>
    <t>LINTERNA 7750 ZOOM 3 FUNCIONES S/ACC (85</t>
  </si>
  <si>
    <t>8520776</t>
  </si>
  <si>
    <t>8520779</t>
  </si>
  <si>
    <t>LINTERNA 7779</t>
  </si>
  <si>
    <t>8520781</t>
  </si>
  <si>
    <t>LINTERNA C/CARGADOR 17.5X4CM 3F C/2 BAT</t>
  </si>
  <si>
    <t>8520802</t>
  </si>
  <si>
    <t>8520804</t>
  </si>
  <si>
    <t>NAVAJA 20 CM  ACERADA C/NEGRO LUG</t>
  </si>
  <si>
    <t>8520813</t>
  </si>
  <si>
    <t>NAVAJA COLUMBIA ESCORPION SAQUE RAPIDO 1</t>
  </si>
  <si>
    <t>8520814</t>
  </si>
  <si>
    <t>8520817</t>
  </si>
  <si>
    <t>LINTERNA RECARGABLE</t>
  </si>
  <si>
    <t>8520821</t>
  </si>
  <si>
    <t>NAVAJA 28  CM M MADERA C ESTUCHE LUG</t>
  </si>
  <si>
    <t>8520824</t>
  </si>
  <si>
    <t>PILA AAA 4 RER</t>
  </si>
  <si>
    <t>8520866</t>
  </si>
  <si>
    <t>NAVAJA MARIPOSA NEGRA 86B LUG</t>
  </si>
  <si>
    <t>8520925</t>
  </si>
  <si>
    <t>NAVAJA CUCHILLO CONVERTIB EN TARJETA LUG</t>
  </si>
  <si>
    <t>8520932</t>
  </si>
  <si>
    <t>LINTERNA 1932 ZOOM + CABLE USB</t>
  </si>
  <si>
    <t>8520936</t>
  </si>
  <si>
    <t>LINTERNA 1932 SIN CAJA+CABLE USB</t>
  </si>
  <si>
    <t>8520941</t>
  </si>
  <si>
    <t>LINTERNA 1941 C/ZOOM 800LUMENS+PILA USB</t>
  </si>
  <si>
    <t>8520942</t>
  </si>
  <si>
    <t>LINTERNA 19421-7776 800 LUMENS S/CAJA  (</t>
  </si>
  <si>
    <t>8520945</t>
  </si>
  <si>
    <t>LINTERNA 945</t>
  </si>
  <si>
    <t>8520946</t>
  </si>
  <si>
    <t>8520947</t>
  </si>
  <si>
    <t>LINTERNA 1946-7779 S/ACCESORIOS (8520946</t>
  </si>
  <si>
    <t>8520948</t>
  </si>
  <si>
    <t>LINTERNA 1946+CABLE CON ZOOM 14X3</t>
  </si>
  <si>
    <t>8520953</t>
  </si>
  <si>
    <t>HACHA TACTICA COLUMBIA LUG</t>
  </si>
  <si>
    <t>8520994</t>
  </si>
  <si>
    <t>LINTERNA NITROL LPA994 RER</t>
  </si>
  <si>
    <t>8520999</t>
  </si>
  <si>
    <t>CUBIERTOS PLEGABLE METAL LUG</t>
  </si>
  <si>
    <t>8521001</t>
  </si>
  <si>
    <t>CUCHILLO CON MANGO</t>
  </si>
  <si>
    <t>8521002</t>
  </si>
  <si>
    <t>CUCHILLO GERBER 18 CM RER</t>
  </si>
  <si>
    <t>8521013</t>
  </si>
  <si>
    <t>CUCHILLO COLUMBIA  001013 RER</t>
  </si>
  <si>
    <t>8521014</t>
  </si>
  <si>
    <t>CUCHILLO CON FUNDA VERDE 6 TK063 6-7,7/2</t>
  </si>
  <si>
    <t>8521015</t>
  </si>
  <si>
    <t>CUCHILLO DAGA</t>
  </si>
  <si>
    <t>8521021</t>
  </si>
  <si>
    <t>CUCHILLO M.NIETO 3001 11CM</t>
  </si>
  <si>
    <t>8521024</t>
  </si>
  <si>
    <t>8521029</t>
  </si>
  <si>
    <t>CUCHILLO CORTAPLUMAS UNITED</t>
  </si>
  <si>
    <t>8521030</t>
  </si>
  <si>
    <t>CUCHILLO CORTAPLUMAS COLUMBIA GOMA</t>
  </si>
  <si>
    <t>8521031</t>
  </si>
  <si>
    <t>CUCHILLO CORTAPLUMA BOKER/SMITH AND WESS</t>
  </si>
  <si>
    <t>8521032</t>
  </si>
  <si>
    <t>CUCHILLO CORTAPLUMA M-TECH  CAJA GR</t>
  </si>
  <si>
    <t>8521033</t>
  </si>
  <si>
    <t>CUCHILLO CORTAPLUMAS COLUMBIA CHICO</t>
  </si>
  <si>
    <t>8521034</t>
  </si>
  <si>
    <t>CUCHILLO CORTAPLUMA 7024/6 RER</t>
  </si>
  <si>
    <t>8521036</t>
  </si>
  <si>
    <t>CUCHILLO 30CM CAMU BOSQUE   16-305/3,6</t>
  </si>
  <si>
    <t>8521040</t>
  </si>
  <si>
    <t>8521042</t>
  </si>
  <si>
    <t>CUCHILLO 5082</t>
  </si>
  <si>
    <t>8521043</t>
  </si>
  <si>
    <t>CUCHILLO TARJETA</t>
  </si>
  <si>
    <t>8521045</t>
  </si>
  <si>
    <t>BRUJULA WATERDOG DC45-1</t>
  </si>
  <si>
    <t>8521046</t>
  </si>
  <si>
    <t>CUCHILLO CORTAPLUMA KNIVES</t>
  </si>
  <si>
    <t>8521050</t>
  </si>
  <si>
    <t>SET CUBIERTOS CAMPING RER</t>
  </si>
  <si>
    <t>8521060</t>
  </si>
  <si>
    <t>CUCHILLO CORTAPLUMA NAVAJA187 RER</t>
  </si>
  <si>
    <t>8521061</t>
  </si>
  <si>
    <t>CUCHILLO CORTAPLUMA GARBE</t>
  </si>
  <si>
    <t>8521062</t>
  </si>
  <si>
    <t>CUCHILLO CORTA PLUMA NAVAJA 305 RER</t>
  </si>
  <si>
    <t>8521063</t>
  </si>
  <si>
    <t>CUCHILLO 19CM KARAMBIT NEGRO 17/4,24</t>
  </si>
  <si>
    <t>8521064</t>
  </si>
  <si>
    <t>CUCHILLO CORTAPLUMA MULTIUSO RER</t>
  </si>
  <si>
    <t>8521100</t>
  </si>
  <si>
    <t>CUCHILLO COLUMBIA C/FUNDA RIGIDA IMP</t>
  </si>
  <si>
    <t>8521101</t>
  </si>
  <si>
    <t>CUCHILLO DOS COLORES</t>
  </si>
  <si>
    <t>8521102</t>
  </si>
  <si>
    <t>8521120</t>
  </si>
  <si>
    <t>CUCHILLO 23CM TACTICO PRC LUG</t>
  </si>
  <si>
    <t>8521129</t>
  </si>
  <si>
    <t>BOLIGRAFO CON CUCHILLO</t>
  </si>
  <si>
    <t>8521160</t>
  </si>
  <si>
    <t>MINI CUCHILLO COLG CUELLO FUNDA RIGI LUG</t>
  </si>
  <si>
    <t>8521290</t>
  </si>
  <si>
    <t>CUCHILLO 22 CM TACT C PCR Y ESTUCHE LUG</t>
  </si>
  <si>
    <t>8521300</t>
  </si>
  <si>
    <t>CUCHILLO NAVAJA SAMURAI 2000 RER</t>
  </si>
  <si>
    <t>8521301</t>
  </si>
  <si>
    <t>NAVAJA COLUMBIA SPIDER SAQUE RAPIDO IMP</t>
  </si>
  <si>
    <t>8521302</t>
  </si>
  <si>
    <t>NAVAJA GERBER GRIS Y NARANJA C/FUNDA IMP</t>
  </si>
  <si>
    <t>8521303</t>
  </si>
  <si>
    <t>8521304</t>
  </si>
  <si>
    <t>NAVAJA STRIDER KNIVES 352 IMP 0005</t>
  </si>
  <si>
    <t>8521305</t>
  </si>
  <si>
    <t>NAVAJA MULTIUSO IMP</t>
  </si>
  <si>
    <t>8521306</t>
  </si>
  <si>
    <t>NAVAJA SUREFIRE D38 5542 ROMPE VIDRIO IM</t>
  </si>
  <si>
    <t>8521374</t>
  </si>
  <si>
    <t>PINZA MULTIFUNCION ACU 37D LUG</t>
  </si>
  <si>
    <t>8521443</t>
  </si>
  <si>
    <t>CUCHILLO 23 CM TACTICO C / PRC LUG</t>
  </si>
  <si>
    <t>8521455</t>
  </si>
  <si>
    <t>CUCHILLO NAVAJA</t>
  </si>
  <si>
    <t>8521458</t>
  </si>
  <si>
    <t>CUCHILLO NAVAJA 27CM NF5458 LUG</t>
  </si>
  <si>
    <t>8521467</t>
  </si>
  <si>
    <t>CUCHILLO COLUMBIA NEGRO C/BRUJULA</t>
  </si>
  <si>
    <t>8521472</t>
  </si>
  <si>
    <t>CUCHILLO 26 CM TACTICO C FUNDA LUG</t>
  </si>
  <si>
    <t>8521498</t>
  </si>
  <si>
    <t>PINZA  MULTIFUNCION RER</t>
  </si>
  <si>
    <t>8521499</t>
  </si>
  <si>
    <t>PINZA MULTIFUNCION TRENTO 131499 AB</t>
  </si>
  <si>
    <t>8521551</t>
  </si>
  <si>
    <t>CUCHILLO 25 CM TACTICO M ROJO/GRIS LUG</t>
  </si>
  <si>
    <t>8521572</t>
  </si>
  <si>
    <t>CUCHILLO CORTAPLUMA TRENTO BUTTERFLY 572</t>
  </si>
  <si>
    <t>8521580</t>
  </si>
  <si>
    <t>CUCHILLO CAMI C/ESTUCHE MILITAR PRC LUG</t>
  </si>
  <si>
    <t>8521593</t>
  </si>
  <si>
    <t>CUCHILLO TRENTO COMMANDER 593</t>
  </si>
  <si>
    <t>8521660</t>
  </si>
  <si>
    <t>CUCHILLO 23 CM TACTICO M/METAL NEGRO LUG</t>
  </si>
  <si>
    <t>8521674</t>
  </si>
  <si>
    <t>CUCHILLO TRENTO COMAN BLACK ZYTEL 674 AB</t>
  </si>
  <si>
    <t>8521903</t>
  </si>
  <si>
    <t>CUCHILLO TRENTO ARMY STONEWASH</t>
  </si>
  <si>
    <t>8522001</t>
  </si>
  <si>
    <t>CORREAS DE AMARRE R01</t>
  </si>
  <si>
    <t>8522011</t>
  </si>
  <si>
    <t>RABIZA SIMPLE CON ABROJO IMP 1304</t>
  </si>
  <si>
    <t>8522012</t>
  </si>
  <si>
    <t>CORREA PAR REFLECTIVA LED ABROJ 43X3CM 4</t>
  </si>
  <si>
    <t>8522030</t>
  </si>
  <si>
    <t>RABIZA TACTICA REFORZADA C/HEBILLA 5641-</t>
  </si>
  <si>
    <t>8522101</t>
  </si>
  <si>
    <t>RABIZA EXTENSIBLE RETRACTIL 101RR FUN</t>
  </si>
  <si>
    <t>8522999</t>
  </si>
  <si>
    <t>RABIZA ANTIPERDIDA RAB-BROCHE/ABROJ EZ</t>
  </si>
  <si>
    <t>8523071</t>
  </si>
  <si>
    <t>CORTAPLUMAS CAMUFLADO 20 FNC LUG</t>
  </si>
  <si>
    <t>8523072</t>
  </si>
  <si>
    <t>CORTAPLUMAS 20 FNC CAMUFLADO C/NEGRO LUG</t>
  </si>
  <si>
    <t>8523073</t>
  </si>
  <si>
    <t>CORTAPLUMAS 20 FCN ROJO (SUIZO) LUG</t>
  </si>
  <si>
    <t>8525001</t>
  </si>
  <si>
    <t>SILBATO METALICO IMP</t>
  </si>
  <si>
    <t>8525576</t>
  </si>
  <si>
    <t>SILBATO PLASTICO NEGRO C/SOGA 5768-023/4</t>
  </si>
  <si>
    <t>8525999</t>
  </si>
  <si>
    <t>SILBATO METALICO 4CM C/SOGA 5764-032/4,4</t>
  </si>
  <si>
    <t>8549042</t>
  </si>
  <si>
    <t>AEROSOL POLICE 110 GRS RER</t>
  </si>
  <si>
    <t>8601008</t>
  </si>
  <si>
    <t>8612001</t>
  </si>
  <si>
    <t>BOLSA DE DORMIR CLASSIC 200 MIC</t>
  </si>
  <si>
    <t>8612002</t>
  </si>
  <si>
    <t>BOLSA DORMIR MUMMY 300 MIC</t>
  </si>
  <si>
    <t>8612006</t>
  </si>
  <si>
    <t>JARRA TERMICA 2.5 LTS 1006 MIC</t>
  </si>
  <si>
    <t>8612009</t>
  </si>
  <si>
    <t>8612051</t>
  </si>
  <si>
    <t>CARPA SUPER EASY II 9002 MIC</t>
  </si>
  <si>
    <t>8612052</t>
  </si>
  <si>
    <t>CARPA DOME 3 9003 MIC</t>
  </si>
  <si>
    <t>8612053</t>
  </si>
  <si>
    <t>CARPA NAWATA 4 9004 MIC</t>
  </si>
  <si>
    <t>8612054</t>
  </si>
  <si>
    <t>CARPA EASYCAMP 2 PERSONAS RDT052 MIC</t>
  </si>
  <si>
    <t>8612055</t>
  </si>
  <si>
    <t>8612056</t>
  </si>
  <si>
    <t>8612057</t>
  </si>
  <si>
    <t>8612058</t>
  </si>
  <si>
    <t>8612059</t>
  </si>
  <si>
    <t>CARPA 4794-4795</t>
  </si>
  <si>
    <t>8612080</t>
  </si>
  <si>
    <t>BOLSA DE DORMIR SPINIT CLASSIC</t>
  </si>
  <si>
    <t>8612093</t>
  </si>
  <si>
    <t>BOLSA DE DORMIR SPINIT FREESTYLE</t>
  </si>
  <si>
    <t>8612101</t>
  </si>
  <si>
    <t>CONSERVADORA 34LTS FAMILIAR 1008 MIC</t>
  </si>
  <si>
    <t>8612102</t>
  </si>
  <si>
    <t>CONSERVADORA 5LTS LUNCHERA 1010</t>
  </si>
  <si>
    <t>8612151</t>
  </si>
  <si>
    <t>SILLA PLEGABLE DIRE VER/NE/AZ/RO1003 MIC</t>
  </si>
  <si>
    <t>8612200</t>
  </si>
  <si>
    <t>BOLSA DORMIR MUMMY 200</t>
  </si>
  <si>
    <t>8612201</t>
  </si>
  <si>
    <t>MESA CAMPING ALUM PLEG C/SILLAS 1011 MIC</t>
  </si>
  <si>
    <t>8612300</t>
  </si>
  <si>
    <t>RELOJ DE SUPERVIVENCIA IMP</t>
  </si>
  <si>
    <t>8612416</t>
  </si>
  <si>
    <t>PALA CAMPING CHICA</t>
  </si>
  <si>
    <t>8612418</t>
  </si>
  <si>
    <t>TARJETA DE SUPERVIVENCIA 5559-029/4,84</t>
  </si>
  <si>
    <t>8612420</t>
  </si>
  <si>
    <t>PALA CAMPING GRANDE</t>
  </si>
  <si>
    <t>8612462</t>
  </si>
  <si>
    <t>CARPA AUTOMATICA 2.5 X 2.5</t>
  </si>
  <si>
    <t>8612468</t>
  </si>
  <si>
    <t>CARPA AUTOMATICA 2X2 4462</t>
  </si>
  <si>
    <t>8612500</t>
  </si>
  <si>
    <t>SET PRIMEROS AUXILIOS IMP</t>
  </si>
  <si>
    <t>8612523</t>
  </si>
  <si>
    <t>CARPA AUT. CAMU BOSQUE 2X2X1.45CM 4PERS</t>
  </si>
  <si>
    <t>8612600</t>
  </si>
  <si>
    <t>CARPA 6 PERSONAS IMP</t>
  </si>
  <si>
    <t>8612601</t>
  </si>
  <si>
    <t>CARPA DE EMERGENCIA NYLON ALUMINIO RER</t>
  </si>
  <si>
    <t>8612697</t>
  </si>
  <si>
    <t>PALA PLEGABLE PICO - SERRUCHO - ABRIDOR</t>
  </si>
  <si>
    <t>8612793</t>
  </si>
  <si>
    <t>CARPA AUTOMATICA TECHO SIMPLE 2X1.5X1.1</t>
  </si>
  <si>
    <t>8612794</t>
  </si>
  <si>
    <t>CARPA AUTOMATICA TECHO SIMPLE 2X2X1.35 4</t>
  </si>
  <si>
    <t>8614014</t>
  </si>
  <si>
    <t>INFLABLE DOUBLE ACTION MIC</t>
  </si>
  <si>
    <t>8614015</t>
  </si>
  <si>
    <t>8660019</t>
  </si>
  <si>
    <t>LINTERNA FAROL RER</t>
  </si>
  <si>
    <t>8676004</t>
  </si>
  <si>
    <t>BRUJULA MILITAR C CICLOMETRO Y OBSERV</t>
  </si>
  <si>
    <t>8686003</t>
  </si>
  <si>
    <t>BRUJULA COMPASS 5734-3,48/3</t>
  </si>
  <si>
    <t>8686004</t>
  </si>
  <si>
    <t>BRUJULA 4239-4240</t>
  </si>
  <si>
    <t>8686010</t>
  </si>
  <si>
    <t>RELOJ JEAN CARTIER</t>
  </si>
  <si>
    <t>8686070</t>
  </si>
  <si>
    <t>BRUJULA METAL MILITAR RER</t>
  </si>
  <si>
    <t>8687002</t>
  </si>
  <si>
    <t>BRUJULA RER</t>
  </si>
  <si>
    <t>8691016</t>
  </si>
  <si>
    <t>GORRO PESCA</t>
  </si>
  <si>
    <t>8691508</t>
  </si>
  <si>
    <t>CAMPING SILLON CHS65283 RER</t>
  </si>
  <si>
    <t>8692010</t>
  </si>
  <si>
    <t>CAMPING 2P</t>
  </si>
  <si>
    <t>8692011</t>
  </si>
  <si>
    <t>CAMPING 4P</t>
  </si>
  <si>
    <t>8692150</t>
  </si>
  <si>
    <t>CARPA DOME 150X200 RER</t>
  </si>
  <si>
    <t>8692210</t>
  </si>
  <si>
    <t>CARPA DOME 210X210 RER</t>
  </si>
  <si>
    <t>8692230</t>
  </si>
  <si>
    <t>8692240</t>
  </si>
  <si>
    <t>CARPA DOME 240X210 RER</t>
  </si>
  <si>
    <t>8692501</t>
  </si>
  <si>
    <t>CARPA 3 PERSONAS AUTOMATICA RER</t>
  </si>
  <si>
    <t>8692502</t>
  </si>
  <si>
    <t>HANDY BAOFENG UV-6 RER</t>
  </si>
  <si>
    <t>8692503</t>
  </si>
  <si>
    <t>COCINA MARMITA DSW1002 RER</t>
  </si>
  <si>
    <t>8692504</t>
  </si>
  <si>
    <t>COCINA MARMITA CSW1004 RER</t>
  </si>
  <si>
    <t>8692505</t>
  </si>
  <si>
    <t>COCINA MARMITA RER</t>
  </si>
  <si>
    <t>8692506</t>
  </si>
  <si>
    <t>CAMOING CATRE STEEL RER</t>
  </si>
  <si>
    <t>8692507</t>
  </si>
  <si>
    <t>CAMPING SILLON2 RER</t>
  </si>
  <si>
    <t>8692508</t>
  </si>
  <si>
    <t>8692851</t>
  </si>
  <si>
    <t>HANDY BAOFENG UV-82 RER</t>
  </si>
  <si>
    <t>8693012</t>
  </si>
  <si>
    <t>BOLSA</t>
  </si>
  <si>
    <t>8694014</t>
  </si>
  <si>
    <t>8695001</t>
  </si>
  <si>
    <t>CONO VIAL 65/75</t>
  </si>
  <si>
    <t>8697004</t>
  </si>
  <si>
    <t>87</t>
  </si>
  <si>
    <t>8701000</t>
  </si>
  <si>
    <t>CINTURON POLIA NEGRO T663 TB RER</t>
  </si>
  <si>
    <t>8701001</t>
  </si>
  <si>
    <t>ESPALDERA ACOLCHADA CD LMGE RER</t>
  </si>
  <si>
    <t>8701002</t>
  </si>
  <si>
    <t>CINTURON POLIA NATO NE S-OJALES T668 TB</t>
  </si>
  <si>
    <t>8701003</t>
  </si>
  <si>
    <t>CINTURON POLIA NATO NEGRO RIBET T669 TB</t>
  </si>
  <si>
    <t>8701005</t>
  </si>
  <si>
    <t>CINTURON POLIA NEGRO TALLE ESPECIAL RER</t>
  </si>
  <si>
    <t>8701020</t>
  </si>
  <si>
    <t>CINTURON POLIA VERDE GN</t>
  </si>
  <si>
    <t>8701032</t>
  </si>
  <si>
    <t>CINTURON CUERO TROPA 1032 TB</t>
  </si>
  <si>
    <t>8701033</t>
  </si>
  <si>
    <t>CINTURON CUERO OFICIAL CON DADO 1033 TB</t>
  </si>
  <si>
    <t>8701038</t>
  </si>
  <si>
    <t>CINTURON TACTICO RANGER HEBILLA FA38</t>
  </si>
  <si>
    <t>8701060</t>
  </si>
  <si>
    <t>CINTURON FEDERAL REGLAMENT 1010 TB RER</t>
  </si>
  <si>
    <t>8701090</t>
  </si>
  <si>
    <t>CINTO DELTA XTL 549 NEGRO XTR</t>
  </si>
  <si>
    <t>8701092</t>
  </si>
  <si>
    <t>CINTO DELTA XTL 549 VERDE XTR</t>
  </si>
  <si>
    <t>8701093</t>
  </si>
  <si>
    <t>CINTO DELTA XTL 549 BEIGE XTR</t>
  </si>
  <si>
    <t>8701100</t>
  </si>
  <si>
    <t>RI¥ONERAS RER</t>
  </si>
  <si>
    <t>8701120</t>
  </si>
  <si>
    <t>CINTURON DELTA XT L SMP2001 XTR</t>
  </si>
  <si>
    <t>8701158</t>
  </si>
  <si>
    <t>CINTURON INFANTERIA</t>
  </si>
  <si>
    <t>8701162</t>
  </si>
  <si>
    <t>CINTURON NEGRO C/CUCHILLO 162 LUG</t>
  </si>
  <si>
    <t>8701200</t>
  </si>
  <si>
    <t>CINTURON GALA LICEO CON HEBILLA BM</t>
  </si>
  <si>
    <t>8701214</t>
  </si>
  <si>
    <t>CINTURON AMERIC NEGRO T650 MAZ TB</t>
  </si>
  <si>
    <t>8701215</t>
  </si>
  <si>
    <t>CINTURON AMERICANO NEGRO T ESPECIAL BLK</t>
  </si>
  <si>
    <t>8701216</t>
  </si>
  <si>
    <t>CINTURON AMERIC NEGRO FULL OFERTA RER</t>
  </si>
  <si>
    <t>8701326</t>
  </si>
  <si>
    <t>CINTURON POLIA GRIS T663 TB RER</t>
  </si>
  <si>
    <t>8701350</t>
  </si>
  <si>
    <t>8701351</t>
  </si>
  <si>
    <t>CINTURON GEO - MAZ TALLE ESPECIAL RER</t>
  </si>
  <si>
    <t>8701453</t>
  </si>
  <si>
    <t>CINTURON AMERICANO VERDE T650 TB NO USAR</t>
  </si>
  <si>
    <t>8701458</t>
  </si>
  <si>
    <t>CINTURON AMERIC VERDE T650 TB RER</t>
  </si>
  <si>
    <t>8701494</t>
  </si>
  <si>
    <t>CINTURON TACTICO URBANO GRANDE  5494/3</t>
  </si>
  <si>
    <t>8701495</t>
  </si>
  <si>
    <t>CINTURON TACTICO URBANO CHICO  5494/2</t>
  </si>
  <si>
    <t>8701500</t>
  </si>
  <si>
    <t>CINTURON TACTICO WOLF HEBILLA PASANTE</t>
  </si>
  <si>
    <t>8701541</t>
  </si>
  <si>
    <t>CINTURON AMERIC TRIPLE SEG 016 H RED RER</t>
  </si>
  <si>
    <t>8701542</t>
  </si>
  <si>
    <t>CINTURON AMERIC TRIPLE SEG 018 H CUA RER</t>
  </si>
  <si>
    <t>8701550</t>
  </si>
  <si>
    <t>CINTURON POLIA VERDE GN NO USAR</t>
  </si>
  <si>
    <t>8701552</t>
  </si>
  <si>
    <t>CINTURON POLIA VERDE C/BROCHE GN</t>
  </si>
  <si>
    <t>8701575</t>
  </si>
  <si>
    <t>CINTURON TACTICO C/HEBILLA METALICA 5575</t>
  </si>
  <si>
    <t>8701576</t>
  </si>
  <si>
    <t>8701652</t>
  </si>
  <si>
    <t>SEPARADOR SIMPLE POLIA  T652 TB</t>
  </si>
  <si>
    <t>8701653</t>
  </si>
  <si>
    <t>SEPARADOR SIMPLE CUERO 1002 TB</t>
  </si>
  <si>
    <t>8701654</t>
  </si>
  <si>
    <t>SEPARADOR DOBLE POLIA T653 TB</t>
  </si>
  <si>
    <t>8701655</t>
  </si>
  <si>
    <t>CINTURON INTERNO DE TELA T655 TB</t>
  </si>
  <si>
    <t>8701656</t>
  </si>
  <si>
    <t>CINTURON MERACCION T656 TB</t>
  </si>
  <si>
    <t>8701657</t>
  </si>
  <si>
    <t>SEPARDOR DOBLE 1001 TB</t>
  </si>
  <si>
    <t>8701658</t>
  </si>
  <si>
    <t>CINTURON SIN ARMAR TB</t>
  </si>
  <si>
    <t>8701735</t>
  </si>
  <si>
    <t>CINTURON CUERO OFICAL SIN DADO 1050 TB</t>
  </si>
  <si>
    <t>8701736</t>
  </si>
  <si>
    <t>CINTURON CUERO OFICIAL SIN DADO BLANC TB</t>
  </si>
  <si>
    <t>8701741</t>
  </si>
  <si>
    <t>8701742</t>
  </si>
  <si>
    <t>8701745</t>
  </si>
  <si>
    <t>CINTURON DE CUERO BLANCO LICEO ES BM</t>
  </si>
  <si>
    <t>8701750</t>
  </si>
  <si>
    <t>CINTURON AMERIC GRIS T650 TB</t>
  </si>
  <si>
    <t>8701800</t>
  </si>
  <si>
    <t>CINTURON POLIA VERDE LMGE</t>
  </si>
  <si>
    <t>8701856</t>
  </si>
  <si>
    <t>CINTURON RERDA DOBLEACCION GRIS RER</t>
  </si>
  <si>
    <t>8701900</t>
  </si>
  <si>
    <t>8701999</t>
  </si>
  <si>
    <t>CINTURON CUERO 30 MM LMGE RER</t>
  </si>
  <si>
    <t>8702073</t>
  </si>
  <si>
    <t>CANANA RRD70</t>
  </si>
  <si>
    <t>8702228</t>
  </si>
  <si>
    <t>PORTA CARTUCHO VERDE</t>
  </si>
  <si>
    <t>8702557</t>
  </si>
  <si>
    <t>PORTA CARTUCHO NEGRO RER</t>
  </si>
  <si>
    <t>8702660</t>
  </si>
  <si>
    <t>CANANA PORTA CART 8T T660 TB</t>
  </si>
  <si>
    <t>8702661</t>
  </si>
  <si>
    <t>CANANA PORTA CART CULATA 8T T661 TB</t>
  </si>
  <si>
    <t>8702668</t>
  </si>
  <si>
    <t>PORTA CARTUCHOS NEGRO</t>
  </si>
  <si>
    <t>8703000</t>
  </si>
  <si>
    <t>PIST POLIA NEGRO CAJONERA RER</t>
  </si>
  <si>
    <t>8703001</t>
  </si>
  <si>
    <t>PIST MOLLE MOL-01 KAE</t>
  </si>
  <si>
    <t>8703002</t>
  </si>
  <si>
    <t>FUNDA POLIA UNIVERSAL MAZ</t>
  </si>
  <si>
    <t>8703004</t>
  </si>
  <si>
    <t>FUNDA GAMUZA CON FLEJE 1044 TB</t>
  </si>
  <si>
    <t>8703005</t>
  </si>
  <si>
    <t>FUNDA POLIA ASTRA RER</t>
  </si>
  <si>
    <t>8703011</t>
  </si>
  <si>
    <t>PIST C/ MIRA MOLLE MOL-011 KAE</t>
  </si>
  <si>
    <t>8703012</t>
  </si>
  <si>
    <t>PIST CON PORTA CARGADOR Y PASADOR TB</t>
  </si>
  <si>
    <t>8703017</t>
  </si>
  <si>
    <t>8703018</t>
  </si>
  <si>
    <t>MUSLERA PORTAOBJETO 2 TIRAPIERNA T618 TB</t>
  </si>
  <si>
    <t>8703020</t>
  </si>
  <si>
    <t>PIST POLIA CAJONERA VERDE/GRIS</t>
  </si>
  <si>
    <t>8703021</t>
  </si>
  <si>
    <t>PIST AVENGER CON CUERO CORTA TB</t>
  </si>
  <si>
    <t>8703028</t>
  </si>
  <si>
    <t>8703030</t>
  </si>
  <si>
    <t>PIST INTERNA MOLDEADA CON FLEJE TB</t>
  </si>
  <si>
    <t>8703034</t>
  </si>
  <si>
    <t>PIST CUERO GUERRILLERA 1034 TB</t>
  </si>
  <si>
    <t>8703035</t>
  </si>
  <si>
    <t>PIST CUERO PANQUEQ LARGA  1035 TB</t>
  </si>
  <si>
    <t>8703036</t>
  </si>
  <si>
    <t>PIST CUERO PANQUEQ CORTA 1036 TB</t>
  </si>
  <si>
    <t>870303601</t>
  </si>
  <si>
    <t>PIST CUERO PANQ CORTA TAURUS 10036 RER</t>
  </si>
  <si>
    <t>870303602</t>
  </si>
  <si>
    <t>PIST CUERO PANQ CORTA THUNDER 10036 RER</t>
  </si>
  <si>
    <t>8703037</t>
  </si>
  <si>
    <t>PIST. CUERO PANQUEQ C/TIRA 1037 TB</t>
  </si>
  <si>
    <t>8703038</t>
  </si>
  <si>
    <t>PIST. CUERO AVENGER/TAU/BE 1038 TB</t>
  </si>
  <si>
    <t>870303800</t>
  </si>
  <si>
    <t>PIST. CUERO UNIV 1038 TB RER</t>
  </si>
  <si>
    <t>870303801</t>
  </si>
  <si>
    <t>PIST. CUERO TAURUS 1038 TB RER</t>
  </si>
  <si>
    <t>870303802</t>
  </si>
  <si>
    <t>PIST. CUERO BERSA RER</t>
  </si>
  <si>
    <t>870303803</t>
  </si>
  <si>
    <t>PIST. CUERO THUNDER 1038 TB RER</t>
  </si>
  <si>
    <t>8703039</t>
  </si>
  <si>
    <t>PIST. CUERO PANQUEQ C TIRA BLANCA TB</t>
  </si>
  <si>
    <t>8703040</t>
  </si>
  <si>
    <t>PIST. CUERO TACTIC REG GDE/CHICA 1040 TB</t>
  </si>
  <si>
    <t>8703041</t>
  </si>
  <si>
    <t>PIST. CUERO SAQUE RAPID 1041 TB TB</t>
  </si>
  <si>
    <t>870304101</t>
  </si>
  <si>
    <t>PIST CUERO SAQUE RAP TAURUS 1041 TB RER</t>
  </si>
  <si>
    <t>870304102</t>
  </si>
  <si>
    <t>PIST CUERO SAQ RAPID THUNDER 1041 TB RER</t>
  </si>
  <si>
    <t>8703042</t>
  </si>
  <si>
    <t>PIST. CUERO UNIVERSAL 1042 TB</t>
  </si>
  <si>
    <t>8703045</t>
  </si>
  <si>
    <t>PIST. INTERNA C FLEJE MOLDEADA 1045 TB</t>
  </si>
  <si>
    <t>8703046</t>
  </si>
  <si>
    <t>PIST. TIRA PORTA ARMA HUESITO 1046 TB</t>
  </si>
  <si>
    <t>8703047</t>
  </si>
  <si>
    <t>8703051</t>
  </si>
  <si>
    <t>PIST. CUERO TODO CALIBRE 1051 TB</t>
  </si>
  <si>
    <t>8703052</t>
  </si>
  <si>
    <t>PIST. UNIV AMBID LARGA CUE 1052 TB</t>
  </si>
  <si>
    <t>8703053</t>
  </si>
  <si>
    <t>PIST. UNIVERSAL MULTIMARCA M008 MOLLE TB</t>
  </si>
  <si>
    <t>8703062</t>
  </si>
  <si>
    <t>RINIONERA DELTA STR062 XTL</t>
  </si>
  <si>
    <t>8703090</t>
  </si>
  <si>
    <t>CINTO DELTA XS/2XL</t>
  </si>
  <si>
    <t>8703094</t>
  </si>
  <si>
    <t>ESTUCHE MTM 802C P ARMA CORTA COMP 8140</t>
  </si>
  <si>
    <t>8703097</t>
  </si>
  <si>
    <t>PIS. TERMO. PANQUEQUERA CORTA EZ</t>
  </si>
  <si>
    <t>8703099</t>
  </si>
  <si>
    <t>MOCHILA COMANDO RRD40 NEGRA BLK</t>
  </si>
  <si>
    <t>8703100</t>
  </si>
  <si>
    <t>RI¥ONERA POLIA RER</t>
  </si>
  <si>
    <t>8703101</t>
  </si>
  <si>
    <t>MUSLERA TACTICA RRD8 BLK</t>
  </si>
  <si>
    <t>8703102</t>
  </si>
  <si>
    <t>8703103</t>
  </si>
  <si>
    <t>FUNDA FOBUS 4122 SG-239/9 9MM NEWGEN MIN</t>
  </si>
  <si>
    <t>8703104</t>
  </si>
  <si>
    <t>PORTA CARGAD FOBUS 6909 ND DOMAG 9MM MIN</t>
  </si>
  <si>
    <t>8703105</t>
  </si>
  <si>
    <t>FUNDA FOBUS 4155 GLCH C BOTON LIBERA MIN</t>
  </si>
  <si>
    <t>8703106</t>
  </si>
  <si>
    <t>FUNDA FOBUS 4156 BRCH C BOTON MIN</t>
  </si>
  <si>
    <t>8703107</t>
  </si>
  <si>
    <t>FUNDA FOBUS 4157 TACHC BOTON MIN</t>
  </si>
  <si>
    <t>8703108</t>
  </si>
  <si>
    <t>PORTA CARGADOR FOBUS DSS1 MIN</t>
  </si>
  <si>
    <t>8703109</t>
  </si>
  <si>
    <t>FUNDA FOBUS 4102 GL2 ND GLOCK 17/19 MIN</t>
  </si>
  <si>
    <t>8703110</t>
  </si>
  <si>
    <t>MUSLERA GEO D/SEGURO MAZ</t>
  </si>
  <si>
    <t>8703111</t>
  </si>
  <si>
    <t>MIRA LASER CAT BERSA THUNDER 9-40 MIN 18</t>
  </si>
  <si>
    <t>8703112</t>
  </si>
  <si>
    <t>MIRA LASER CAT P/BERSA PRO MIN 20/2,1</t>
  </si>
  <si>
    <t>8703113</t>
  </si>
  <si>
    <t>MIRA LASER CAT PGLOCK 17-19-22-23 MIN 20</t>
  </si>
  <si>
    <t>8703114</t>
  </si>
  <si>
    <t>MIRA LASER +LINTERNA+DISPARAD TACTIL RER</t>
  </si>
  <si>
    <t>8703115</t>
  </si>
  <si>
    <t>FUNDA FOBUS 4108 EM17 GLOCK 17 TACT MIN</t>
  </si>
  <si>
    <t>8703116</t>
  </si>
  <si>
    <t>FUNDA FOBUS 4112 75D CZ-75D MIN</t>
  </si>
  <si>
    <t>8703117</t>
  </si>
  <si>
    <t>FUNDA FOBUS 4115 BR-2 BERET 92F TAUR MIN</t>
  </si>
  <si>
    <t>8703118</t>
  </si>
  <si>
    <t>FUNDA FOBUS 4117 BRS-ND BERET PX4 ST MIN</t>
  </si>
  <si>
    <t>8703119</t>
  </si>
  <si>
    <t>FUNDA FOBUS 4139 JR-2 SH JERICHO FL MIN</t>
  </si>
  <si>
    <t>8703120</t>
  </si>
  <si>
    <t>FUNDA FOBUS UNIVERSAL IWBM HOLSTERS MIN</t>
  </si>
  <si>
    <t>8703121</t>
  </si>
  <si>
    <t>RINIONER PORTA PIST. OLA RIN-121 RER</t>
  </si>
  <si>
    <t>8703122</t>
  </si>
  <si>
    <t>FUNDA FOBUS 4124/5 RBT 17/19 MIN</t>
  </si>
  <si>
    <t>8703128</t>
  </si>
  <si>
    <t>FUNDA FOBUS CON PLAT. MOLLE GLOCK MIN</t>
  </si>
  <si>
    <t>8703135</t>
  </si>
  <si>
    <t>PIST. CUERO AVENGER TANFOGLIO LARGA RER</t>
  </si>
  <si>
    <t>8703138</t>
  </si>
  <si>
    <t>PIST. CUERO AVENCER TANFOGLIO CORTA RER</t>
  </si>
  <si>
    <t>8703140</t>
  </si>
  <si>
    <t>NN</t>
  </si>
  <si>
    <t>8703150</t>
  </si>
  <si>
    <t>8703151</t>
  </si>
  <si>
    <t>8703152</t>
  </si>
  <si>
    <t>8703153</t>
  </si>
  <si>
    <t>8703155</t>
  </si>
  <si>
    <t>FUNDA FOBUS 4155 GLOCK 17/19 C/BOT MIN</t>
  </si>
  <si>
    <t>8703157</t>
  </si>
  <si>
    <t>FUNDA FOBUS 4147 TAURUS 24/7 C/BOT MIN</t>
  </si>
  <si>
    <t>8703158</t>
  </si>
  <si>
    <t>FUNDA INFANTERIA</t>
  </si>
  <si>
    <t>8703162</t>
  </si>
  <si>
    <t>MUSLERA PARA FOBUS ETCH 04 ETC</t>
  </si>
  <si>
    <t>8703197</t>
  </si>
  <si>
    <t>MUSLERA CON P/CARGADOR STD MUS-197 KAE</t>
  </si>
  <si>
    <t>8703200</t>
  </si>
  <si>
    <t>8703201</t>
  </si>
  <si>
    <t>FUNDA PIST. UNIV XTL SM92001 RER</t>
  </si>
  <si>
    <t>8703203</t>
  </si>
  <si>
    <t>FUNDA CARGADOR TACT XTL CPC2038 RER</t>
  </si>
  <si>
    <t>8703205</t>
  </si>
  <si>
    <t>PIST. N5 AH FS92 AUTOMATIC HOLSTER DEG</t>
  </si>
  <si>
    <t>8703206</t>
  </si>
  <si>
    <t>PIST. N5 AH GLOCK AUTOMATIC HOLSTER DEG</t>
  </si>
  <si>
    <t>8703207</t>
  </si>
  <si>
    <t>PIST. N5 AH PX4 AUTOMATIC HOLSTER DEG</t>
  </si>
  <si>
    <t>8703208</t>
  </si>
  <si>
    <t>PIST. N5 AH BERSA THUNDER PRO AUTOM DEG</t>
  </si>
  <si>
    <t>8703237</t>
  </si>
  <si>
    <t>PIST. NIVEL 2 H.N237 BROWNING FUN</t>
  </si>
  <si>
    <t>8703238</t>
  </si>
  <si>
    <t>PIST. NIVEL 2 H.N2-38 GLOCK FUN</t>
  </si>
  <si>
    <t>8703240</t>
  </si>
  <si>
    <t>PIST. NIVEL 2 H.N240 TAU PT92/B92/96 FUN</t>
  </si>
  <si>
    <t>8703241</t>
  </si>
  <si>
    <t>PIST. NIVEL 2 HN2-41 BERSA THUND/PRO FUN</t>
  </si>
  <si>
    <t>8703244</t>
  </si>
  <si>
    <t>PIST NIVEL 2 H.N2-40/BS BERETA92 T92 FUN</t>
  </si>
  <si>
    <t>8703245</t>
  </si>
  <si>
    <t>PIST. NIVEL 2 H.N2TPR9 BERSA TPR9 FUN</t>
  </si>
  <si>
    <t>8703247</t>
  </si>
  <si>
    <t>PIST. NIVEL 2 H.N2PX4 BERETA PX4 FUN</t>
  </si>
  <si>
    <t>8703249</t>
  </si>
  <si>
    <t>PIST NIVEL 2 H.N2PX4/BS BERETTA PX4B FUN</t>
  </si>
  <si>
    <t>8703250</t>
  </si>
  <si>
    <t>MUSLERA TACTICA DELTA STM2050 EZ</t>
  </si>
  <si>
    <t>8703251</t>
  </si>
  <si>
    <t>MUSLERA CON BAQUETA XTL 567</t>
  </si>
  <si>
    <t>8703252</t>
  </si>
  <si>
    <t>PLATAFORMA MUSLERA AH UNIVER. AUTOMA DEG</t>
  </si>
  <si>
    <t>8703291</t>
  </si>
  <si>
    <t>PIST. AMERICANA CON TAPA</t>
  </si>
  <si>
    <t>8703300</t>
  </si>
  <si>
    <t>PIST. POLIA UNIVERSAL MULTIMARCA EZ</t>
  </si>
  <si>
    <t>8703349</t>
  </si>
  <si>
    <t>REPLICAS BLUE GUN RER</t>
  </si>
  <si>
    <t>8703350</t>
  </si>
  <si>
    <t>8703351</t>
  </si>
  <si>
    <t>PIST. NIVEL 2 BROWNING FM9 JA.BAR P012</t>
  </si>
  <si>
    <t>8703352</t>
  </si>
  <si>
    <t>8703376</t>
  </si>
  <si>
    <t>MUSLERA GEO C/ PORTACARG MAZ</t>
  </si>
  <si>
    <t>8703391</t>
  </si>
  <si>
    <t>PIST INT P/TAURUS 9/17 K39INT FUN</t>
  </si>
  <si>
    <t>8703400</t>
  </si>
  <si>
    <t>PIST. EXTERNA KYDEX BERETTA/TAU9MM KY40E</t>
  </si>
  <si>
    <t>8703405</t>
  </si>
  <si>
    <t>PIST. EXTERNA/ROTAT. KYDEX TAU92 KY40ER</t>
  </si>
  <si>
    <t>8703500</t>
  </si>
  <si>
    <t>PIST. POLIA MINI ASTRA GUERR. MAZ</t>
  </si>
  <si>
    <t>8703501</t>
  </si>
  <si>
    <t>PIST. TERMOFOR. PANQUEQ LGA  T501 TB</t>
  </si>
  <si>
    <t>8703502</t>
  </si>
  <si>
    <t>8703503</t>
  </si>
  <si>
    <t>PIST. TERMOFOR. GUERR T503 TB</t>
  </si>
  <si>
    <t>8703504</t>
  </si>
  <si>
    <t>PIST. TERMO. TACTICA REGULABLE T504 TB</t>
  </si>
  <si>
    <t>8703505</t>
  </si>
  <si>
    <t>8703506</t>
  </si>
  <si>
    <t>PIST. TERMOFOR. MULTIMARCA T506 TB</t>
  </si>
  <si>
    <t>8703507</t>
  </si>
  <si>
    <t>PIST. TERMOFORMADO LARGA BERSA T507 TB</t>
  </si>
  <si>
    <t>8703508</t>
  </si>
  <si>
    <t>PIST. POLIA TACTICA VERDE RER</t>
  </si>
  <si>
    <t>8703509</t>
  </si>
  <si>
    <t>PIST. TERMO. BLK BLK</t>
  </si>
  <si>
    <t>8703510</t>
  </si>
  <si>
    <t>PIST. MULTIM REGULABLE MOLLE M005 TB</t>
  </si>
  <si>
    <t>8703513</t>
  </si>
  <si>
    <t>PIST. TERMOFOR. PANQ CORTA C/TIRA T513TB</t>
  </si>
  <si>
    <t>8703517</t>
  </si>
  <si>
    <t>FUNDA PIST. NIVEL2 XTL NOP1517 XTR</t>
  </si>
  <si>
    <t>8703550</t>
  </si>
  <si>
    <t>PIST. POLIA DOBLE PROPOS VERDE GN</t>
  </si>
  <si>
    <t>8703551</t>
  </si>
  <si>
    <t>8703552</t>
  </si>
  <si>
    <t>MUSLERA C/BASE Y PORT CARG VERDE GN</t>
  </si>
  <si>
    <t>8703553</t>
  </si>
  <si>
    <t>MUSLERA C/BASE Y PORTA CARG VERDE GN</t>
  </si>
  <si>
    <t>8703555</t>
  </si>
  <si>
    <t>PIST. POLIA SAQUE RAPIDO T500 TB</t>
  </si>
  <si>
    <t>8703557</t>
  </si>
  <si>
    <t>PIST ANATOM BERSA MINITHUND XTL 557A XTR</t>
  </si>
  <si>
    <t>8703570</t>
  </si>
  <si>
    <t>PIST NIVEL 1 + PORT CARG BERSA/PT92/BROW</t>
  </si>
  <si>
    <t>8703573</t>
  </si>
  <si>
    <t>PIST. MODELO QM BERSA PRO / GLOCK 5573-8</t>
  </si>
  <si>
    <t>8703599</t>
  </si>
  <si>
    <t>8703600</t>
  </si>
  <si>
    <t>PIST POLIA GUERRILLERA UNIVERSAL T600 T</t>
  </si>
  <si>
    <t>8703601</t>
  </si>
  <si>
    <t>PIST. POLIA FUNDA INT UNIVERSAL T601 TB</t>
  </si>
  <si>
    <t>8703604</t>
  </si>
  <si>
    <t>8703607</t>
  </si>
  <si>
    <t>PIST. POLIA UNIVERSAL T607 TB</t>
  </si>
  <si>
    <t>8703608</t>
  </si>
  <si>
    <t>MUSLERA ANATOMICA SIMPLE T608 TB</t>
  </si>
  <si>
    <t>8703611</t>
  </si>
  <si>
    <t>PIST. GUERRILL UNIV P CHALECO  T611 TB</t>
  </si>
  <si>
    <t>8703612</t>
  </si>
  <si>
    <t>PIST. POLIA CON PORTA CARGADOR T612 TB</t>
  </si>
  <si>
    <t>8703613</t>
  </si>
  <si>
    <t>FUNDA POLIA CON PORTACARG T613 TB RER</t>
  </si>
  <si>
    <t>8703615</t>
  </si>
  <si>
    <t>PIST. POLIA MINI GUERRILLERA MAZ</t>
  </si>
  <si>
    <t>8703616</t>
  </si>
  <si>
    <t>MUSLERA POLIA PORTA C DOBLE TERM T616 TB</t>
  </si>
  <si>
    <t>8703617</t>
  </si>
  <si>
    <t>MUSLERA PORTACARG DOBLE + ESP T617 TB</t>
  </si>
  <si>
    <t>8703619</t>
  </si>
  <si>
    <t>PIST. POLIA RI¥ONERA POLIA MAZ</t>
  </si>
  <si>
    <t>8703620</t>
  </si>
  <si>
    <t>MUSLERA TERMOF SIMPLE  T620 TB</t>
  </si>
  <si>
    <t>8703621</t>
  </si>
  <si>
    <t>MUSLERA TERMOF C PORTA CARGADOR T621 TB</t>
  </si>
  <si>
    <t>8703630</t>
  </si>
  <si>
    <t>PIST POLIA UNIVERS COMANDO S/RAP T630 TB</t>
  </si>
  <si>
    <t>8703641</t>
  </si>
  <si>
    <t>MUSLERA C/PORTACARG.POLIA MAZ</t>
  </si>
  <si>
    <t>8703656</t>
  </si>
  <si>
    <t>PIST. NIVEL 2 BERSA PRO/THUNDMODM92 5656</t>
  </si>
  <si>
    <t>8703658</t>
  </si>
  <si>
    <t>PIST. NIVEL 2 BERSA PRO / HOLSTER 5658-8</t>
  </si>
  <si>
    <t>8703660</t>
  </si>
  <si>
    <t>PIST. NIVEL 2 TAU809/GLOCK 17 5660 ZURDA</t>
  </si>
  <si>
    <t>8703662</t>
  </si>
  <si>
    <t>PIST. NIVEL 2 BERSA PRO/THU HOLSTER 5662</t>
  </si>
  <si>
    <t>8703665</t>
  </si>
  <si>
    <t>PIST. NIVEL2 BERSA MUSLERA 92G HOLSTER 5</t>
  </si>
  <si>
    <t>8703667</t>
  </si>
  <si>
    <t>PIST. NIVEL 2 BERSA AJUSTABLE 92GB HOLST</t>
  </si>
  <si>
    <t>8703669</t>
  </si>
  <si>
    <t>PIST. NIVEL 2 ROTATIVA BERSA 98 HOLSTER</t>
  </si>
  <si>
    <t>8703670</t>
  </si>
  <si>
    <t>8703671</t>
  </si>
  <si>
    <t>PIST. NIVEL3 H3 HIPOWER/BROW/GLOCK 5671</t>
  </si>
  <si>
    <t>8703674</t>
  </si>
  <si>
    <t>CASQ. RIP STOP NEGRO 4674-4677</t>
  </si>
  <si>
    <t>8703677</t>
  </si>
  <si>
    <t>CASQ. RIP STOP AZUL 4674-4677</t>
  </si>
  <si>
    <t>8703679</t>
  </si>
  <si>
    <t>PIST. NIVEL 2 BLCKHAWKGLOCK HOLSTER 5679</t>
  </si>
  <si>
    <t>8703681</t>
  </si>
  <si>
    <t>8703699</t>
  </si>
  <si>
    <t>MUSLERA ANATOMICA C PORTA CARGAD T609 TB</t>
  </si>
  <si>
    <t>8703700</t>
  </si>
  <si>
    <t>PIST. CUERO PRONTO USO (S) RER</t>
  </si>
  <si>
    <t>8703702</t>
  </si>
  <si>
    <t>PIST. POLIA GUERR. UNIV NEGRA MAZ</t>
  </si>
  <si>
    <t>8703703</t>
  </si>
  <si>
    <t>FUNDA DE CUERO CON FLEJE 1044 TB</t>
  </si>
  <si>
    <t>8703704</t>
  </si>
  <si>
    <t>FUNDA DE POLIA 9MM.</t>
  </si>
  <si>
    <t>8703705</t>
  </si>
  <si>
    <t>PIST. POLIA TAURUS MAZ</t>
  </si>
  <si>
    <t>8703706</t>
  </si>
  <si>
    <t>PIST. POLIA ASTRA MAZ</t>
  </si>
  <si>
    <t>8703707</t>
  </si>
  <si>
    <t>FUNDA PORTA ELEMENTOS MULTIF ZHI ZHU RER</t>
  </si>
  <si>
    <t>8703741</t>
  </si>
  <si>
    <t>PIST. INTERNA KYDEX BERSATHUNDER PROKY41</t>
  </si>
  <si>
    <t>8703742</t>
  </si>
  <si>
    <t>PIST. INTERNA KYDEX BERSATPR9 KYTPR9</t>
  </si>
  <si>
    <t>8703743</t>
  </si>
  <si>
    <t>PIST. INTERNA KYDEX BROWNING9MM KY37</t>
  </si>
  <si>
    <t>8703750</t>
  </si>
  <si>
    <t>PIST. POLIA GUERR. UNIV GRIS MAZ RER</t>
  </si>
  <si>
    <t>8703800</t>
  </si>
  <si>
    <t>PIST. NIVEL 2 H.N2T800 PT809 FUN</t>
  </si>
  <si>
    <t>8703803</t>
  </si>
  <si>
    <t>PIST. POLIA  GUERILLERA VERDE MAZ</t>
  </si>
  <si>
    <t>8703810</t>
  </si>
  <si>
    <t>PIST. POLIA GEO MAZ</t>
  </si>
  <si>
    <t>8703811</t>
  </si>
  <si>
    <t>PIST. POLIA GEO CON PORTACARG MAZ</t>
  </si>
  <si>
    <t>8703812</t>
  </si>
  <si>
    <t>PIST. POLIA CON PORTACARD MAZ</t>
  </si>
  <si>
    <t>8703841</t>
  </si>
  <si>
    <t>PIST. INTERNA KYDEX/FC BERTHUN PROKYC41</t>
  </si>
  <si>
    <t>8703842</t>
  </si>
  <si>
    <t>PIST. INTERNA KYDEX/FC KYCTPR9</t>
  </si>
  <si>
    <t>8703843</t>
  </si>
  <si>
    <t>PIST. INTERNA KYDEX/FC BROWNING9MM KYC37</t>
  </si>
  <si>
    <t>8703861</t>
  </si>
  <si>
    <t>PIST. GUERRILLERA VERDE</t>
  </si>
  <si>
    <t>8703900</t>
  </si>
  <si>
    <t>PIST. POLIA MINICOMPAC SAQUERAP MAZ</t>
  </si>
  <si>
    <t>8703901</t>
  </si>
  <si>
    <t>PIST. POLIA GERR.BROW SAQUE RAP MAZ</t>
  </si>
  <si>
    <t>8703902</t>
  </si>
  <si>
    <t>PIST. POLIA GUERR. BERSA SAQUE MAZ</t>
  </si>
  <si>
    <t>8703905</t>
  </si>
  <si>
    <t>PIST. POLIA CON TAPA EXTRAIBLE TB</t>
  </si>
  <si>
    <t>8703925</t>
  </si>
  <si>
    <t>PIST. TERMO. MINI THUNDER CMTH EM</t>
  </si>
  <si>
    <t>8703926</t>
  </si>
  <si>
    <t>PIST. TERMO. BERSA TPB EM</t>
  </si>
  <si>
    <t>8703950</t>
  </si>
  <si>
    <t>PIST. NIVEL 2 BERETTA 92/96 XTR</t>
  </si>
  <si>
    <t>8703952</t>
  </si>
  <si>
    <t>PIST. NIVEL 2 BERSA THUNDER XTR</t>
  </si>
  <si>
    <t>8703954</t>
  </si>
  <si>
    <t>PIST. NIVEL 2 BERSA THUNDER PRO 9/40 XTR</t>
  </si>
  <si>
    <t>8703955</t>
  </si>
  <si>
    <t>PIST NIVEL 2 ZURDA BERSA THUNDER PRO XTR</t>
  </si>
  <si>
    <t>8703956</t>
  </si>
  <si>
    <t>PIST. NIVEL 2 TAURUS PT92 XTR</t>
  </si>
  <si>
    <t>8703958</t>
  </si>
  <si>
    <t>PIST. NIVEL 2 TAURUS 9/17 C XTR</t>
  </si>
  <si>
    <t>8703959</t>
  </si>
  <si>
    <t>PIST. NIVEL 2 BERSA TPR9 ZURDA XTR</t>
  </si>
  <si>
    <t>8703960</t>
  </si>
  <si>
    <t>PIST. NIVEL 2 BERSA TPR9 XTR</t>
  </si>
  <si>
    <t>8703961</t>
  </si>
  <si>
    <t>PIST. NIV 2 BERETTA PX4 STORM RER</t>
  </si>
  <si>
    <t>8703962</t>
  </si>
  <si>
    <t>PIST. POLIA PANQUEQ UNIVERSAL SHOKE EZ</t>
  </si>
  <si>
    <t>8703987</t>
  </si>
  <si>
    <t>LLAVE PARA ESPOSA RER</t>
  </si>
  <si>
    <t>8705001</t>
  </si>
  <si>
    <t>PORTA CARG POLIA SIMPLE MAZ</t>
  </si>
  <si>
    <t>8705002</t>
  </si>
  <si>
    <t>PORTA CARG SIMP/LINT/PINZA MOLLE M002 TB</t>
  </si>
  <si>
    <t>8705003</t>
  </si>
  <si>
    <t>PORTA HANDY  T554 TB</t>
  </si>
  <si>
    <t>8705004</t>
  </si>
  <si>
    <t>PORTA GAS POLIA CHICO T666 TB</t>
  </si>
  <si>
    <t>8705005</t>
  </si>
  <si>
    <t>PORTA GAS POLIA GRANDE T666 TB</t>
  </si>
  <si>
    <t>8705006</t>
  </si>
  <si>
    <t>PORTA OBJETO MOLLE MOL-06 KAE</t>
  </si>
  <si>
    <t>8705007</t>
  </si>
  <si>
    <t>PORTA SMARTFHONE MOLLE MOL-07 KAE</t>
  </si>
  <si>
    <t>8705008</t>
  </si>
  <si>
    <t>PORTA ELEMENTOS VARIOS C BASE STRATUS</t>
  </si>
  <si>
    <t>8705009</t>
  </si>
  <si>
    <t>PORTABASTON MOLLE MOL-09 KAE</t>
  </si>
  <si>
    <t>8705010</t>
  </si>
  <si>
    <t>PORTA LINTERNA MOLLE MOL-01 KAE</t>
  </si>
  <si>
    <t>8705011</t>
  </si>
  <si>
    <t>PORTA OBJETOS MULTIUSO M006 MOLLE TB</t>
  </si>
  <si>
    <t>8705012</t>
  </si>
  <si>
    <t>PORTA CARG DOBLE POLIMERO 9MM TB29</t>
  </si>
  <si>
    <t>8705013</t>
  </si>
  <si>
    <t>8705016</t>
  </si>
  <si>
    <t>PORTA TONFA CUERO METAL 1016 TB</t>
  </si>
  <si>
    <t>8705018</t>
  </si>
  <si>
    <t>PORTA CARG CUERO DOBLE 1018 TB</t>
  </si>
  <si>
    <t>8705019</t>
  </si>
  <si>
    <t>PORTA CARG CUERO SIMPLE 1019 TB</t>
  </si>
  <si>
    <t>8705020</t>
  </si>
  <si>
    <t>PORTA CARG POLIA DOBLE VERDE C/ GANCHO</t>
  </si>
  <si>
    <t>8705021</t>
  </si>
  <si>
    <t>PORTA CARG POLIA DOBLE VERDE GN</t>
  </si>
  <si>
    <t>8705022</t>
  </si>
  <si>
    <t>PORTA CARGADOR DOBLE BLANCO TB</t>
  </si>
  <si>
    <t>8705023</t>
  </si>
  <si>
    <t>PORTA CARG DOBLE TERMO TACTICO T555 TB</t>
  </si>
  <si>
    <t>8705036</t>
  </si>
  <si>
    <t>PORTA CARG 2 POSIC XTL CC2036 RER</t>
  </si>
  <si>
    <t>8705037</t>
  </si>
  <si>
    <t>8705038</t>
  </si>
  <si>
    <t>PORTA LLAVES POLIA CAMPANA T657 TB</t>
  </si>
  <si>
    <t>8705039</t>
  </si>
  <si>
    <t>PORTA LLAVES POLIA GOTA T654 TB RER</t>
  </si>
  <si>
    <t>8705072</t>
  </si>
  <si>
    <t>PORTA CARGADOR SIMPLE AJUST RRD72 BLK</t>
  </si>
  <si>
    <t>8705075</t>
  </si>
  <si>
    <t>PORTA CARGADOR DOBLE MOLLE M001 TB</t>
  </si>
  <si>
    <t>8705100</t>
  </si>
  <si>
    <t>8705113</t>
  </si>
  <si>
    <t>PORTA CARGADOR DOBLE H.RP113 9/40 FUN</t>
  </si>
  <si>
    <t>8705118</t>
  </si>
  <si>
    <t>PORTA CELULAR GUERRILLERO MOLLE MOL-18</t>
  </si>
  <si>
    <t>8705131</t>
  </si>
  <si>
    <t>PORTA OBJETO CON CIERRE MOLLE GRANDE KAE</t>
  </si>
  <si>
    <t>8705200</t>
  </si>
  <si>
    <t>PORTA HANDY POUCH PCPH MOLLE EM</t>
  </si>
  <si>
    <t>8705201</t>
  </si>
  <si>
    <t>PORTA CARGADOR POUCH PC2TMF MOLLE EM</t>
  </si>
  <si>
    <t>8705214</t>
  </si>
  <si>
    <t>PORTA OBJETO CON ABROJO POR 214 RER</t>
  </si>
  <si>
    <t>8705225</t>
  </si>
  <si>
    <t>PORTA CELULAR MOLLE M004 TB</t>
  </si>
  <si>
    <t>8705226</t>
  </si>
  <si>
    <t>PORTA CELULAR T558 TB</t>
  </si>
  <si>
    <t>8705227</t>
  </si>
  <si>
    <t>PORTA OBJETOS RER</t>
  </si>
  <si>
    <t>8705228</t>
  </si>
  <si>
    <t>PORTA OBJETO CON CIERRE RER</t>
  </si>
  <si>
    <t>8705233</t>
  </si>
  <si>
    <t>PORTA CELULAR GRANDE RRD69</t>
  </si>
  <si>
    <t>8705241</t>
  </si>
  <si>
    <t>PORTA CELULAR S-3 S-4 RER</t>
  </si>
  <si>
    <t>8705256</t>
  </si>
  <si>
    <t>PORTA TABLILLA ANOTADORA POR-256 KAE</t>
  </si>
  <si>
    <t>8705300</t>
  </si>
  <si>
    <t>PORTA CELULAR POUCH PCPC MOLLE EM</t>
  </si>
  <si>
    <t>8705370</t>
  </si>
  <si>
    <t>PORTA CARG POLIA GEMELOS NEGRO MAZ</t>
  </si>
  <si>
    <t>8705449</t>
  </si>
  <si>
    <t>8705450</t>
  </si>
  <si>
    <t>PORTA CARG. NEGRO USAR 8705-100</t>
  </si>
  <si>
    <t>8705459</t>
  </si>
  <si>
    <t>PORTA CARG TERMOFOR SIMPLE VERT T550 TB</t>
  </si>
  <si>
    <t>8705460</t>
  </si>
  <si>
    <t>PORTA CARG TERMOFOR SIMPLE HORI T550 TB</t>
  </si>
  <si>
    <t>8705480</t>
  </si>
  <si>
    <t>8705500</t>
  </si>
  <si>
    <t>PORTA CARG TERMO DOBLE VERDE TB</t>
  </si>
  <si>
    <t>8705550</t>
  </si>
  <si>
    <t>8705551</t>
  </si>
  <si>
    <t>PORTA CARG TERMO DOBLE T551 TB</t>
  </si>
  <si>
    <t>8705552</t>
  </si>
  <si>
    <t>PORTA CARG POLIA GRIS VERDE CON GANCHO</t>
  </si>
  <si>
    <t>8705553</t>
  </si>
  <si>
    <t>PORTA TONFA POLIA VERDE GN</t>
  </si>
  <si>
    <t>8705554</t>
  </si>
  <si>
    <t>PORTA LINTERNA POLIA  VERDE GN</t>
  </si>
  <si>
    <t>8705555</t>
  </si>
  <si>
    <t>PORTA CARG POLIA XTL DOBLE ANAT 508 XTR</t>
  </si>
  <si>
    <t>8705556</t>
  </si>
  <si>
    <t>8705557</t>
  </si>
  <si>
    <t>PORTA CARGADOR TRIPLE TERMOFORM TB557</t>
  </si>
  <si>
    <t>8705568</t>
  </si>
  <si>
    <t>PORTA BASTON EXT. POLIMERO 9.5CM 5681-32</t>
  </si>
  <si>
    <t>8705586</t>
  </si>
  <si>
    <t>PORTA TONFA RERDA BROCHE/ARO METAL EZ</t>
  </si>
  <si>
    <t>8705651</t>
  </si>
  <si>
    <t>PORTA TONFA POLIA METAL T651 TB</t>
  </si>
  <si>
    <t>8705661</t>
  </si>
  <si>
    <t>PORTA BASTON EXT. POLIMERO 12CM  5566/1-</t>
  </si>
  <si>
    <t>8705665</t>
  </si>
  <si>
    <t>PORTA LINTERNA POLIA REGULABLE T665 TB</t>
  </si>
  <si>
    <t>8705668</t>
  </si>
  <si>
    <t>PORTA CARTUCHO VERDE SISTEMA MOLLE</t>
  </si>
  <si>
    <t>8705683</t>
  </si>
  <si>
    <t>PORTA BASTON EXT. POLIMERO MOLLE 5683-22</t>
  </si>
  <si>
    <t>8705700</t>
  </si>
  <si>
    <t>PORTA CARGADOR TRIPLE T557 TERMOFORMADO</t>
  </si>
  <si>
    <t>8705749</t>
  </si>
  <si>
    <t>PORTA TONFA POLIA GRIS RER</t>
  </si>
  <si>
    <t>8705750</t>
  </si>
  <si>
    <t>PORTA CARG POLIA GEMELO GRIS RER</t>
  </si>
  <si>
    <t>8705802</t>
  </si>
  <si>
    <t>8705861</t>
  </si>
  <si>
    <t>PORTA TONFA FIJO METAL 213</t>
  </si>
  <si>
    <t>8705905</t>
  </si>
  <si>
    <t>PORTA CARG DOBLE C/ABRJO MOLLE MOL05 KAE</t>
  </si>
  <si>
    <t>8705910</t>
  </si>
  <si>
    <t>PORTA CARG BLANCO DOBLE</t>
  </si>
  <si>
    <t>8705913</t>
  </si>
  <si>
    <t>PORTA CARGADOR DOBLE POLIMERO P013 TB</t>
  </si>
  <si>
    <t>8705914</t>
  </si>
  <si>
    <t>8706002</t>
  </si>
  <si>
    <t>MORRAL MOLLE C/POUCH NEGRO ETCH 07</t>
  </si>
  <si>
    <t>8706012</t>
  </si>
  <si>
    <t>BOLSO/MORRAL MOLLE MOL-12 KAE</t>
  </si>
  <si>
    <t>8706500</t>
  </si>
  <si>
    <t>PORTA BASTON NYLON NEGRO MAZ</t>
  </si>
  <si>
    <t>8707000</t>
  </si>
  <si>
    <t>CORDON BORCEGUIES ( PAR) 108 X 2 MT RER</t>
  </si>
  <si>
    <t>8707002</t>
  </si>
  <si>
    <t>PLANTILLA AIR SOFT 93803001 34/35 ING</t>
  </si>
  <si>
    <t>8707003</t>
  </si>
  <si>
    <t>PORTA ESPOSA MOLLE MOL-03 KAE</t>
  </si>
  <si>
    <t>8707020</t>
  </si>
  <si>
    <t>PORTA ESPOSAS POLIA VER GN C/TAPA GANCHO</t>
  </si>
  <si>
    <t>8707021</t>
  </si>
  <si>
    <t>PORTA ESPOSAS POLIA VERDE GN C/TAPA</t>
  </si>
  <si>
    <t>8707023</t>
  </si>
  <si>
    <t>PORTA ESPOSAS CUERO 1023 C/TAPA TB</t>
  </si>
  <si>
    <t>8707024</t>
  </si>
  <si>
    <t>PORTA ESPOSAS CUERO 1024 SAQUE RAPID TB</t>
  </si>
  <si>
    <t>8707025</t>
  </si>
  <si>
    <t>PORTA ESPOSAS CUERO C/TAPA</t>
  </si>
  <si>
    <t>8707026</t>
  </si>
  <si>
    <t>PORTA ESPOSAS FOBUS HSP MIN</t>
  </si>
  <si>
    <t>8707058</t>
  </si>
  <si>
    <t>MOCHILA DELTA STM050 XTL</t>
  </si>
  <si>
    <t>8707113</t>
  </si>
  <si>
    <t>PIST. MOLLE RRD11 BLK</t>
  </si>
  <si>
    <t>8707117</t>
  </si>
  <si>
    <t>MOCHILA ASALTO RRD</t>
  </si>
  <si>
    <t>8707206</t>
  </si>
  <si>
    <t>MOCHILA COMANDO DELTA XTL STM206</t>
  </si>
  <si>
    <t>8707381</t>
  </si>
  <si>
    <t>CORDON EDECAN CON LAPIZ DORADO AZZ</t>
  </si>
  <si>
    <t>8707500</t>
  </si>
  <si>
    <t>PORTA ESPOSAS POUCH PCPE MOLLE EM</t>
  </si>
  <si>
    <t>8707509</t>
  </si>
  <si>
    <t>PORTA ESPOSAS TAPA TACTIC TERMO T556 TB</t>
  </si>
  <si>
    <t>8707550</t>
  </si>
  <si>
    <t>PORTAESPOSA TERMO C/TAPA VERDE TB</t>
  </si>
  <si>
    <t>8707552</t>
  </si>
  <si>
    <t>PORTA ESPOSAS TERMO T552 C/TAPA TB</t>
  </si>
  <si>
    <t>8707553</t>
  </si>
  <si>
    <t>PORTA ESPOSAS TERMO T553 GUERRILLER TB</t>
  </si>
  <si>
    <t>8707554</t>
  </si>
  <si>
    <t>8707555</t>
  </si>
  <si>
    <t>PORTA ESPOSAS POLIA VER C/TAPA GN GANCHO</t>
  </si>
  <si>
    <t>8707556</t>
  </si>
  <si>
    <t>PORTA ESPOSAS ANATOMICO XTL 556</t>
  </si>
  <si>
    <t>8707657</t>
  </si>
  <si>
    <t>CORDON EDECAN CON LAPIZ BORDO AZZ</t>
  </si>
  <si>
    <t>8707658</t>
  </si>
  <si>
    <t>CORDON EDECAN CON LAPZ GRIS RER</t>
  </si>
  <si>
    <t>8707701</t>
  </si>
  <si>
    <t>CORDONES EL PAR ART 108 X2M MC</t>
  </si>
  <si>
    <t>8707702</t>
  </si>
  <si>
    <t>CORDONES PAR BEIGE 70CM ELASTIZADOS</t>
  </si>
  <si>
    <t>8707721</t>
  </si>
  <si>
    <t>PORTA ESPOSAS POLIA NEGRO MAZ</t>
  </si>
  <si>
    <t>8707750</t>
  </si>
  <si>
    <t>PORTA ESPO POLIA GRIS T552 C/TAPA TB</t>
  </si>
  <si>
    <t>8707964</t>
  </si>
  <si>
    <t>8707965</t>
  </si>
  <si>
    <t>PORTA CARG VERDE POLIA GUERRILLERO RER</t>
  </si>
  <si>
    <t>8707980</t>
  </si>
  <si>
    <t>PORTA ESPOSA DE POLIA VERDE CON HE RER</t>
  </si>
  <si>
    <t>8707981</t>
  </si>
  <si>
    <t>PORTA ESPOSA USAR 8705-100 RER</t>
  </si>
  <si>
    <t>8707982</t>
  </si>
  <si>
    <t>PORTA ESPOSAS MOLLE M003 TB</t>
  </si>
  <si>
    <t>8708001</t>
  </si>
  <si>
    <t>PLATAFORMA MOLLE STRIKE 001-14/4,84</t>
  </si>
  <si>
    <t>8708002</t>
  </si>
  <si>
    <t>MOCHILA SPINIT TECNOS NEGRO GRIS LA</t>
  </si>
  <si>
    <t>8708003</t>
  </si>
  <si>
    <t>MOCHILA SPINIT ODISEA GRIS/NARANJA</t>
  </si>
  <si>
    <t>8708004</t>
  </si>
  <si>
    <t>MOCHILA SPINIT ODISEA NEGRA/ROJA</t>
  </si>
  <si>
    <t>8708006</t>
  </si>
  <si>
    <t>MOCHILA SPINIT TECNOS NEGRO AZUL LA</t>
  </si>
  <si>
    <t>8708007</t>
  </si>
  <si>
    <t>MOCHILA MIMETICA DIG GRANDE C SOLAPA</t>
  </si>
  <si>
    <t>8708008</t>
  </si>
  <si>
    <t>MOCHILA MIMETICA CHICA SIMPLE MOLLE RER</t>
  </si>
  <si>
    <t>8708009</t>
  </si>
  <si>
    <t>MOCHILA MIMETICA DIG MULTIBOL MOLLE</t>
  </si>
  <si>
    <t>8708010</t>
  </si>
  <si>
    <t>CORREA BUNNGIE RRD10 BLK</t>
  </si>
  <si>
    <t>8708011</t>
  </si>
  <si>
    <t>87080111</t>
  </si>
  <si>
    <t>MOCHILA NEW LASER</t>
  </si>
  <si>
    <t>8708012</t>
  </si>
  <si>
    <t>8708014</t>
  </si>
  <si>
    <t>BOLSA DE DESCARTE MOLLE KAE</t>
  </si>
  <si>
    <t>8708015</t>
  </si>
  <si>
    <t>8708020</t>
  </si>
  <si>
    <t>BOTIQUIN MOLLE RRD82 BLK</t>
  </si>
  <si>
    <t>8708024</t>
  </si>
  <si>
    <t>CORREA PARA ESCOPETA GALON ANCHO RER</t>
  </si>
  <si>
    <t>8708025</t>
  </si>
  <si>
    <t>ARNES/PRETAL CANINO MOLLE C/PORTABOTELLA</t>
  </si>
  <si>
    <t>8708030</t>
  </si>
  <si>
    <t>MORRAL BOLSO CON PIST MOR-03 KAE</t>
  </si>
  <si>
    <t>8708040</t>
  </si>
  <si>
    <t>CORREA DE TRES PUNTOS RRD9 BLK</t>
  </si>
  <si>
    <t>8708044</t>
  </si>
  <si>
    <t>MUSLERA PORTA ELEMENTO VERDE ETCH 05</t>
  </si>
  <si>
    <t>8708045</t>
  </si>
  <si>
    <t>MORRAL DELTA RRD45 BLK</t>
  </si>
  <si>
    <t>8708046</t>
  </si>
  <si>
    <t>MUSLERA PORTA ELEMENTO AZUL ETCH 05</t>
  </si>
  <si>
    <t>8708047</t>
  </si>
  <si>
    <t>MUSLERA PORTA ELEMENTO GRIS ETCH 05</t>
  </si>
  <si>
    <t>8708048</t>
  </si>
  <si>
    <t>MUSLERA PORTA ELEMENTO CAMUFL ETCH 05</t>
  </si>
  <si>
    <t>8708049</t>
  </si>
  <si>
    <t>MUSLERA PORTA ELEMENTO ETCH 05</t>
  </si>
  <si>
    <t>8708052</t>
  </si>
  <si>
    <t>MORRAL TACTICO MULTIBOLSILLO ETCH 03</t>
  </si>
  <si>
    <t>8708053</t>
  </si>
  <si>
    <t>MORRAL TACTICO MULTIBOLSILLO ETCH</t>
  </si>
  <si>
    <t>8708054</t>
  </si>
  <si>
    <t>MORRAL TACTICO MULTIBOLS. NEGRO ETCH 03</t>
  </si>
  <si>
    <t>8708055</t>
  </si>
  <si>
    <t>MORRAL TACTICO MULTIBOLS. AZUL ETCH 03</t>
  </si>
  <si>
    <t>8708056</t>
  </si>
  <si>
    <t>MORRAL TACTICO MULTIBOLS. GRIS ETCH 03</t>
  </si>
  <si>
    <t>8708057</t>
  </si>
  <si>
    <t>MORRAL TACTICO MULTIBOLS. VERDE ETCH 03</t>
  </si>
  <si>
    <t>8708058</t>
  </si>
  <si>
    <t>MORRAL TACTICO MULTIBOLS CAMUFL.ETCH 03</t>
  </si>
  <si>
    <t>8708070</t>
  </si>
  <si>
    <t>PLATAFORMA XTL STP568 XTR</t>
  </si>
  <si>
    <t>8708071</t>
  </si>
  <si>
    <t>PLATAFORMA UNIVERSAL 980 XTR</t>
  </si>
  <si>
    <t>8708090</t>
  </si>
  <si>
    <t>ESTUCHE MTM 802C P ARMA CORTA COMP 8144</t>
  </si>
  <si>
    <t>8708091</t>
  </si>
  <si>
    <t>ESTUCHE MTM 803 P ARMA CORTA 8146</t>
  </si>
  <si>
    <t>8708092</t>
  </si>
  <si>
    <t>ESTUCHE MTM 804 HASTA 4' 8124</t>
  </si>
  <si>
    <t>8708093</t>
  </si>
  <si>
    <t>ESTUCHE MTM 803 PARA ARMA CORTA 8141</t>
  </si>
  <si>
    <t>8708099</t>
  </si>
  <si>
    <t>BOLSO MOCHILA BET   ETCH02</t>
  </si>
  <si>
    <t>8708100</t>
  </si>
  <si>
    <t>MOCHILA PATRULLA RRD29 BLK</t>
  </si>
  <si>
    <t>8708101</t>
  </si>
  <si>
    <t>MOCHILA GENDARME RRD28 BLK</t>
  </si>
  <si>
    <t>8708102</t>
  </si>
  <si>
    <t>MOCHILA CAMPAMENTO RRD36 BLK</t>
  </si>
  <si>
    <t>8708103</t>
  </si>
  <si>
    <t>MOCHILA PATRULLA RRD29 CPBL BLK</t>
  </si>
  <si>
    <t>8708104</t>
  </si>
  <si>
    <t>BOLSO MALETIN  PORTA PIST. RRD31 BLK</t>
  </si>
  <si>
    <t>8708105</t>
  </si>
  <si>
    <t>MORRAL TACTICO RRD38 BLK</t>
  </si>
  <si>
    <t>8708106</t>
  </si>
  <si>
    <t>BOLSIN M.O.L.L.E. RRD RER</t>
  </si>
  <si>
    <t>8708107</t>
  </si>
  <si>
    <t>POUCH GRANDE RRD15 BLK</t>
  </si>
  <si>
    <t>8708108</t>
  </si>
  <si>
    <t>BOLSO DE TIRO 4 PIEZAS RRD43 BLK</t>
  </si>
  <si>
    <t>8708109</t>
  </si>
  <si>
    <t>PORTA HIDRATADOR RRD30 BLK</t>
  </si>
  <si>
    <t>8708110</t>
  </si>
  <si>
    <t>BOLSO MATERO RRD37 BLK</t>
  </si>
  <si>
    <t>8708111</t>
  </si>
  <si>
    <t>CHALECO FUNDA BALISTICA BASICA RRD6 BLK</t>
  </si>
  <si>
    <t>8708112</t>
  </si>
  <si>
    <t>CHALECO FUNDA BALISTICA COMPL RRD7 BLK</t>
  </si>
  <si>
    <t>8708113</t>
  </si>
  <si>
    <t>CHALECO FUNDA ALPHA BALISTICA RRD42 BLK</t>
  </si>
  <si>
    <t>8708114</t>
  </si>
  <si>
    <t>MOCHILA PATRULLA RRD29 CAMUFLADA BLK</t>
  </si>
  <si>
    <t>8708115</t>
  </si>
  <si>
    <t>PORTACARTUCHOS SIST MOLLE RRD60 BLK</t>
  </si>
  <si>
    <t>8708116</t>
  </si>
  <si>
    <t>CHALECO FUNDA ALBATROS 5 ELEM RRD63 BLK</t>
  </si>
  <si>
    <t>8708117</t>
  </si>
  <si>
    <t>MOCHILA RM99898/269 ETCH01</t>
  </si>
  <si>
    <t>8708118</t>
  </si>
  <si>
    <t>MOCHILA RM99898/269 AZUL ETCH01</t>
  </si>
  <si>
    <t>8708119</t>
  </si>
  <si>
    <t>MOCHILA RM99898/269 VERDE ETCH01</t>
  </si>
  <si>
    <t>8708120</t>
  </si>
  <si>
    <t>MOCHILA PATRULLA RRD29 VERDE BLK</t>
  </si>
  <si>
    <t>8708121</t>
  </si>
  <si>
    <t>MOCHILA TACT MINI MOLLE ETCH 03</t>
  </si>
  <si>
    <t>8708122</t>
  </si>
  <si>
    <t>MUSLERA PORTA PODS RRD26 RER</t>
  </si>
  <si>
    <t>8708123</t>
  </si>
  <si>
    <t>MOCHILA GENDARME RRD28 VERDE BLK</t>
  </si>
  <si>
    <t>8708124</t>
  </si>
  <si>
    <t>MOCHILA TACT MINI MOLLE VERDE ETCH 03</t>
  </si>
  <si>
    <t>8708125</t>
  </si>
  <si>
    <t>MOCHILA TACT MINI MOLLE CAMUFL ETCH 03</t>
  </si>
  <si>
    <t>8708126</t>
  </si>
  <si>
    <t>MOCHILA TACT MINI MOLLE AZUL ETCH 03</t>
  </si>
  <si>
    <t>8708127</t>
  </si>
  <si>
    <t>MOCHILA TACT MINI MOLLE GRIS ETCH 03</t>
  </si>
  <si>
    <t>8708128</t>
  </si>
  <si>
    <t>MOCHILA RM99898/269 CAMUFLADA ETCH01</t>
  </si>
  <si>
    <t>8708129</t>
  </si>
  <si>
    <t>MOCHILA RM99898/269 GRIS ETC01</t>
  </si>
  <si>
    <t>8708130</t>
  </si>
  <si>
    <t>MOCHILA RM99898/269 ETCH</t>
  </si>
  <si>
    <t>8708196</t>
  </si>
  <si>
    <t>MUSLERA ESCORPION STD MUS-196 KAE</t>
  </si>
  <si>
    <t>8708198</t>
  </si>
  <si>
    <t>MUSLERA SW MUS-198 KAE</t>
  </si>
  <si>
    <t>8708200</t>
  </si>
  <si>
    <t>POUCH MULTIUSO GRANDE PCH001 MOLLE EM</t>
  </si>
  <si>
    <t>8708202</t>
  </si>
  <si>
    <t>MUSLERAC/TORNILLO ELASTR MUS-202 KAE</t>
  </si>
  <si>
    <t>8708203</t>
  </si>
  <si>
    <t>MUSLERA COMANDO CON ELASTICO 203 KAE</t>
  </si>
  <si>
    <t>8708204</t>
  </si>
  <si>
    <t>MUSLERA COMANDO STD MUS-204 KAE</t>
  </si>
  <si>
    <t>8708205</t>
  </si>
  <si>
    <t>MUSLERA CON TORNILLOS 205 KAE</t>
  </si>
  <si>
    <t>8708206</t>
  </si>
  <si>
    <t>MUSLERA ESCORPION C ELASTICO MUS-206 KAE</t>
  </si>
  <si>
    <t>8708207</t>
  </si>
  <si>
    <t>MUSLERA CON PORTA CARGADOR ELAST 207 KAE</t>
  </si>
  <si>
    <t>8708209</t>
  </si>
  <si>
    <t>MUSLERA MORRAL CON TORNILLO XL STD RER</t>
  </si>
  <si>
    <t>8708210</t>
  </si>
  <si>
    <t>MUSLERA MORRAL CON CIERRE MUS-210 KAE</t>
  </si>
  <si>
    <t>8708211</t>
  </si>
  <si>
    <t>MUSLERA ALFORJA 211 KAE</t>
  </si>
  <si>
    <t>8708213</t>
  </si>
  <si>
    <t>MUSLERA DOUCAD MUS-213 KAE</t>
  </si>
  <si>
    <t>8708214</t>
  </si>
  <si>
    <t>MUSLERA UNIVERSAL KENT 199</t>
  </si>
  <si>
    <t>8708215</t>
  </si>
  <si>
    <t>MUSLERA MORRAL C/CIERRE MUS-215 KAE</t>
  </si>
  <si>
    <t>8708216</t>
  </si>
  <si>
    <t>MULSERA BASE MOLLE MUS-216 KAE</t>
  </si>
  <si>
    <t>8708226</t>
  </si>
  <si>
    <t>MOCHILA PORTA ACCESORIOS ETCH 08</t>
  </si>
  <si>
    <t>8708227</t>
  </si>
  <si>
    <t>MOCHILA SUPER ETCH 09</t>
  </si>
  <si>
    <t>8708228</t>
  </si>
  <si>
    <t>8708249</t>
  </si>
  <si>
    <t>MORRAL CRUZADO RRD81 BLK</t>
  </si>
  <si>
    <t>8708254</t>
  </si>
  <si>
    <t>POUCH CON PORTA CELULAR POR-254 KAE</t>
  </si>
  <si>
    <t>8708255</t>
  </si>
  <si>
    <t>ACCESORIO CLIP P/MOLLE NIVEL 2 N2-5M FUN</t>
  </si>
  <si>
    <t>8708272</t>
  </si>
  <si>
    <t>PLATAFORMA MUSLERA H.N2-72 FUN</t>
  </si>
  <si>
    <t>8708273</t>
  </si>
  <si>
    <t>PLATAFORMA MUSLERA MOLLE M007 TB</t>
  </si>
  <si>
    <t>8708300</t>
  </si>
  <si>
    <t>8708301</t>
  </si>
  <si>
    <t>CHALECO FUNDA MOLLE PORTA NIVEL2</t>
  </si>
  <si>
    <t>8708311</t>
  </si>
  <si>
    <t>MOCHILA LASER NEGRA ETCH 11</t>
  </si>
  <si>
    <t>8708312</t>
  </si>
  <si>
    <t>MOCHILA LASER GRIS ETCH 11</t>
  </si>
  <si>
    <t>8708313</t>
  </si>
  <si>
    <t>MOCHILA LASER AZUL ETCH 11</t>
  </si>
  <si>
    <t>8708314</t>
  </si>
  <si>
    <t>MOCHILA LASER CAMU ETCH 11</t>
  </si>
  <si>
    <t>8708315</t>
  </si>
  <si>
    <t>MOCHILA LASER VERDE ETCH 11</t>
  </si>
  <si>
    <t>8708402</t>
  </si>
  <si>
    <t>BOLSO ABH40200</t>
  </si>
  <si>
    <t>8708550</t>
  </si>
  <si>
    <t>MORRAL BOLSO TACTICO PORTA BOTELLA 8147-</t>
  </si>
  <si>
    <t>8708551</t>
  </si>
  <si>
    <t>MOCHILA 3 BOLSILLOS VERDE GN</t>
  </si>
  <si>
    <t>8708552</t>
  </si>
  <si>
    <t>MOCHILA MOLLE GRANDE VERDE GN</t>
  </si>
  <si>
    <t>8708601</t>
  </si>
  <si>
    <t>MOCHILA PUBG LEVEL 3 MZ-RJ-B01 30L FRONT</t>
  </si>
  <si>
    <t>8708602</t>
  </si>
  <si>
    <t>MOCHILA 3D CHICA MZ-RJ-B02 22.5L FRONT-5</t>
  </si>
  <si>
    <t>8708603</t>
  </si>
  <si>
    <t>MOCHILA NITRO MZ-RJ-Y003 30.5L FRONT-82/</t>
  </si>
  <si>
    <t>8708604</t>
  </si>
  <si>
    <t>8708607</t>
  </si>
  <si>
    <t>MOCHILA FLANKER MZ-RJ-A18 X7 25L FRONT-1</t>
  </si>
  <si>
    <t>8708608</t>
  </si>
  <si>
    <t>MOCHILA 3 POUCH MZ-RJ-A08 33L FRONT-138/</t>
  </si>
  <si>
    <t>8708609</t>
  </si>
  <si>
    <t>MOCHILA MZ-RJ-B35809 38.5L FRONT-114/3,6</t>
  </si>
  <si>
    <t>8708610</t>
  </si>
  <si>
    <t>MOCHILA 3D MEDIANA MZ-RJ-A10 35L FRONT 7</t>
  </si>
  <si>
    <t>8708615</t>
  </si>
  <si>
    <t>MUSLERA TACTICA UNIVERSAL T615</t>
  </si>
  <si>
    <t>8708617</t>
  </si>
  <si>
    <t>8708618</t>
  </si>
  <si>
    <t>MOCHILA CAMELBACK MZ-RJ-B10 18.5L FRONT-</t>
  </si>
  <si>
    <t>8708620</t>
  </si>
  <si>
    <t>MOCHILA SWAT 3P MZ-RJ-A20 23.5L FRONT-9,</t>
  </si>
  <si>
    <t>8708625</t>
  </si>
  <si>
    <t>MOCHILA BOLSO CRAZY ANTS 8124-25 30L YW-</t>
  </si>
  <si>
    <t>8708628</t>
  </si>
  <si>
    <t>MOCHILA BOLSO 8126-2 50L YW-140/3</t>
  </si>
  <si>
    <t>8708629</t>
  </si>
  <si>
    <t>MOCHILA CUERO DOBLE C/USB ART.9629</t>
  </si>
  <si>
    <t>8708630</t>
  </si>
  <si>
    <t>CHALECO PORTA PLACAS C/PORTA ELEM. ETCH</t>
  </si>
  <si>
    <t>8708631</t>
  </si>
  <si>
    <t>MOCHILA PIX SPORT 8129-31 47L YW-3,76/4,</t>
  </si>
  <si>
    <t>8708634</t>
  </si>
  <si>
    <t>MOCHILA CON CORDON GRANDE 8132-34 65L YW</t>
  </si>
  <si>
    <t>8708635</t>
  </si>
  <si>
    <t>MOCHILA 8135-37 30L YW-52/3</t>
  </si>
  <si>
    <t>8708637</t>
  </si>
  <si>
    <t>MOCHILA 3D GRANDE MZ-RJ-ZE-002 37.5L FRO</t>
  </si>
  <si>
    <t>8708638</t>
  </si>
  <si>
    <t>MOCHILA CHALECO MOLLE DOBLE FUNCION 9638</t>
  </si>
  <si>
    <t>8708639</t>
  </si>
  <si>
    <t>CORREA TACTICA MILITAR 2 PUNTOS 5639-18/</t>
  </si>
  <si>
    <t>8708640</t>
  </si>
  <si>
    <t>MOCHILA PUBG WATERGROUN 8139-40 14.5L YW</t>
  </si>
  <si>
    <t>8708643</t>
  </si>
  <si>
    <t>MOCHILA 8141-43 20.5L YW-48/3</t>
  </si>
  <si>
    <t>8708644</t>
  </si>
  <si>
    <t>CORREA TACTICA MILITAR 1 PUNTO 5643-1,8/</t>
  </si>
  <si>
    <t>8708657</t>
  </si>
  <si>
    <t>MOCHILA CIERRE CORDON 8057 33L YW-6,5/,</t>
  </si>
  <si>
    <t>8708815</t>
  </si>
  <si>
    <t>POUCH TACTICO C/PORTA CEL MOLLE 8150-18/</t>
  </si>
  <si>
    <t>8708888</t>
  </si>
  <si>
    <t>CHALECO FUNDA MAGAL GRANDE MOLLE RRD/ET</t>
  </si>
  <si>
    <t>8708899</t>
  </si>
  <si>
    <t>MOCHILA MZ-RJ-A99 25 L FRONT</t>
  </si>
  <si>
    <t>8708900</t>
  </si>
  <si>
    <t>MORRAL MUSLERA RER</t>
  </si>
  <si>
    <t>8708901</t>
  </si>
  <si>
    <t>MORRAL MOR - 01 RER</t>
  </si>
  <si>
    <t>8708907</t>
  </si>
  <si>
    <t>MOCHILA ASALTO TACT25LT 3P LASER JSH1907</t>
  </si>
  <si>
    <t>CHALECO FUNDA MOLLE</t>
  </si>
  <si>
    <t>8708999</t>
  </si>
  <si>
    <t>CHALECO FUNDA MAGAL CHICO MOLLE RRD/ET B</t>
  </si>
  <si>
    <t>8709698</t>
  </si>
  <si>
    <t>BANDOLERA DE CUERO LABRADA 1042 TB</t>
  </si>
  <si>
    <t>8709699</t>
  </si>
  <si>
    <t>BANDOLERA DE CUERO BLANCA</t>
  </si>
  <si>
    <t>8711047</t>
  </si>
  <si>
    <t>SOBAQ CUERO VERT HORIZONTAL SPLE 1047 TB</t>
  </si>
  <si>
    <t>8711048</t>
  </si>
  <si>
    <t>SOBAQ CUERO C PORTACARG SIMPLE 1048 T TB</t>
  </si>
  <si>
    <t>8711049</t>
  </si>
  <si>
    <t>SOBAQ CUERO CPORTACARG DOBLE T1049 ST TB</t>
  </si>
  <si>
    <t>8711105</t>
  </si>
  <si>
    <t>SOBAQ. POLIA S/PORTACARG MAZ</t>
  </si>
  <si>
    <t>8711700</t>
  </si>
  <si>
    <t>SOBAQ. UNIVERSAL SIMPLE T700 TB</t>
  </si>
  <si>
    <t>8711701</t>
  </si>
  <si>
    <t>SOBAQ. POLIA C/PORTACAR. SIMPLE T701 TB</t>
  </si>
  <si>
    <t>8711702</t>
  </si>
  <si>
    <t>SOBAQ POLIA C/PORTACARG DOBLE T702 TB</t>
  </si>
  <si>
    <t>8711704</t>
  </si>
  <si>
    <t>SOBAQ. TERMO C/PORTACARG SIMPLE MAZ RER</t>
  </si>
  <si>
    <t>8711706</t>
  </si>
  <si>
    <t>SOBAQ. MIAMI UNIVERSAL T706 RER</t>
  </si>
  <si>
    <t>8711707</t>
  </si>
  <si>
    <t>SOBAQ. MIAMI CON PORTA T707 RER</t>
  </si>
  <si>
    <t>8715004</t>
  </si>
  <si>
    <t>GUANTE PRIME RER</t>
  </si>
  <si>
    <t>8715803</t>
  </si>
  <si>
    <t>PORTA TAHALI POLIA VERDE GN RER</t>
  </si>
  <si>
    <t>8717033</t>
  </si>
  <si>
    <t>GUANTES NEOPRENE S/DEDO T S/XXL RER</t>
  </si>
  <si>
    <t>8800000</t>
  </si>
  <si>
    <t>CAMUFLAJE MANTA 1MX1M HOJAS VERDES RER</t>
  </si>
  <si>
    <t>8800001</t>
  </si>
  <si>
    <t>CAMUFLAJE GHILLE COMPLETO PELO VERDE RER</t>
  </si>
  <si>
    <t>8800002</t>
  </si>
  <si>
    <t>CAMUFLAJE GHILLE HOJAS VERDE RER</t>
  </si>
  <si>
    <t>8800003</t>
  </si>
  <si>
    <t>CAMUFLAJE GHILLE 2 PIEZAS ARENA HOJA RER</t>
  </si>
  <si>
    <t>8815007</t>
  </si>
  <si>
    <t>8857005</t>
  </si>
  <si>
    <t>BALDE/CABO/MOPAS GIRATORIA 360</t>
  </si>
  <si>
    <t>8857829</t>
  </si>
  <si>
    <t>NON-SLIP SPRY MOP WATER .829</t>
  </si>
  <si>
    <t>8858005</t>
  </si>
  <si>
    <t>8888001</t>
  </si>
  <si>
    <t>CARTEL ESTAMPADO POLICIA GRANDE RER</t>
  </si>
  <si>
    <t>8888002</t>
  </si>
  <si>
    <t>CARTEL ESTAMPADO POLICIA CHICO RER</t>
  </si>
  <si>
    <t>8888003</t>
  </si>
  <si>
    <t>BORDADO EN PRENDA PECT ASOC COOP ARG RER</t>
  </si>
  <si>
    <t>8888004</t>
  </si>
  <si>
    <t>BORDADO PRENDA PECT MUNI RIVADAVIA RER</t>
  </si>
  <si>
    <t>8888005</t>
  </si>
  <si>
    <t>BORD CARTEL P CHALECO SECC ECONOMATO BI</t>
  </si>
  <si>
    <t>8888006</t>
  </si>
  <si>
    <t>BORD EN PRENDA DIV LOG SANTA FE RER</t>
  </si>
  <si>
    <t>8888007</t>
  </si>
  <si>
    <t>CARTEL ESTAMPADO GEVOP SEGURIDAD ESP RER</t>
  </si>
  <si>
    <t>8888008</t>
  </si>
  <si>
    <t>LOGO ESTAMPADO GEVOP LEON FRENTE RER</t>
  </si>
  <si>
    <t>8888009</t>
  </si>
  <si>
    <t>BORD PRENDA SERMEN FRENTE IZQ CAMISA BI</t>
  </si>
  <si>
    <t>8888010</t>
  </si>
  <si>
    <t>BORD PRENDA SERMEN ESC GRIS MANGA IZ BI</t>
  </si>
  <si>
    <t>8888011</t>
  </si>
  <si>
    <t>BORD PRENDA SERMEN P CHOMBA ESPALDA RER</t>
  </si>
  <si>
    <t>8888012</t>
  </si>
  <si>
    <t>BORDADO EN PRENDA LAS PIRCAS RER</t>
  </si>
  <si>
    <t>8888013</t>
  </si>
  <si>
    <t>BORDADO PRENDA LORENZO AUTOM LOGO ESP BI</t>
  </si>
  <si>
    <t>8888014</t>
  </si>
  <si>
    <t>BORDADO EN PRENDA PIQUE PECTORAL CEO BI</t>
  </si>
  <si>
    <t>8888015</t>
  </si>
  <si>
    <t>BORDADO PRENDA CAMISA CEO FRENTE IZQ BI</t>
  </si>
  <si>
    <t>8888016</t>
  </si>
  <si>
    <t>BORDADO EN PRENDA MUNI MZA BI</t>
  </si>
  <si>
    <t>8888017</t>
  </si>
  <si>
    <t>BORDADO PRENDA TALCA FTE IZQ CAMISA BI</t>
  </si>
  <si>
    <t>8888018</t>
  </si>
  <si>
    <t>BORDADO PRENDA ESCUDO MUNI AMBIENTE BI</t>
  </si>
  <si>
    <t>8888019</t>
  </si>
  <si>
    <t>BORDADO EN PRENDA ESCUDO LMGE BI</t>
  </si>
  <si>
    <t>8888020</t>
  </si>
  <si>
    <t>LOGO TALCA BL/RO ESTAMPADO ESPALDA BI</t>
  </si>
  <si>
    <t>8888021</t>
  </si>
  <si>
    <t>BORDADO EN CORBATA VITAR BI</t>
  </si>
  <si>
    <t>8888022</t>
  </si>
  <si>
    <t>LOGO CATACPOL ESTAMP X5  2FR+2BR+1ESP BI</t>
  </si>
  <si>
    <t>8888023</t>
  </si>
  <si>
    <t>BORDADO EN PRENDA VITAR BI</t>
  </si>
  <si>
    <t>8888024</t>
  </si>
  <si>
    <t>BORDADO PRENDA MUNI CIPOLLETTI CRECIE BI</t>
  </si>
  <si>
    <t>8888025</t>
  </si>
  <si>
    <t>BORD PRENDA MUNI SENILLOSA FR GORRA BI</t>
  </si>
  <si>
    <t>8888026</t>
  </si>
  <si>
    <t>BORD PRENDA PIQ DIVISION LOG STA FE RER</t>
  </si>
  <si>
    <t>8888027</t>
  </si>
  <si>
    <t>BORD EN PRENDA GORRA CENTENA MUNI NQN BI</t>
  </si>
  <si>
    <t>8888028</t>
  </si>
  <si>
    <t>BORD EN PRENDA PIQUE CENTENARIO MUNI BI</t>
  </si>
  <si>
    <t>8888029</t>
  </si>
  <si>
    <t>BORD PRENDA ESC POL RIO NEGRO INVEST BI</t>
  </si>
  <si>
    <t>8888030</t>
  </si>
  <si>
    <t>BORD EN PRENDA CARTEL POLICIA AZ BI</t>
  </si>
  <si>
    <t>8888031</t>
  </si>
  <si>
    <t>CARTEL ESTAMPADO POLICIA DE NQN 22X10</t>
  </si>
  <si>
    <t>8888032</t>
  </si>
  <si>
    <t>CARTEL ESTAMPADO POLICIA DE NQN 11X5</t>
  </si>
  <si>
    <t>8899006</t>
  </si>
  <si>
    <t>9000001</t>
  </si>
  <si>
    <t>MUESTRA ESCUDO DE LA PROV. DE NQUEN MANG</t>
  </si>
  <si>
    <t>9000002</t>
  </si>
  <si>
    <t>LOGO LIMIT SEGURIDAD PRIV. MANGA BI</t>
  </si>
  <si>
    <t>9000003</t>
  </si>
  <si>
    <t>LOGO FRENTE SEGURIDAD LIMIT 4X10CM BI</t>
  </si>
  <si>
    <t>9000004</t>
  </si>
  <si>
    <t>LIMIT BORD. LOGO ESPALDA 25X10 CM BI</t>
  </si>
  <si>
    <t>9000005</t>
  </si>
  <si>
    <t>ESC BOR. LIMIT MANGA 8X10CM BI</t>
  </si>
  <si>
    <t>9000006</t>
  </si>
  <si>
    <t>PECT. NOMBRE BORD LIMIT SEG 4X10CM BI</t>
  </si>
  <si>
    <t>9003001</t>
  </si>
  <si>
    <t>MEDIAS DE07A SOX</t>
  </si>
  <si>
    <t>9003002</t>
  </si>
  <si>
    <t>MEDIAS DE09B SOX</t>
  </si>
  <si>
    <t>9003003</t>
  </si>
  <si>
    <t>MEDIAS JE91C SOX</t>
  </si>
  <si>
    <t>9003004</t>
  </si>
  <si>
    <t>MEDIAS LA06B SOX</t>
  </si>
  <si>
    <t>9003005</t>
  </si>
  <si>
    <t>MEDIAS LA08C SOX</t>
  </si>
  <si>
    <t>9003006</t>
  </si>
  <si>
    <t>MEDIAS TRIUNFO VESTIR RER</t>
  </si>
  <si>
    <t>9003007</t>
  </si>
  <si>
    <t>MEDIAS ME02C SOX</t>
  </si>
  <si>
    <t>9003008</t>
  </si>
  <si>
    <t>MEDIAS ME01C SOX</t>
  </si>
  <si>
    <t>9003009</t>
  </si>
  <si>
    <t>MEDIAS ME03C SOX</t>
  </si>
  <si>
    <t>9003010</t>
  </si>
  <si>
    <t>MEDIAS TE31B SOX</t>
  </si>
  <si>
    <t>9003011</t>
  </si>
  <si>
    <t>MEDIAS TE02A SOX</t>
  </si>
  <si>
    <t>9003012</t>
  </si>
  <si>
    <t>MEDIAS TE29A SOX</t>
  </si>
  <si>
    <t>9003013</t>
  </si>
  <si>
    <t>MEDIAS TE32C SOX</t>
  </si>
  <si>
    <t>9003014</t>
  </si>
  <si>
    <t>MEDIAS TE47A SOX</t>
  </si>
  <si>
    <t>9003015</t>
  </si>
  <si>
    <t>MEDIAS VE36C SOX</t>
  </si>
  <si>
    <t>9003016</t>
  </si>
  <si>
    <t>MEDIAS TE48A SOX</t>
  </si>
  <si>
    <t>9003017</t>
  </si>
  <si>
    <t>MEDIAS TE51A SOX</t>
  </si>
  <si>
    <t>9003018</t>
  </si>
  <si>
    <t>MEDIAS TE53A SOX</t>
  </si>
  <si>
    <t>9003019</t>
  </si>
  <si>
    <t>MEDIAS TE54A SOX</t>
  </si>
  <si>
    <t>9003020</t>
  </si>
  <si>
    <t>MEDIAS TE56A SOX</t>
  </si>
  <si>
    <t>9003021</t>
  </si>
  <si>
    <t>MEDIAS TE57A SOX</t>
  </si>
  <si>
    <t>9003022</t>
  </si>
  <si>
    <t>MEDIAS TE59A SOX</t>
  </si>
  <si>
    <t>9003023</t>
  </si>
  <si>
    <t>MEDIAS VE15D SOX</t>
  </si>
  <si>
    <t>9003024</t>
  </si>
  <si>
    <t>9003025</t>
  </si>
  <si>
    <t>MEDIAS TE47A RER</t>
  </si>
  <si>
    <t>9003026</t>
  </si>
  <si>
    <t>MEDIA DE10A SOX</t>
  </si>
  <si>
    <t>9003090</t>
  </si>
  <si>
    <t>MEDIAS TE90A TERMICAS SOX</t>
  </si>
  <si>
    <t>9003100</t>
  </si>
  <si>
    <t>MEDIAS EXTREME RERDA CORTA RER</t>
  </si>
  <si>
    <t>9003101</t>
  </si>
  <si>
    <t>MEDIAS EXTREME RERDA LARGA RER</t>
  </si>
  <si>
    <t>9003417</t>
  </si>
  <si>
    <t>MEDIAS CIUDADELA RER</t>
  </si>
  <si>
    <t>9003710</t>
  </si>
  <si>
    <t>MEDIAS FREE TIME LMGE RER</t>
  </si>
  <si>
    <t>9003976</t>
  </si>
  <si>
    <t>MEDIAS TERMICAS TRECKING 365 STX RER</t>
  </si>
  <si>
    <t>900397601</t>
  </si>
  <si>
    <t>MEDIAS TERMICAS TRECKING 365 STX T1 RER</t>
  </si>
  <si>
    <t>900397602</t>
  </si>
  <si>
    <t>MEDIAS TERMICAS TRECKING 365 STX T2 RER</t>
  </si>
  <si>
    <t>9003978</t>
  </si>
  <si>
    <t>MEDIAS TERMICAS SKI RER</t>
  </si>
  <si>
    <t>900397801</t>
  </si>
  <si>
    <t>MEDIAS TERMICAS SKI T.37/41 RER</t>
  </si>
  <si>
    <t>900397802</t>
  </si>
  <si>
    <t>MEDIAS TERMICAS SKI T.42/46 RER</t>
  </si>
  <si>
    <t>9003981</t>
  </si>
  <si>
    <t>MEDIAS SKY STX180981 AB</t>
  </si>
  <si>
    <t>9003985</t>
  </si>
  <si>
    <t>MEDIAS TERMICAS OUTDOOR RER</t>
  </si>
  <si>
    <t>900398501</t>
  </si>
  <si>
    <t>MEDIAS TERMICAS OUTDOOR T.37/41</t>
  </si>
  <si>
    <t>900398502</t>
  </si>
  <si>
    <t>MEDIAS TERMICAS OUTDOOR T.42/46</t>
  </si>
  <si>
    <t>9003986</t>
  </si>
  <si>
    <t>MEDIAS STX 180986 AB</t>
  </si>
  <si>
    <t>9003988</t>
  </si>
  <si>
    <t>MEDIAS SKY STX 180988 AB</t>
  </si>
  <si>
    <t>9003993</t>
  </si>
  <si>
    <t>MEDIAS DOBLE CAPA STX RER</t>
  </si>
  <si>
    <t>900399301</t>
  </si>
  <si>
    <t>MEDIAS STX DOBLE CAPA RER</t>
  </si>
  <si>
    <t>900399302</t>
  </si>
  <si>
    <t>MEDIAS STX DOBLE CAPA</t>
  </si>
  <si>
    <t>900697601</t>
  </si>
  <si>
    <t>9010000</t>
  </si>
  <si>
    <t>TELA PLASTICA POLIESTER 100% NEGRO INT</t>
  </si>
  <si>
    <t>9010001</t>
  </si>
  <si>
    <t>TELA IMPO POLYESTER CAM 001 RER</t>
  </si>
  <si>
    <t>9010002</t>
  </si>
  <si>
    <t>TELA IMPO VERDE CLARO 002 RER</t>
  </si>
  <si>
    <t>9010003</t>
  </si>
  <si>
    <t>TELA IMPO HEXA 003 RER</t>
  </si>
  <si>
    <t>9010004</t>
  </si>
  <si>
    <t>TELA IMPO VERDE LISA 004 RER</t>
  </si>
  <si>
    <t>9010005</t>
  </si>
  <si>
    <t>TELA IMPO HEXA VERDE 005 RER</t>
  </si>
  <si>
    <t>9010840</t>
  </si>
  <si>
    <t>TELA SARGA  0480 INT</t>
  </si>
  <si>
    <t>9010841</t>
  </si>
  <si>
    <t>ALPACUNA AZUL FC</t>
  </si>
  <si>
    <t>9709018</t>
  </si>
  <si>
    <t>9716020</t>
  </si>
  <si>
    <t>9716021</t>
  </si>
  <si>
    <t>9859017</t>
  </si>
  <si>
    <t>BOLSA ESTANCO</t>
  </si>
  <si>
    <t>999</t>
  </si>
  <si>
    <t>MAS COMPUTACION</t>
  </si>
  <si>
    <t>9999022</t>
  </si>
  <si>
    <t>PERCHAS UNIDAD LMGE RER</t>
  </si>
  <si>
    <t>9999025</t>
  </si>
  <si>
    <t>ABROJO ASP+SUA 0.25 X 0.11 RER</t>
  </si>
  <si>
    <t>9999026</t>
  </si>
  <si>
    <t>FUNDA PARA TRAJE LMGE</t>
  </si>
  <si>
    <t>9999050</t>
  </si>
  <si>
    <t>ABROJO ASP+SUA 0.50 X 0.60 RER</t>
  </si>
  <si>
    <t>9999075</t>
  </si>
  <si>
    <t>ABROJO SOBRE COMBINADO RER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</si>
  <si>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</si>
  <si>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</si>
  <si>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</si>
  <si>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</si>
  <si>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</si>
  <si>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</si>
  <si>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</si>
  <si>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</si>
  <si>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</si>
  <si>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</si>
  <si>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</si>
  <si>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</si>
  <si>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</si>
  <si>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</si>
  <si>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</si>
  <si>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</si>
  <si>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</si>
  <si>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</si>
  <si>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</si>
  <si>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</si>
  <si>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</si>
  <si>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</si>
  <si>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</si>
  <si>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</si>
  <si>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</si>
  <si>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</si>
  <si>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</si>
  <si>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</si>
  <si>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</si>
  <si>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</si>
  <si>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</si>
  <si>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</si>
  <si>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</si>
  <si>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</si>
  <si>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</si>
  <si>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</si>
  <si>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</si>
  <si>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</si>
  <si>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</si>
  <si>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</si>
  <si>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</si>
  <si>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</si>
  <si>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</si>
  <si>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</si>
  <si>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</si>
  <si>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</si>
  <si>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</si>
  <si>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</si>
  <si>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</si>
  <si>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</si>
  <si>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</si>
  <si>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</si>
  <si>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</si>
  <si>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</si>
  <si>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</si>
  <si>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</si>
  <si>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</si>
  <si>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</si>
  <si>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</si>
  <si>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</si>
  <si>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</si>
  <si>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</si>
  <si>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</si>
  <si>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</si>
  <si>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</si>
  <si>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</si>
  <si>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</si>
  <si>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</si>
  <si>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</si>
  <si>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</si>
  <si>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</si>
  <si>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</si>
  <si>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</si>
  <si>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</si>
  <si>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</si>
  <si>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</si>
  <si>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</si>
  <si>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</si>
  <si>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</si>
  <si>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</si>
  <si>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</si>
  <si>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</si>
  <si>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</si>
  <si>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</si>
  <si>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</si>
  <si>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</si>
  <si>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</si>
  <si>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</si>
  <si>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</si>
  <si>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</si>
  <si>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</si>
  <si>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</si>
  <si>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</si>
  <si>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</si>
  <si>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</si>
  <si>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</si>
  <si>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</si>
  <si>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</si>
  <si>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</si>
  <si>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</si>
  <si>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</si>
  <si>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</si>
  <si>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</si>
  <si>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</si>
  <si>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</si>
  <si>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</si>
  <si>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</si>
  <si>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</si>
  <si>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</si>
  <si>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</si>
  <si>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</si>
  <si>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</si>
  <si>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</si>
  <si>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</si>
  <si>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</si>
  <si>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</si>
  <si>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</si>
  <si>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</si>
  <si>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</si>
  <si>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</si>
  <si>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</si>
  <si>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</si>
  <si>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</si>
  <si>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</si>
  <si>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</si>
  <si>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</si>
  <si>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</si>
  <si>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</si>
  <si>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</si>
  <si>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</si>
  <si>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</si>
  <si>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</si>
  <si>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</si>
  <si>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</si>
  <si>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</si>
  <si>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</si>
  <si>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</si>
  <si>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</si>
  <si>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</si>
  <si>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</si>
  <si>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</si>
  <si>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AJUSTECAJA</t>
  </si>
  <si>
    <t>AJUSTE DE CAJA</t>
  </si>
  <si>
    <t>ARTCOD</t>
  </si>
  <si>
    <t>artdes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</si>
  <si>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</si>
  <si>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</si>
  <si>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</si>
  <si>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</si>
  <si>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</si>
  <si>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</si>
  <si>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</si>
  <si>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BOTO. 001</t>
  </si>
  <si>
    <t>BOTON PERLADO CELESTE POLICIAL 16MM</t>
  </si>
  <si>
    <t>C1120001</t>
  </si>
  <si>
    <t>CORTE BOMBACHAS CONDOR AZUL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</si>
  <si>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</si>
  <si>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</si>
  <si>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</si>
  <si>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</si>
  <si>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</si>
  <si>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</si>
  <si>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</si>
  <si>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</si>
  <si>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</si>
  <si>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</si>
  <si>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</si>
  <si>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</si>
  <si>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</si>
  <si>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</si>
  <si>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</si>
  <si>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</si>
  <si>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</si>
  <si>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</si>
  <si>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</si>
  <si>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</si>
  <si>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</si>
  <si>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</si>
  <si>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</si>
  <si>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</si>
  <si>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</si>
  <si>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</si>
  <si>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</si>
  <si>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</si>
  <si>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</si>
  <si>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</si>
  <si>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</si>
  <si>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</si>
  <si>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</si>
  <si>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</si>
  <si>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</si>
  <si>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</si>
  <si>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</si>
  <si>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</si>
  <si>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</si>
  <si>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</si>
  <si>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</si>
  <si>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</si>
  <si>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</si>
  <si>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</si>
  <si>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</si>
  <si>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</si>
  <si>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</si>
  <si>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</si>
  <si>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</si>
  <si>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</si>
  <si>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</si>
  <si>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</si>
  <si>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</si>
  <si>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</si>
  <si>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</si>
  <si>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</si>
  <si>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</si>
  <si>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</si>
  <si>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</si>
  <si>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</si>
  <si>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</si>
  <si>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</si>
  <si>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TELA GABARDINA DE SEGUNDA INT</t>
  </si>
  <si>
    <t>GASTO</t>
  </si>
  <si>
    <t>GASTO ADMINISTRATIVO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</si>
  <si>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</si>
  <si>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</si>
  <si>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</si>
  <si>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</si>
  <si>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</si>
  <si>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</si>
  <si>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</si>
  <si>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</si>
  <si>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</si>
  <si>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</si>
  <si>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</si>
  <si>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</si>
  <si>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</si>
  <si>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</si>
  <si>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</si>
  <si>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</si>
  <si>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</si>
  <si>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</si>
  <si>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</si>
  <si>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</si>
  <si>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</si>
  <si>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</si>
  <si>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 GAB MAS</t>
  </si>
  <si>
    <t>PANT UNIFORME GAB. MASCULINO</t>
  </si>
  <si>
    <t>PANT UNI GAB</t>
  </si>
  <si>
    <t>PANT UNIFORME GABARDINA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</si>
  <si>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</si>
  <si>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</si>
  <si>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</si>
  <si>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</si>
  <si>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</si>
  <si>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</si>
  <si>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</si>
  <si>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</si>
  <si>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 MC GRI</t>
  </si>
  <si>
    <t>REMERA MC GRIS TOPO PENITENCIARIA RG</t>
  </si>
  <si>
    <t>RET JUJUY 1</t>
  </si>
  <si>
    <t>RETENCION AL PERS POL ENERO 2016</t>
  </si>
  <si>
    <t>RET JUJUY 2</t>
  </si>
  <si>
    <t>RETENCION AL PERS POL JUNIO 2015</t>
  </si>
  <si>
    <t>ROMPEVIENTO</t>
  </si>
  <si>
    <t>SILVATO</t>
  </si>
  <si>
    <t>T. ALPA1234</t>
  </si>
  <si>
    <t>ALPACUNA AZUL 1234</t>
  </si>
  <si>
    <t>TIRA CUELL.</t>
  </si>
  <si>
    <t>TIRILLA - TIRA DE CUELLO</t>
  </si>
  <si>
    <t>X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</si>
  <si>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</si>
  <si>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</si>
  <si>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</si>
  <si>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</si>
  <si>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</si>
  <si>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</si>
  <si>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ROTULOS</t>
  </si>
  <si>
    <t>XS</t>
  </si>
  <si>
    <t>COMPRAS PROVEEDORES</t>
  </si>
  <si>
    <t>BOMB CLAS GAB AZUL DAMA/SPANDE 34/48 RER</t>
  </si>
  <si>
    <t>BOMB CLAS GAB AZUL DAMA/SPANDE 50/54 RER</t>
  </si>
  <si>
    <t>1120030</t>
  </si>
  <si>
    <t>BOMB CONDOR RIP REQUISA 36/48</t>
  </si>
  <si>
    <t>1120031</t>
  </si>
  <si>
    <t>BOMB CONDOR RIP REQUISA 50/54</t>
  </si>
  <si>
    <t>1120032</t>
  </si>
  <si>
    <t>BOMB CONDOR RIP REQUISA 56/60</t>
  </si>
  <si>
    <t>1120141</t>
  </si>
  <si>
    <t>BOMB GAB GRIS NEUQUEN 34/48 RER</t>
  </si>
  <si>
    <t>1120142</t>
  </si>
  <si>
    <t>BOMB GAB GRIS NEUQUEN 50/54 RER</t>
  </si>
  <si>
    <t>1120143</t>
  </si>
  <si>
    <t>BOMB GAB GRIS NEUQUEN 56/60 RER</t>
  </si>
  <si>
    <t>1120144</t>
  </si>
  <si>
    <t>BOMB GAB GRIS NEUQUEN 62/66</t>
  </si>
  <si>
    <t>1120151</t>
  </si>
  <si>
    <t>BOMB RIP NEGRO NEUQUEN 34/48</t>
  </si>
  <si>
    <t>1120152</t>
  </si>
  <si>
    <t>BOMB RIP NEGRO NEUQUEN 50/54</t>
  </si>
  <si>
    <t>1120153</t>
  </si>
  <si>
    <t>BOMB RIP NEGRO NEUQUEN 56/60</t>
  </si>
  <si>
    <t>1120224</t>
  </si>
  <si>
    <t>BOMB CLAS RIP AZUL M.L. 36/48 RER</t>
  </si>
  <si>
    <t>1120225</t>
  </si>
  <si>
    <t>BOMB CLAS RIP AZUL M.L. 50/54 RER</t>
  </si>
  <si>
    <t>BOMB CLAS GAB NEGRA DAMA/SPANDE 34/48RER</t>
  </si>
  <si>
    <t>BOMB CLAS GAB NEGRA DAMA/SPANDE 50/54RER</t>
  </si>
  <si>
    <t>BOMB CLAS GAB NEGRA DAMA/SPANDE 56/60RER</t>
  </si>
  <si>
    <t>1120512</t>
  </si>
  <si>
    <t>BOMB CLAS RIP MULTICAM BLACK 34/48</t>
  </si>
  <si>
    <t>1120513</t>
  </si>
  <si>
    <t>BOMB CLAS RIP MULTICAM BLACK 50/54</t>
  </si>
  <si>
    <t>1120514</t>
  </si>
  <si>
    <t>BOMB CLAS RIP MULTICAM BLACK 56/60</t>
  </si>
  <si>
    <t>1120710</t>
  </si>
  <si>
    <t>BOMB CLAS RIP AZUL DAMA/SPANDE 34/48 RER</t>
  </si>
  <si>
    <t>1120711</t>
  </si>
  <si>
    <t>BOMB CLAS RIP AZUL DAMA/SPANDE 50/54 RER</t>
  </si>
  <si>
    <t>1120712</t>
  </si>
  <si>
    <t>BOMB CLAS RIP AZUL DAMA/SPANDE 56/60 RER</t>
  </si>
  <si>
    <t>1120742</t>
  </si>
  <si>
    <t>BOMB KADIMA GAB AZUL NQN 34/48 RER</t>
  </si>
  <si>
    <t>1120743</t>
  </si>
  <si>
    <t>BOMB KADIMA GAB AZUL NQN 50/54 RER</t>
  </si>
  <si>
    <t>1120744</t>
  </si>
  <si>
    <t>BOMB KADIMA GAB AZUL NQN 56/60 RER</t>
  </si>
  <si>
    <t>1120745</t>
  </si>
  <si>
    <t>BOMB KADIMA GAB AZUL NQN 62/66 RER</t>
  </si>
  <si>
    <t>1120746</t>
  </si>
  <si>
    <t>BOMB KADIMA EXPAND GAB GRIS 34/48 RER</t>
  </si>
  <si>
    <t>1120747</t>
  </si>
  <si>
    <t>BOMB KADIMA EXPAND GAB GRIS 50/54 RER</t>
  </si>
  <si>
    <t>1120748</t>
  </si>
  <si>
    <t>BOMB KADIMA EXPAND GAB GRIS 56/60 RER</t>
  </si>
  <si>
    <t>1120749</t>
  </si>
  <si>
    <t>BOMB KADIMA EXPAND GAB GRIS 62/66 RER</t>
  </si>
  <si>
    <t>1120793</t>
  </si>
  <si>
    <t>BOMB CONDOR RIP BEIGE 50/54 RER</t>
  </si>
  <si>
    <t>1120804</t>
  </si>
  <si>
    <t>BOMB AMER RIP VIAL TUC 34/48 RER</t>
  </si>
  <si>
    <t>1120805</t>
  </si>
  <si>
    <t>BOMB AMER RIP VIAL TUC 50/54 RER</t>
  </si>
  <si>
    <t>1120806</t>
  </si>
  <si>
    <t>BOMB AMER RIP VIAL TUC 56/60 RER</t>
  </si>
  <si>
    <t>1120910</t>
  </si>
  <si>
    <t>BOMB CLAS RIP NEGRA DAMA/SPANDE 34/48 RE</t>
  </si>
  <si>
    <t>1120911</t>
  </si>
  <si>
    <t>BOMB CLAS RIP NEGRA DAMA/SPANDE 50/54RER</t>
  </si>
  <si>
    <t>1120978</t>
  </si>
  <si>
    <t>BOMB CLAS RIP SELVA 34/48</t>
  </si>
  <si>
    <t>1120980</t>
  </si>
  <si>
    <t>BOMB CLAS RIP SELVA 56/60</t>
  </si>
  <si>
    <t>1130000</t>
  </si>
  <si>
    <t>MAMELUCO AZUL DE TRABAJO</t>
  </si>
  <si>
    <t>2101561</t>
  </si>
  <si>
    <t>REMERA MC SIN CIERRE NEGR CHUBUT 2XS/2XL</t>
  </si>
  <si>
    <t>2101562</t>
  </si>
  <si>
    <t>2101563</t>
  </si>
  <si>
    <t>REMERA MC SIN CIERRE CIENTIFICA 2XS/2XL</t>
  </si>
  <si>
    <t>2101564</t>
  </si>
  <si>
    <t>REMERA MC SIN CIERRE CINTIFICA 3XL/6XL</t>
  </si>
  <si>
    <t>2101565</t>
  </si>
  <si>
    <t>REMERA MC STEEL NEGRA 2XS/2XL</t>
  </si>
  <si>
    <t>2101566</t>
  </si>
  <si>
    <t>REMERA MC STEEL NEGRA 3XL/5XL</t>
  </si>
  <si>
    <t>2101567</t>
  </si>
  <si>
    <t>REMERA MC STEEL AZUL 2XS/2XL</t>
  </si>
  <si>
    <t>2101568</t>
  </si>
  <si>
    <t>REMERA MC STEEL AZUL 3XL/6XL</t>
  </si>
  <si>
    <t>REMERA MC SIN CIERRE AZUL CHUBUT 2XS/2XL</t>
  </si>
  <si>
    <t>REMERA MC SIN CIERRE AZUL CHUBUT 3XL/5XL</t>
  </si>
  <si>
    <t>2101903</t>
  </si>
  <si>
    <t>CHOMBA MC CIERRE NE CHUBUT 2XS/2XL</t>
  </si>
  <si>
    <t>2101904</t>
  </si>
  <si>
    <t>CHOMBA MC CIERRE NE CHUBUT 3XL/5XL</t>
  </si>
  <si>
    <t>2103220</t>
  </si>
  <si>
    <t>REMERA ML COMBAT PITON</t>
  </si>
  <si>
    <t>2103221</t>
  </si>
  <si>
    <t>REMERA ML COMBATE DIGITAL GRIS</t>
  </si>
  <si>
    <t>2301047</t>
  </si>
  <si>
    <t>TRICOTA ESCOTE V SIN FORRO BEIGE</t>
  </si>
  <si>
    <t>3101489</t>
  </si>
  <si>
    <t>CAMISA ML AZUL DE TRABAJO</t>
  </si>
  <si>
    <t>4120170</t>
  </si>
  <si>
    <t>CAMISA ML BAT CELEST CUELLO PALOMA 34/44</t>
  </si>
  <si>
    <t>4120171</t>
  </si>
  <si>
    <t>CAMISA ML BAT CELEST CUELLO PALOMA 46/50</t>
  </si>
  <si>
    <t>4120172</t>
  </si>
  <si>
    <t>CAMISA ML BAT CELEST CUELLO PALOMA 52/56</t>
  </si>
  <si>
    <t>4120790</t>
  </si>
  <si>
    <t>CAMISA ML BAT GRIS CUELLO PALOMA 34/44</t>
  </si>
  <si>
    <t>4120791</t>
  </si>
  <si>
    <t>CAMISA ML BAT GRIS CUELLO PALOMA 46/50</t>
  </si>
  <si>
    <t>4120792</t>
  </si>
  <si>
    <t>CAMISA ML BAT GRIS CUELLO PALOMA 52/56</t>
  </si>
  <si>
    <t>5101008</t>
  </si>
  <si>
    <t>GARIBALDINA MAO GAB NEGRA 3XL/6XL</t>
  </si>
  <si>
    <t>CAMP TERMICO AZUL  2XS/2XL RER</t>
  </si>
  <si>
    <t>CAMP TERMICO NEGRO 2XS/2XL RER</t>
  </si>
  <si>
    <t>CAMP TERMICO NEGRO 3XL/6XL RER</t>
  </si>
  <si>
    <t>CAMP TERMICO AZUL 3XL/6XL RER</t>
  </si>
  <si>
    <t>CAMP TERMICO GRIS 3XL/6XL RER</t>
  </si>
  <si>
    <t>5101751</t>
  </si>
  <si>
    <t>CAMPERA CORTA PENITENCIARIA 2XS/2XL</t>
  </si>
  <si>
    <t>5101752</t>
  </si>
  <si>
    <t>CAMPERA CORTA PENITENCIARIA 3XL/6XL</t>
  </si>
  <si>
    <t>CAMP GABARDINA NEGRA CORTA</t>
  </si>
  <si>
    <t>5101980</t>
  </si>
  <si>
    <t>CAMP GABARDINA AZUL CORTA</t>
  </si>
  <si>
    <t>5101987</t>
  </si>
  <si>
    <t>CAMP INVEST VERDE RER</t>
  </si>
  <si>
    <t>CAMP PALMAJ AMARILLA/NARANJA FLUOR</t>
  </si>
  <si>
    <t>5102000</t>
  </si>
  <si>
    <t>CONJ. IMPER PREMIUM PANT Y SACO 12526</t>
  </si>
  <si>
    <t>COMBO ESPOSAS + PORTA ESPOSAS TERMO</t>
  </si>
  <si>
    <t>COMBO BASTON + PORTA BASTON EXTENSIBLE</t>
  </si>
  <si>
    <t>COMBO BASTON + PORTA BASTON CORTO</t>
  </si>
  <si>
    <t>COMBO PIST. AMBIDIESTRA + PORTA ESPOSAS</t>
  </si>
  <si>
    <t>COMBO PIST. UNIVERSAL + PORTA ESPOSAS +</t>
  </si>
  <si>
    <t>COMBO PIST. Nivel 3 + PLATAFORMA MUSLERA</t>
  </si>
  <si>
    <t>COMBO PORTA ESP TERMO  GUER + ESPOSAS GA</t>
  </si>
  <si>
    <t>COMBO chaleco magal + barbijo</t>
  </si>
  <si>
    <t>COMBO  MOCHILA + BANDERA</t>
  </si>
  <si>
    <t>COMBO PORTA ESPOSAS VERDE + ESPOSAS CON</t>
  </si>
  <si>
    <t>COMBO  CHALECO MOLLE + PIST. NIVEL 2 + P</t>
  </si>
  <si>
    <t>6000019</t>
  </si>
  <si>
    <t>COMBO PORTA ESPOSAS TERMO + BARBIJO PLIS</t>
  </si>
  <si>
    <t>6000020</t>
  </si>
  <si>
    <t>COMBO CHALECO + ACCESORIOS + POUC + RIÑ.</t>
  </si>
  <si>
    <t>6000021</t>
  </si>
  <si>
    <t>6000022</t>
  </si>
  <si>
    <t>COMBO CAMPERA SOFTSHELL PREM + BARBIJO</t>
  </si>
  <si>
    <t>6000023</t>
  </si>
  <si>
    <t>COMBO CINTO INTERNO + CINTO AMERICANO NE</t>
  </si>
  <si>
    <t>6000024</t>
  </si>
  <si>
    <t>COMBO PISTOLERA NIVEL 2 + PORTA CARG. DO</t>
  </si>
  <si>
    <t>6000025</t>
  </si>
  <si>
    <t>COMBO PIST NIVEL 2 HOLSTER + PORTA CARG</t>
  </si>
  <si>
    <t>6000026</t>
  </si>
  <si>
    <t>COMBO CHALECO MOLLE + PLATAFORMA MOLLE</t>
  </si>
  <si>
    <t>6000027</t>
  </si>
  <si>
    <t>COMBO PIST NIVEL 2 + PORTA CARGADOR DOBL</t>
  </si>
  <si>
    <t>6000028</t>
  </si>
  <si>
    <t>6000029</t>
  </si>
  <si>
    <t>COMBO CINTO AMERICANO + PIST TERMO + POR</t>
  </si>
  <si>
    <t>6000030</t>
  </si>
  <si>
    <t>combo mochila  + bandera</t>
  </si>
  <si>
    <t>COMBO GARIBALDINA GRIS RIP MAO + PORTAES</t>
  </si>
  <si>
    <t>PACK BALDE MOPA X 10</t>
  </si>
  <si>
    <t>PACK BALDE MOPA X 20</t>
  </si>
  <si>
    <t>6001008</t>
  </si>
  <si>
    <t>PACK LINTERNA X 6 TACTICA PROF</t>
  </si>
  <si>
    <t>INSIG BI BAJA V PENIT AYDTE 5TA CABO</t>
  </si>
  <si>
    <t>INSIG BI BAJA V PENIT SUB AYDTE CABO 1</t>
  </si>
  <si>
    <t>7700510</t>
  </si>
  <si>
    <t>INSIG ROJA COLGAR 1 ROMBO DORADO BOMBERO</t>
  </si>
  <si>
    <t>7700511</t>
  </si>
  <si>
    <t>INSIG ROJA COLGAR 2 ROMBO DORADO BOMBERO</t>
  </si>
  <si>
    <t>7700512</t>
  </si>
  <si>
    <t>INSIG ROJA COLGAR 3 ROMBO DORADO BOMBERO</t>
  </si>
  <si>
    <t>7700515</t>
  </si>
  <si>
    <t>INSIG ROJA COLGAR COMAND GRAL DOR BOMBER</t>
  </si>
  <si>
    <t>HOMB BI PENIT MZA 3SOL PAL SERRET BOT RE</t>
  </si>
  <si>
    <t>HOMB BI PENIT SANTA CRUZ ALCAIDE MAYOR</t>
  </si>
  <si>
    <t>HOMB BORD ORO SANTA CRUZ CRIO INSP 1S DG</t>
  </si>
  <si>
    <t>7707022</t>
  </si>
  <si>
    <t>METAL PASADOR LABRADO DORADO GALA</t>
  </si>
  <si>
    <t>7707282</t>
  </si>
  <si>
    <t>METAL BOTON NQUEN 16 MM PLATEA C/PATA BM</t>
  </si>
  <si>
    <t>METAL BOTON PATRIO 25MM.  PLATEADO FEM</t>
  </si>
  <si>
    <t>METAL BOTON PATRIO 16 MM. PLAT. OJAL FEM</t>
  </si>
  <si>
    <t>METAL BOTON PATRIO 12 MM. DOR C/PATA FEM</t>
  </si>
  <si>
    <t>7707833</t>
  </si>
  <si>
    <t>ESC BORD SERG PRIV LIDERAR</t>
  </si>
  <si>
    <t>7707834</t>
  </si>
  <si>
    <t>ESC BORD ESCUDO MZA SEG PRIV LIDERAR</t>
  </si>
  <si>
    <t>7709009</t>
  </si>
  <si>
    <t>ESC ATENAS SEGURIDAD BL/RO SIN ENG BRAZ</t>
  </si>
  <si>
    <t>7709040</t>
  </si>
  <si>
    <t>ESC BORD TUC BOMBEROS VOL ALDERETES</t>
  </si>
  <si>
    <t>7709071</t>
  </si>
  <si>
    <t>PECT BORD 3 ROMBOS BOMBEROS TUC</t>
  </si>
  <si>
    <t>7709072</t>
  </si>
  <si>
    <t>PECT BORD 3 SOLES PALMA Y SERRETA TUC</t>
  </si>
  <si>
    <t>PECT. POLICIA BORDADO BAJA VISIBILIDAD</t>
  </si>
  <si>
    <t>7709161</t>
  </si>
  <si>
    <t>ESC BORD ACLUA STA CRUZ</t>
  </si>
  <si>
    <t>7709334</t>
  </si>
  <si>
    <t>ESC BORD POLICIA MENDOZA BAJA V VIEJO M</t>
  </si>
  <si>
    <t>ESC BORD NQN DIRECCION DE BOMBEROS</t>
  </si>
  <si>
    <t>7709414</t>
  </si>
  <si>
    <t>ESC BORD MONTADA PIN C/ABROJO</t>
  </si>
  <si>
    <t>7709415</t>
  </si>
  <si>
    <t>ESC BORD POLICIA CHUBUT CHICO C/ABROJO</t>
  </si>
  <si>
    <t>7709416</t>
  </si>
  <si>
    <t>ESC BORD POLICIA CHUBUT CHICO BV ABROJO</t>
  </si>
  <si>
    <t>8205090</t>
  </si>
  <si>
    <t>BORCEGUIE COMBAT ART.40</t>
  </si>
  <si>
    <t>8205989</t>
  </si>
  <si>
    <t>BOTA PVC ESCORPIO 4989</t>
  </si>
  <si>
    <t>8301301</t>
  </si>
  <si>
    <t>GORRITA REPAR-REPRIV MINISTERIO DE SEG.</t>
  </si>
  <si>
    <t>8400004</t>
  </si>
  <si>
    <t>GORRITA GRUPO RL SEGURIDAD PRIVADA</t>
  </si>
  <si>
    <t>8400091</t>
  </si>
  <si>
    <t>GORRITA MOTORISTA C/BORDADOS DEL/TRAS</t>
  </si>
  <si>
    <t>8400107</t>
  </si>
  <si>
    <t>GORRITA SEG NEGRA LIDERAR</t>
  </si>
  <si>
    <t>8400175</t>
  </si>
  <si>
    <t>GORRITA STA CRUZ POLICIA VIAL NE</t>
  </si>
  <si>
    <t>8400266</t>
  </si>
  <si>
    <t>GORRITA RECAUDO SEGURIDAD</t>
  </si>
  <si>
    <t>MANGA TRANSITO CON REFLECTIVO</t>
  </si>
  <si>
    <t>8401013</t>
  </si>
  <si>
    <t>SUDADERA RED MILITAR BEIGE 160 X 0.25 RE</t>
  </si>
  <si>
    <t>PORTA CREDENC C PORTA CHAPA H O V</t>
  </si>
  <si>
    <t>PORTA ELEMENTOS POLIA T682 TB</t>
  </si>
  <si>
    <t>BASTON SEMIRIGIDO 45 CM 211</t>
  </si>
  <si>
    <t>PROTECTOR AUDITIVO LIBUS L320 COPA</t>
  </si>
  <si>
    <t>BASTON EXTENSIBLE IMP. NEGRO 0807</t>
  </si>
  <si>
    <t>8505040</t>
  </si>
  <si>
    <t>PECT. BI PENIT SANTA CRUZ SUB ADJUTOR</t>
  </si>
  <si>
    <t>8505041</t>
  </si>
  <si>
    <t>PECT. BI PENIT SANTA CRUZ ADJUTOR</t>
  </si>
  <si>
    <t>8505042</t>
  </si>
  <si>
    <t>PECT. BI PENIT SANTA CRUZ ADJUTOR PPAL.</t>
  </si>
  <si>
    <t>8505043</t>
  </si>
  <si>
    <t>PECT. BI PENIT SANTA CRUZ SUB ALCAIDE</t>
  </si>
  <si>
    <t>8505044</t>
  </si>
  <si>
    <t>PECT. BI PENIT SANTA CRUZ ALCAIDE</t>
  </si>
  <si>
    <t>8505045</t>
  </si>
  <si>
    <t>PECT. BI PENIT SANTA CRUZ ALCAIDE MAYOR</t>
  </si>
  <si>
    <t>8505046</t>
  </si>
  <si>
    <t>PECT. BI PENIT SANTA CRUZ SUB PREFECTO</t>
  </si>
  <si>
    <t>8505047</t>
  </si>
  <si>
    <t>PECT. BI PENIT SANTA CRUZ PREFECTO</t>
  </si>
  <si>
    <t>8505048</t>
  </si>
  <si>
    <t>PECT. BI PENIT SANTA CRUZ INSPECTOR GRAL</t>
  </si>
  <si>
    <t>8505067</t>
  </si>
  <si>
    <t>NOMBRE BORD GLOBAL ATENAS SA BL/RO</t>
  </si>
  <si>
    <t>NO USAR PECT. BORD AUXILIAR SEGUND B.VIS</t>
  </si>
  <si>
    <t>8505650</t>
  </si>
  <si>
    <t>BARBIJO TAPABOCA IUSP</t>
  </si>
  <si>
    <t>8505715</t>
  </si>
  <si>
    <t>INSIG COLGAR SUB OF MAYOR BOMBERO ROJA</t>
  </si>
  <si>
    <t>GUANTES TACTICO MITON NEGRO LARGO OR</t>
  </si>
  <si>
    <t>GUANTES TACTICO MITON BEIGE LARGO OR</t>
  </si>
  <si>
    <t>GUANTES TACTICO MITON VERDE LARGO OR</t>
  </si>
  <si>
    <t>GUANTES TACTICO MITON VERDE CORTO OR</t>
  </si>
  <si>
    <t>GUANTES TACTICO MITON NEGRO CORTO OR</t>
  </si>
  <si>
    <t>8517906</t>
  </si>
  <si>
    <t>GUANTES TACTICO MITON BEIGE CORTO OR</t>
  </si>
  <si>
    <t>8519499</t>
  </si>
  <si>
    <t>LINTERNA MINERA RECARGABLE 0602</t>
  </si>
  <si>
    <t>NAVAJA 17 CM MARIPOSA 0891</t>
  </si>
  <si>
    <t>LINTERNA4738+CABLE USB</t>
  </si>
  <si>
    <t>LINTERNA  7750 ZOOM 15X3 3 +CABLE USB</t>
  </si>
  <si>
    <t>LINTERNA 1946 +CABLE USB C/ZOOM 14X3</t>
  </si>
  <si>
    <t>CARPA EASYCAMP 4 PERSONAS A.9014 MIC</t>
  </si>
  <si>
    <t>8612112</t>
  </si>
  <si>
    <t>COLCHON INFLABLE 1 PLAZA A11201</t>
  </si>
  <si>
    <t>8612203</t>
  </si>
  <si>
    <t>COLCHON INFLABLE 2 PLAZAS A11203</t>
  </si>
  <si>
    <t>CINTURON TACTICO GEO T658</t>
  </si>
  <si>
    <t>8703163</t>
  </si>
  <si>
    <t>MUSLERA C/REMACHE SIMPLE 043</t>
  </si>
  <si>
    <t>MUSLERA TACTICA UNIVERSAL T628</t>
  </si>
  <si>
    <t>8703338</t>
  </si>
  <si>
    <t>PIST. EXTERNA GLOCK RP38 17/19/22/23/34/</t>
  </si>
  <si>
    <t>MUSLERA SWAT</t>
  </si>
  <si>
    <t>8703779</t>
  </si>
  <si>
    <t>MUSLERA BOTIQUIN P/ELEMENTOS RRD79</t>
  </si>
  <si>
    <t>PORTA TONFA FIJO PLASTICO RER 214</t>
  </si>
  <si>
    <t>8888034</t>
  </si>
  <si>
    <t>LOGO ESTAMPADO BOMBEROS</t>
  </si>
  <si>
    <t>EQUIVALENCIA</t>
  </si>
  <si>
    <t>CAMUFLADO</t>
  </si>
  <si>
    <t>TALLE LETRA</t>
  </si>
  <si>
    <t>TALLE NUMERO</t>
  </si>
  <si>
    <t>COLOR</t>
  </si>
  <si>
    <t>MANO</t>
  </si>
  <si>
    <t>MODELO</t>
  </si>
  <si>
    <t>GRUPO</t>
  </si>
  <si>
    <t>USO</t>
  </si>
  <si>
    <t>RESULTADO</t>
  </si>
  <si>
    <t>COLORES COMPLETO</t>
  </si>
  <si>
    <t>00</t>
  </si>
  <si>
    <t>XXS</t>
  </si>
  <si>
    <t>BLA</t>
  </si>
  <si>
    <t>DER</t>
  </si>
  <si>
    <t>BER</t>
  </si>
  <si>
    <t>ABN</t>
  </si>
  <si>
    <t>CIN</t>
  </si>
  <si>
    <t>Pitón Gris</t>
  </si>
  <si>
    <t>ROJ</t>
  </si>
  <si>
    <t>IZQ</t>
  </si>
  <si>
    <t>BRO</t>
  </si>
  <si>
    <t>ABP</t>
  </si>
  <si>
    <t>MOL</t>
  </si>
  <si>
    <t>02</t>
  </si>
  <si>
    <t>Pitón Beige</t>
  </si>
  <si>
    <t>S</t>
  </si>
  <si>
    <t>AZU</t>
  </si>
  <si>
    <t>TAU</t>
  </si>
  <si>
    <t>AN</t>
  </si>
  <si>
    <t>03</t>
  </si>
  <si>
    <t>Beige</t>
  </si>
  <si>
    <t>M</t>
  </si>
  <si>
    <t>AP</t>
  </si>
  <si>
    <t>04</t>
  </si>
  <si>
    <t>Woodland</t>
  </si>
  <si>
    <t>L</t>
  </si>
  <si>
    <t>BN</t>
  </si>
  <si>
    <t>05</t>
  </si>
  <si>
    <t>Digital Desert</t>
  </si>
  <si>
    <t>XL</t>
  </si>
  <si>
    <t>BP</t>
  </si>
  <si>
    <t>06</t>
  </si>
  <si>
    <t>Verde</t>
  </si>
  <si>
    <t>XXL</t>
  </si>
  <si>
    <t>ON</t>
  </si>
  <si>
    <t>07</t>
  </si>
  <si>
    <t>Acu</t>
  </si>
  <si>
    <t>3XL</t>
  </si>
  <si>
    <t>OP</t>
  </si>
  <si>
    <t>08</t>
  </si>
  <si>
    <t>Multicam</t>
  </si>
  <si>
    <t>4XL</t>
  </si>
  <si>
    <t>09</t>
  </si>
  <si>
    <t>Negro</t>
  </si>
  <si>
    <t>5XL</t>
  </si>
  <si>
    <t>Tri Desert</t>
  </si>
  <si>
    <t>3XS</t>
  </si>
  <si>
    <t>11</t>
  </si>
  <si>
    <t>Digital Woodland</t>
  </si>
  <si>
    <t>6XL</t>
  </si>
  <si>
    <t>12</t>
  </si>
  <si>
    <t>Pitón Verde</t>
  </si>
  <si>
    <t>13</t>
  </si>
  <si>
    <t>Gris</t>
  </si>
  <si>
    <t>Real Tree</t>
  </si>
  <si>
    <t>Digital Tiger Woodland</t>
  </si>
  <si>
    <t>Digital Fuerza Aérea</t>
  </si>
  <si>
    <t>Digital Naval</t>
  </si>
  <si>
    <t>Azul</t>
  </si>
  <si>
    <t>Camuflado</t>
  </si>
  <si>
    <t>Blanco</t>
  </si>
  <si>
    <t>Rojo</t>
  </si>
  <si>
    <t>23</t>
  </si>
  <si>
    <t>Digital Ruso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</si>
  <si>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</si>
  <si>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</si>
  <si>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</si>
  <si>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</si>
  <si>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</si>
  <si>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</si>
  <si>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</si>
  <si>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</si>
  <si>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</si>
  <si>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</si>
  <si>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</si>
  <si>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</si>
  <si>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</si>
  <si>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</si>
  <si>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</si>
  <si>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</si>
  <si>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</si>
  <si>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</si>
  <si>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</si>
  <si>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</si>
  <si>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</si>
  <si>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</si>
  <si>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</si>
  <si>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</si>
  <si>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</si>
  <si>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</si>
  <si>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</si>
  <si>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</si>
  <si>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</si>
  <si>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</si>
  <si>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</si>
  <si>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</si>
  <si>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</si>
  <si>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</si>
  <si>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</si>
  <si>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</si>
  <si>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</si>
  <si>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</si>
  <si>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</si>
  <si>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</si>
  <si>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</si>
  <si>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</si>
  <si>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</si>
  <si>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</si>
  <si>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</si>
  <si>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</si>
  <si>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</si>
  <si>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</si>
  <si>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</si>
  <si>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</si>
  <si>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</si>
  <si>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</si>
  <si>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</si>
  <si>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</si>
  <si>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</si>
  <si>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</si>
  <si>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</si>
  <si>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</si>
  <si>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</si>
  <si>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</si>
  <si>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</si>
  <si>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</si>
  <si>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</si>
  <si>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</si>
  <si>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</si>
  <si>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</si>
  <si>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</si>
  <si>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</si>
  <si>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</si>
  <si>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</si>
  <si>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</si>
  <si>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</si>
  <si>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</si>
  <si>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</si>
  <si>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</si>
  <si>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</si>
  <si>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</si>
  <si>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</si>
  <si>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</si>
  <si>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</si>
  <si>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</si>
  <si>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</si>
  <si>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</si>
  <si>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</si>
  <si>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</si>
  <si>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</si>
  <si>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</si>
  <si>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</si>
  <si>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</si>
  <si>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</si>
  <si>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</si>
  <si>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</si>
  <si>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</si>
  <si>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</si>
  <si>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</si>
  <si>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</si>
  <si>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</si>
  <si>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</si>
  <si>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</si>
  <si>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</si>
  <si>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</si>
  <si>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</si>
  <si>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</si>
  <si>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</si>
  <si>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</si>
  <si>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</si>
  <si>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</si>
  <si>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</si>
  <si>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</si>
  <si>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</si>
  <si>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</si>
  <si>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</si>
  <si>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</si>
  <si>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</si>
  <si>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</si>
  <si>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</si>
  <si>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</si>
  <si>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</si>
  <si>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</si>
  <si>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</si>
  <si>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</si>
  <si>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</si>
  <si>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</si>
  <si>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</si>
  <si>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</si>
  <si>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</si>
  <si>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</si>
  <si>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</si>
  <si>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</si>
  <si>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</si>
  <si>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</si>
  <si>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</si>
  <si>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</si>
  <si>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</si>
  <si>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</si>
  <si>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</si>
  <si>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</si>
  <si>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</si>
  <si>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</si>
  <si>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</si>
  <si>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</si>
  <si>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</si>
  <si>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</si>
  <si>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</si>
  <si>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</si>
  <si>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</si>
  <si>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</si>
  <si>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</si>
  <si>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</si>
  <si>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</si>
  <si>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</si>
  <si>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</si>
  <si>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</si>
  <si>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</si>
  <si>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</si>
  <si>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TALLES COMPLETOS</t>
  </si>
  <si>
    <t>CODIGO POSTAL</t>
  </si>
  <si>
    <t>PROVINCIA</t>
  </si>
  <si>
    <t>FECHA</t>
  </si>
  <si>
    <t>TIPOS DE DESPACHOS</t>
  </si>
  <si>
    <t>RETIRO EN LOCAL</t>
  </si>
  <si>
    <t>PAGO DE FLETE EN DESTINO</t>
  </si>
  <si>
    <t>A DOMICILIO</t>
  </si>
  <si>
    <t>RETIRO EN SUCURSAL CORREO ARGENTINO</t>
  </si>
  <si>
    <t>PROVINCIAS</t>
  </si>
  <si>
    <t>Buenos Aires</t>
  </si>
  <si>
    <t>Catamarca</t>
  </si>
  <si>
    <t>Chaco</t>
  </si>
  <si>
    <t>Chubut</t>
  </si>
  <si>
    <t>Córdoba</t>
  </si>
  <si>
    <t>Corrientes</t>
  </si>
  <si>
    <t>Entre Ríos</t>
  </si>
  <si>
    <t>Formosa</t>
  </si>
  <si>
    <t>Jujuy</t>
  </si>
  <si>
    <t>La Pampa</t>
  </si>
  <si>
    <t>La Rioja</t>
  </si>
  <si>
    <t>Mendoza</t>
  </si>
  <si>
    <t>Misiones</t>
  </si>
  <si>
    <t>Neuquén</t>
  </si>
  <si>
    <t>Río Negro</t>
  </si>
  <si>
    <t>Salta</t>
  </si>
  <si>
    <t>San Juan</t>
  </si>
  <si>
    <t>San Luis</t>
  </si>
  <si>
    <t>Santa Cruz</t>
  </si>
  <si>
    <t>Santa Fe</t>
  </si>
  <si>
    <t>Santiago del Estero</t>
  </si>
  <si>
    <t>Tucumán</t>
  </si>
  <si>
    <t>Tierra del Fuego</t>
  </si>
  <si>
    <t>FORMAS DE PAGO</t>
  </si>
  <si>
    <t>TOTALES DE PRODUCTOS</t>
  </si>
  <si>
    <t>BASE DE SUCURSALES PARA PAGO EN DESTINO Y ENTREGA EN SUCURSAL</t>
  </si>
  <si>
    <t>CODIGO NIS</t>
  </si>
  <si>
    <t>DENOMINACION</t>
  </si>
  <si>
    <t>CALLE</t>
  </si>
  <si>
    <t>N°</t>
  </si>
  <si>
    <t>LOCALIDAD</t>
  </si>
  <si>
    <t>CPA_SUCURSAL</t>
  </si>
  <si>
    <t>B0000</t>
  </si>
  <si>
    <t>SAN MARTIN</t>
  </si>
  <si>
    <t>INTE A M CAMPOS</t>
  </si>
  <si>
    <t>GENERAL SAN MARTIN</t>
  </si>
  <si>
    <t>BUENOS AIRES</t>
  </si>
  <si>
    <t>B1650ZAB</t>
  </si>
  <si>
    <t>B0001</t>
  </si>
  <si>
    <t>TIGRE</t>
  </si>
  <si>
    <t>AV DANIEL M CAZON</t>
  </si>
  <si>
    <t>B1648ZAB</t>
  </si>
  <si>
    <t>B0002</t>
  </si>
  <si>
    <t>VICENTE LOPEZ</t>
  </si>
  <si>
    <t>AV DEL LIBERTADOR</t>
  </si>
  <si>
    <t>B1638ZAC</t>
  </si>
  <si>
    <t>B0003</t>
  </si>
  <si>
    <t>VILLA ADELINA</t>
  </si>
  <si>
    <t>AV PARANA</t>
  </si>
  <si>
    <t>B1607ZAB</t>
  </si>
  <si>
    <t>B0004</t>
  </si>
  <si>
    <t>VILLA BALLESTER</t>
  </si>
  <si>
    <t>B1653ZAA</t>
  </si>
  <si>
    <t>B0005</t>
  </si>
  <si>
    <t>VILLA MARTELLI</t>
  </si>
  <si>
    <t>LAPRIDA</t>
  </si>
  <si>
    <t>B1603ZAA</t>
  </si>
  <si>
    <t>B0006</t>
  </si>
  <si>
    <t>JOSE LEON SUAREZ</t>
  </si>
  <si>
    <t>B1653ZAB</t>
  </si>
  <si>
    <t>B0007</t>
  </si>
  <si>
    <t>LOMA HERMOSA</t>
  </si>
  <si>
    <t>AV EVA PERON</t>
  </si>
  <si>
    <t>B1657ZAA</t>
  </si>
  <si>
    <t>B0009</t>
  </si>
  <si>
    <t>ACASSUSO</t>
  </si>
  <si>
    <t>AV SANTA FE</t>
  </si>
  <si>
    <t>B1641ZAA</t>
  </si>
  <si>
    <t>B0010</t>
  </si>
  <si>
    <t>SOLEIL</t>
  </si>
  <si>
    <t>DR BERNARDO DE IRIGOYEN</t>
  </si>
  <si>
    <t>BOULOGNE</t>
  </si>
  <si>
    <t>B1609ZAB</t>
  </si>
  <si>
    <t>B0011</t>
  </si>
  <si>
    <t>MARTINEZ UNICENTER</t>
  </si>
  <si>
    <t>MARTINEZ</t>
  </si>
  <si>
    <t>B1640ZAB</t>
  </si>
  <si>
    <t>B0012</t>
  </si>
  <si>
    <t>BERNAL</t>
  </si>
  <si>
    <t>9 DE JULIO</t>
  </si>
  <si>
    <t>BERNAL ESTE</t>
  </si>
  <si>
    <t>B1876ZAA</t>
  </si>
  <si>
    <t>B0013</t>
  </si>
  <si>
    <t>VICTORIA</t>
  </si>
  <si>
    <t>AV PTE J D PERON</t>
  </si>
  <si>
    <t>B1644ZAA</t>
  </si>
  <si>
    <t>B0014</t>
  </si>
  <si>
    <t>FLORIDA</t>
  </si>
  <si>
    <t>AV GRAL SAN MARTIN</t>
  </si>
  <si>
    <t>B1602ZAA</t>
  </si>
  <si>
    <t>B0015</t>
  </si>
  <si>
    <t>GENERAL PACHECO</t>
  </si>
  <si>
    <t>AV DE LOS CONSTITUYENTES</t>
  </si>
  <si>
    <t>B1617ZAB</t>
  </si>
  <si>
    <t>B0016</t>
  </si>
  <si>
    <t>VILLA LYNCH</t>
  </si>
  <si>
    <t>REPUBLICA DEL LIBANO</t>
  </si>
  <si>
    <t>B1672ZAA</t>
  </si>
  <si>
    <t>B0020</t>
  </si>
  <si>
    <t>OLIVOS</t>
  </si>
  <si>
    <t>AV MAIPU</t>
  </si>
  <si>
    <t>B1636ZAB</t>
  </si>
  <si>
    <t>B0021</t>
  </si>
  <si>
    <t>PUENTE SAAVEDRA</t>
  </si>
  <si>
    <t>B1638ZAB</t>
  </si>
  <si>
    <t>B0022</t>
  </si>
  <si>
    <t>SAN ANDRES</t>
  </si>
  <si>
    <t>DR ALEU</t>
  </si>
  <si>
    <t>B1651ZAB</t>
  </si>
  <si>
    <t>B0023</t>
  </si>
  <si>
    <t>SAN FERNANDO</t>
  </si>
  <si>
    <t>CONSTITUCION</t>
  </si>
  <si>
    <t>B1646ZAB</t>
  </si>
  <si>
    <t>B0024</t>
  </si>
  <si>
    <t>SAN ISIDRO</t>
  </si>
  <si>
    <t>ALSINA</t>
  </si>
  <si>
    <t>B1642ZAB</t>
  </si>
  <si>
    <t>B0030</t>
  </si>
  <si>
    <t>SAN MIGUEL</t>
  </si>
  <si>
    <t>MANUEL BELGRANO</t>
  </si>
  <si>
    <t>B1663ZAB</t>
  </si>
  <si>
    <t>B0031</t>
  </si>
  <si>
    <t>BELLA VISTA</t>
  </si>
  <si>
    <t>AV SENADOR MORON</t>
  </si>
  <si>
    <t>B1661ZAA</t>
  </si>
  <si>
    <t>B0032</t>
  </si>
  <si>
    <t>AV AVELINO ROLON</t>
  </si>
  <si>
    <t>B1609ZAA</t>
  </si>
  <si>
    <t>B0033</t>
  </si>
  <si>
    <t>HURLINGHAM</t>
  </si>
  <si>
    <t>PTE GRAL JULIO A ROCA</t>
  </si>
  <si>
    <t>B1686ZAB</t>
  </si>
  <si>
    <t>B0034</t>
  </si>
  <si>
    <t>JOSE C. PAZ</t>
  </si>
  <si>
    <t>JOSE CLEMENTE PAZ</t>
  </si>
  <si>
    <t>B1665ZAB</t>
  </si>
  <si>
    <t>B0035</t>
  </si>
  <si>
    <t>SANTOS TESEI</t>
  </si>
  <si>
    <t>GRAL PEDRO DIAZ</t>
  </si>
  <si>
    <t>VILLA SANTOS TESEI</t>
  </si>
  <si>
    <t>B1688ZAA</t>
  </si>
  <si>
    <t>B0036</t>
  </si>
  <si>
    <t>DON TORCUATO</t>
  </si>
  <si>
    <t>AV ANGEL T DE ALVEAR</t>
  </si>
  <si>
    <t>B1611ZAB</t>
  </si>
  <si>
    <t>B0037</t>
  </si>
  <si>
    <t>GRAND BOURG</t>
  </si>
  <si>
    <t>ALTE FRANCISCO SEGUI</t>
  </si>
  <si>
    <t>B1615ZAB</t>
  </si>
  <si>
    <t>B0038</t>
  </si>
  <si>
    <t>DEL VISO</t>
  </si>
  <si>
    <t>AV ING MADERO</t>
  </si>
  <si>
    <t>B1669ZAA</t>
  </si>
  <si>
    <t>B0040</t>
  </si>
  <si>
    <t>LOS POLVORINES</t>
  </si>
  <si>
    <t>25 DE MAYO</t>
  </si>
  <si>
    <t>B1613ZAB</t>
  </si>
  <si>
    <t>B0041</t>
  </si>
  <si>
    <t>TORTUGUITAS</t>
  </si>
  <si>
    <t>AV TTE GRAL JUAN D PERON</t>
  </si>
  <si>
    <t>B1667ZAA</t>
  </si>
  <si>
    <t>B0044</t>
  </si>
  <si>
    <t>BENAVIDEZ</t>
  </si>
  <si>
    <t>ITUZAINGO</t>
  </si>
  <si>
    <t>B2701ZAB</t>
  </si>
  <si>
    <t>B0051</t>
  </si>
  <si>
    <t>SARANDI</t>
  </si>
  <si>
    <t>AV PRES BARTOLOME MITRE</t>
  </si>
  <si>
    <t>CRUCESITA</t>
  </si>
  <si>
    <t>B1872ZAA</t>
  </si>
  <si>
    <t>B0061</t>
  </si>
  <si>
    <t>AEROPUERTO EZEIZA</t>
  </si>
  <si>
    <t>AEROP INTERNACIONAL EZEIZA</t>
  </si>
  <si>
    <t>B1802ZAA</t>
  </si>
  <si>
    <t>B0062</t>
  </si>
  <si>
    <t>ALMIRANTE BROWN (ADROGUE)</t>
  </si>
  <si>
    <t>ESTEBAN ADROGUE</t>
  </si>
  <si>
    <t>ADROGUE</t>
  </si>
  <si>
    <t>B1846ZAB</t>
  </si>
  <si>
    <t>B0063</t>
  </si>
  <si>
    <t>AVELLANEDA</t>
  </si>
  <si>
    <t>AV DR MANUEL BELGRANO</t>
  </si>
  <si>
    <t>B1870ZAB</t>
  </si>
  <si>
    <t>B0065</t>
  </si>
  <si>
    <t>BERAZATEGUI</t>
  </si>
  <si>
    <t>CALLE 15</t>
  </si>
  <si>
    <t>B1880ZAB</t>
  </si>
  <si>
    <t>B0066</t>
  </si>
  <si>
    <t>CIUDAD EVITA</t>
  </si>
  <si>
    <t>AV GRAL MARTIN M GUEMES</t>
  </si>
  <si>
    <t>B1778ZAA</t>
  </si>
  <si>
    <t>B0068</t>
  </si>
  <si>
    <t>FLORENCIO VARELA</t>
  </si>
  <si>
    <t>B1888ZAC</t>
  </si>
  <si>
    <t>B0069</t>
  </si>
  <si>
    <t>GERLI</t>
  </si>
  <si>
    <t>AV PTE H YRIGOYEN</t>
  </si>
  <si>
    <t>B1823ZAA</t>
  </si>
  <si>
    <t>B0070</t>
  </si>
  <si>
    <t>ISIDRO CASANOVA</t>
  </si>
  <si>
    <t>AV BDIER J M DE ROSAS</t>
  </si>
  <si>
    <t>B1765ZAA</t>
  </si>
  <si>
    <t>B0071</t>
  </si>
  <si>
    <t>JOSE MARMOL</t>
  </si>
  <si>
    <t>MITRE</t>
  </si>
  <si>
    <t>B1845ZAA</t>
  </si>
  <si>
    <t>B0072</t>
  </si>
  <si>
    <t>LANUS</t>
  </si>
  <si>
    <t>GRAL O HIGGINS</t>
  </si>
  <si>
    <t>LANUS ESTE</t>
  </si>
  <si>
    <t>B1824ZAB</t>
  </si>
  <si>
    <t>B0073</t>
  </si>
  <si>
    <t>VILLA CELINA</t>
  </si>
  <si>
    <t>RIVERA</t>
  </si>
  <si>
    <t>CIUDAD MADERO</t>
  </si>
  <si>
    <t>B2701ZAA</t>
  </si>
  <si>
    <t>B0075</t>
  </si>
  <si>
    <t>LOMAS DEL MIRADOR</t>
  </si>
  <si>
    <t>B1752ZAA</t>
  </si>
  <si>
    <t>B0078</t>
  </si>
  <si>
    <t>REMEDIOS DE ESCALADA</t>
  </si>
  <si>
    <t>B1826ZAB</t>
  </si>
  <si>
    <t>B0079</t>
  </si>
  <si>
    <t>SAN JUSTO</t>
  </si>
  <si>
    <t>ALMAFUERTE</t>
  </si>
  <si>
    <t>B1754ZAB</t>
  </si>
  <si>
    <t>B0080</t>
  </si>
  <si>
    <t>LA TABLADA</t>
  </si>
  <si>
    <t>AV INT CROVARA</t>
  </si>
  <si>
    <t>B1766ZAA</t>
  </si>
  <si>
    <t>B0081</t>
  </si>
  <si>
    <t>TAPIALES</t>
  </si>
  <si>
    <t>EVITA</t>
  </si>
  <si>
    <t>B1770ZAB</t>
  </si>
  <si>
    <t>B0082</t>
  </si>
  <si>
    <t>TEMPERLEY</t>
  </si>
  <si>
    <t>AV ALTE G BROWN</t>
  </si>
  <si>
    <t>B1834ZAB</t>
  </si>
  <si>
    <t>B0083</t>
  </si>
  <si>
    <t>VALENTIN ALSINA</t>
  </si>
  <si>
    <t>JUAN FARREL</t>
  </si>
  <si>
    <t>B1822ZAB</t>
  </si>
  <si>
    <t>B0084</t>
  </si>
  <si>
    <t>RAFAEL CALZADA</t>
  </si>
  <si>
    <t>COLON</t>
  </si>
  <si>
    <t>B1847ZAA</t>
  </si>
  <si>
    <t>B0085</t>
  </si>
  <si>
    <t>QUILMES OESTE</t>
  </si>
  <si>
    <t>12 DE OCTUBRE</t>
  </si>
  <si>
    <t>B1879ZAA</t>
  </si>
  <si>
    <t>B0086</t>
  </si>
  <si>
    <t>VILLA DOMINICO</t>
  </si>
  <si>
    <t>B1874ZAA</t>
  </si>
  <si>
    <t>B0087</t>
  </si>
  <si>
    <t>VILLA INDUSTRIALES</t>
  </si>
  <si>
    <t>CNEL D ELIA</t>
  </si>
  <si>
    <t>LANUS OESTE</t>
  </si>
  <si>
    <t>B1824ZAC</t>
  </si>
  <si>
    <t>B0088</t>
  </si>
  <si>
    <t>VILLA MADERO</t>
  </si>
  <si>
    <t>SANCHEZ DE THOMPSON</t>
  </si>
  <si>
    <t>B1768ZAA</t>
  </si>
  <si>
    <t>B0089</t>
  </si>
  <si>
    <t>VILLA PORVENIR</t>
  </si>
  <si>
    <t>AV GALICIA</t>
  </si>
  <si>
    <t>B1868ZAA</t>
  </si>
  <si>
    <t>B0090</t>
  </si>
  <si>
    <t>WILDE</t>
  </si>
  <si>
    <t>BRAGADO</t>
  </si>
  <si>
    <t>B1875ZAA</t>
  </si>
  <si>
    <t>B0091</t>
  </si>
  <si>
    <t>MONTE CHINGOLO</t>
  </si>
  <si>
    <t>AV CENTENARIO URUGUAYO</t>
  </si>
  <si>
    <t>B1825ZAA</t>
  </si>
  <si>
    <t>B0093</t>
  </si>
  <si>
    <t>EZPELETA</t>
  </si>
  <si>
    <t>CHILE</t>
  </si>
  <si>
    <t>EZPELETA ESTE</t>
  </si>
  <si>
    <t>B1882ZAA</t>
  </si>
  <si>
    <t>B0094</t>
  </si>
  <si>
    <t>TURDERA</t>
  </si>
  <si>
    <t>AV ANTARTIDA ARGENTINA</t>
  </si>
  <si>
    <t>B1833ZAB</t>
  </si>
  <si>
    <t>B0095</t>
  </si>
  <si>
    <t>SAN FRANCISCO SOLANO</t>
  </si>
  <si>
    <t>CALLE 897</t>
  </si>
  <si>
    <t>B1881ZAA</t>
  </si>
  <si>
    <t>B0096</t>
  </si>
  <si>
    <t>LAFERRERE</t>
  </si>
  <si>
    <t>E ECHEVERRIA</t>
  </si>
  <si>
    <t>GREGORIO DE LAFERRERE</t>
  </si>
  <si>
    <t>B1757ZAB</t>
  </si>
  <si>
    <t>B0097</t>
  </si>
  <si>
    <t>RANELAGH</t>
  </si>
  <si>
    <t>AV DR ALBERTO SABIN</t>
  </si>
  <si>
    <t>B1886ZAC</t>
  </si>
  <si>
    <t>B0098</t>
  </si>
  <si>
    <t>RAFAEL CASTILLO</t>
  </si>
  <si>
    <t>SANTA CRUZ</t>
  </si>
  <si>
    <t>B1755ZAA</t>
  </si>
  <si>
    <t>B0099</t>
  </si>
  <si>
    <t>BURZACO</t>
  </si>
  <si>
    <t>ROCA</t>
  </si>
  <si>
    <t>B1852ZAA</t>
  </si>
  <si>
    <t>B0100</t>
  </si>
  <si>
    <t>EZEIZA</t>
  </si>
  <si>
    <t>FRENCH</t>
  </si>
  <si>
    <t>B1804ZAB</t>
  </si>
  <si>
    <t>B0101</t>
  </si>
  <si>
    <t>GLEW</t>
  </si>
  <si>
    <t>SARMIENTO</t>
  </si>
  <si>
    <t>B1856ZAD</t>
  </si>
  <si>
    <t>B0102</t>
  </si>
  <si>
    <t>GONZALEZ CATAN</t>
  </si>
  <si>
    <t>DR JOSE EQUIZA</t>
  </si>
  <si>
    <t>B1759ZAB</t>
  </si>
  <si>
    <t>B0103</t>
  </si>
  <si>
    <t>HUDSON</t>
  </si>
  <si>
    <t>BOMBERO ESTEVEZ</t>
  </si>
  <si>
    <t>GUILLERMO E HUDSON</t>
  </si>
  <si>
    <t>B1885ZAB</t>
  </si>
  <si>
    <t>B0104</t>
  </si>
  <si>
    <t>LLAVALLOL</t>
  </si>
  <si>
    <t>B1836ZAA</t>
  </si>
  <si>
    <t>B0105</t>
  </si>
  <si>
    <t>LONGCHAMPS</t>
  </si>
  <si>
    <t>DR MANUEL BELGRANO</t>
  </si>
  <si>
    <t>B1854ZAB</t>
  </si>
  <si>
    <t>B0106</t>
  </si>
  <si>
    <t>LUIS GUILLON</t>
  </si>
  <si>
    <t>B1838ZAA</t>
  </si>
  <si>
    <t>B0107</t>
  </si>
  <si>
    <t>MONTE GRANDE</t>
  </si>
  <si>
    <t>B1842ZAB</t>
  </si>
  <si>
    <t>B0110</t>
  </si>
  <si>
    <t>BARRIO SAN JOSE</t>
  </si>
  <si>
    <t>LA CALANDRIA</t>
  </si>
  <si>
    <t>B1834ZAC</t>
  </si>
  <si>
    <t>B0111</t>
  </si>
  <si>
    <t>JUAN MARIA GUTIERREZ</t>
  </si>
  <si>
    <t>CALLE 455</t>
  </si>
  <si>
    <t>B1890ZAD</t>
  </si>
  <si>
    <t>B0112</t>
  </si>
  <si>
    <t>MERCADO CENTRAL</t>
  </si>
  <si>
    <t>TTE GRAL PABLO RICCHIERI</t>
  </si>
  <si>
    <t>B1771ZAB</t>
  </si>
  <si>
    <t>B0115</t>
  </si>
  <si>
    <t>CRUCE VARELA</t>
  </si>
  <si>
    <t>AV CNO GRAL BELGRANO</t>
  </si>
  <si>
    <t>B1888ZAB</t>
  </si>
  <si>
    <t>B0162</t>
  </si>
  <si>
    <t>CASEROS</t>
  </si>
  <si>
    <t>AV GRAL J J DE URQUIZA</t>
  </si>
  <si>
    <t>B1678ZAB</t>
  </si>
  <si>
    <t>B0163</t>
  </si>
  <si>
    <t>CASTELAR</t>
  </si>
  <si>
    <t>CNEL MARTIN IRIGOYEN</t>
  </si>
  <si>
    <t>B1712ZAA</t>
  </si>
  <si>
    <t>B0164</t>
  </si>
  <si>
    <t>CIUDADELA</t>
  </si>
  <si>
    <t>AV RIVADAVIA</t>
  </si>
  <si>
    <t>B1702ZAA</t>
  </si>
  <si>
    <t>B0166</t>
  </si>
  <si>
    <t>EL PALOMAR</t>
  </si>
  <si>
    <t>ING GUILLERMO MARCONI</t>
  </si>
  <si>
    <t>CIUDAD JARDIN DEL PALOMAR</t>
  </si>
  <si>
    <t>B1685ZAB</t>
  </si>
  <si>
    <t>B0167</t>
  </si>
  <si>
    <t>GRAL FELIX DE OLAZABAL</t>
  </si>
  <si>
    <t>B1714ZAB</t>
  </si>
  <si>
    <t>B0168</t>
  </si>
  <si>
    <t>LIBERTAD</t>
  </si>
  <si>
    <t>J B JUSTO</t>
  </si>
  <si>
    <t>B1716ZAA</t>
  </si>
  <si>
    <t>B0169</t>
  </si>
  <si>
    <t>HAEDO</t>
  </si>
  <si>
    <t>B1706ZAB</t>
  </si>
  <si>
    <t>B0170</t>
  </si>
  <si>
    <t>MERLO</t>
  </si>
  <si>
    <t>B1722ZAB</t>
  </si>
  <si>
    <t>B0171</t>
  </si>
  <si>
    <t>MORENO</t>
  </si>
  <si>
    <t>AV BME MITRE</t>
  </si>
  <si>
    <t>B1744ZAB</t>
  </si>
  <si>
    <t>B0172</t>
  </si>
  <si>
    <t>RAMOS MEJIA</t>
  </si>
  <si>
    <t>B1704ZAB</t>
  </si>
  <si>
    <t>B0173</t>
  </si>
  <si>
    <t>SANTOS LUGARES</t>
  </si>
  <si>
    <t>B1676ZAA</t>
  </si>
  <si>
    <t>B0174</t>
  </si>
  <si>
    <t>SAN ANTONIO DE PADUA</t>
  </si>
  <si>
    <t>DIRECTORIO</t>
  </si>
  <si>
    <t>B1718ZAA</t>
  </si>
  <si>
    <t>B0175</t>
  </si>
  <si>
    <t>VILLA BOSCH</t>
  </si>
  <si>
    <t>SANTOS VEGA</t>
  </si>
  <si>
    <t>B1682ZAB</t>
  </si>
  <si>
    <t>B0176</t>
  </si>
  <si>
    <t>PASO DEL REY</t>
  </si>
  <si>
    <t>DR S M DEL CARRIL</t>
  </si>
  <si>
    <t>B1742ZAA</t>
  </si>
  <si>
    <t>B0177</t>
  </si>
  <si>
    <t>FRANCISCO ALVAREZ</t>
  </si>
  <si>
    <t>DIARIO LA NACION</t>
  </si>
  <si>
    <t>B2701ZAC</t>
  </si>
  <si>
    <t>B0178</t>
  </si>
  <si>
    <t>MARIANO ACOSTA</t>
  </si>
  <si>
    <t>TAGLE</t>
  </si>
  <si>
    <t>B2701ZAD</t>
  </si>
  <si>
    <t>B0200</t>
  </si>
  <si>
    <t>LA PLATA</t>
  </si>
  <si>
    <t>AV 51</t>
  </si>
  <si>
    <t>B1902ZAA</t>
  </si>
  <si>
    <t>B0201</t>
  </si>
  <si>
    <t>LA PLATA 1</t>
  </si>
  <si>
    <t>CALLE 48</t>
  </si>
  <si>
    <t>B1900ZAA</t>
  </si>
  <si>
    <t>B0202</t>
  </si>
  <si>
    <t>LA PLATA TERMINAL DE OMNIBUS</t>
  </si>
  <si>
    <t>CALLE 42</t>
  </si>
  <si>
    <t>B1902ZAC</t>
  </si>
  <si>
    <t>B0203</t>
  </si>
  <si>
    <t>LA PLATA 3</t>
  </si>
  <si>
    <t>AV 44</t>
  </si>
  <si>
    <t>B1908ZAA</t>
  </si>
  <si>
    <t>B0204</t>
  </si>
  <si>
    <t>LA PLATA 4</t>
  </si>
  <si>
    <t>AV 7</t>
  </si>
  <si>
    <t>B1906ZAA</t>
  </si>
  <si>
    <t>B0205</t>
  </si>
  <si>
    <t>LA PLATA 5</t>
  </si>
  <si>
    <t>CALLE 12</t>
  </si>
  <si>
    <t>B1900ZAC</t>
  </si>
  <si>
    <t>B0206</t>
  </si>
  <si>
    <t>LA PLATA 6</t>
  </si>
  <si>
    <t>CALLE 138</t>
  </si>
  <si>
    <t>B1910ZAA</t>
  </si>
  <si>
    <t>B0207</t>
  </si>
  <si>
    <t>LA PLATA 7</t>
  </si>
  <si>
    <t>AV 520</t>
  </si>
  <si>
    <t>B1900ZAD</t>
  </si>
  <si>
    <t>B0209</t>
  </si>
  <si>
    <t>ALEJANDRO KORN</t>
  </si>
  <si>
    <t>PTE J D PERON</t>
  </si>
  <si>
    <t>B1864ZAA</t>
  </si>
  <si>
    <t>B0211</t>
  </si>
  <si>
    <t>AYACUCHO</t>
  </si>
  <si>
    <t>PTE H YRIGOYEN</t>
  </si>
  <si>
    <t>B7150ZAA</t>
  </si>
  <si>
    <t>B0213</t>
  </si>
  <si>
    <t>BERISSO</t>
  </si>
  <si>
    <t>CALLAO</t>
  </si>
  <si>
    <t>B1923ZAA</t>
  </si>
  <si>
    <t>B0214</t>
  </si>
  <si>
    <t>VILLA CACIQUE</t>
  </si>
  <si>
    <t>URUGUAY</t>
  </si>
  <si>
    <t>B7005ZAA</t>
  </si>
  <si>
    <t>B0215</t>
  </si>
  <si>
    <t>B1814ZAA</t>
  </si>
  <si>
    <t>B0216</t>
  </si>
  <si>
    <t>CACHARI</t>
  </si>
  <si>
    <t>B7214ZAA</t>
  </si>
  <si>
    <t>B0218</t>
  </si>
  <si>
    <t>CASTELLI</t>
  </si>
  <si>
    <t>RIVADAVIA</t>
  </si>
  <si>
    <t>B7114ZAA</t>
  </si>
  <si>
    <t>B0220</t>
  </si>
  <si>
    <t>CHASCOMUS</t>
  </si>
  <si>
    <t>DORREGO</t>
  </si>
  <si>
    <t>B7130ZAA</t>
  </si>
  <si>
    <t>B0222</t>
  </si>
  <si>
    <t>CITY BELL</t>
  </si>
  <si>
    <t>CALLE 473 BIS</t>
  </si>
  <si>
    <t>B1896ZAA</t>
  </si>
  <si>
    <t>B0224</t>
  </si>
  <si>
    <t>CORONEL BRANDSEN</t>
  </si>
  <si>
    <t>AV ITUZAINGO</t>
  </si>
  <si>
    <t>BRANDSEN</t>
  </si>
  <si>
    <t>B1980ZAA</t>
  </si>
  <si>
    <t>B0228</t>
  </si>
  <si>
    <t>DOLORES</t>
  </si>
  <si>
    <t>B7100ZAA</t>
  </si>
  <si>
    <t>B0232</t>
  </si>
  <si>
    <t>ENSENADA</t>
  </si>
  <si>
    <t>NUESTRA SRA DE LA MERCED</t>
  </si>
  <si>
    <t>B1925ZAA</t>
  </si>
  <si>
    <t>B0234</t>
  </si>
  <si>
    <t>ESCUELA NAVAL RIO SANTIAGO</t>
  </si>
  <si>
    <t>ESC NAV MILITAR RIO SANTIAGO</t>
  </si>
  <si>
    <t>B1927ZAA</t>
  </si>
  <si>
    <t>B0236</t>
  </si>
  <si>
    <t>GENERAL ALVEAR</t>
  </si>
  <si>
    <t>B7263ZAA</t>
  </si>
  <si>
    <t>B0238</t>
  </si>
  <si>
    <t>GRAL. BELGRANO</t>
  </si>
  <si>
    <t>AV LARREA</t>
  </si>
  <si>
    <t>GENERAL BELGRANO</t>
  </si>
  <si>
    <t>B7223ZAA</t>
  </si>
  <si>
    <t>B0240</t>
  </si>
  <si>
    <t>GRAL. CONESA</t>
  </si>
  <si>
    <t>BDIER J M DE ROSAS</t>
  </si>
  <si>
    <t>GENERAL CONESA</t>
  </si>
  <si>
    <t>B7101ZAA</t>
  </si>
  <si>
    <t>B0242</t>
  </si>
  <si>
    <t>GUERNICA</t>
  </si>
  <si>
    <t>CALLE 5</t>
  </si>
  <si>
    <t>B1862ZAA</t>
  </si>
  <si>
    <t>B0244</t>
  </si>
  <si>
    <t>JEPPENER</t>
  </si>
  <si>
    <t>GRAL SAN MARTIN</t>
  </si>
  <si>
    <t>B1986ZAA</t>
  </si>
  <si>
    <t>B0246</t>
  </si>
  <si>
    <t>LAS TONINAS</t>
  </si>
  <si>
    <t>AV 26</t>
  </si>
  <si>
    <t>B7106ZAA</t>
  </si>
  <si>
    <t>B0262</t>
  </si>
  <si>
    <t>LAS FLORES</t>
  </si>
  <si>
    <t>AV AVELLANEDA</t>
  </si>
  <si>
    <t>B7200ZAA</t>
  </si>
  <si>
    <t>B0264</t>
  </si>
  <si>
    <t>GRAL. LAS HERAS</t>
  </si>
  <si>
    <t>LAS HERAS</t>
  </si>
  <si>
    <t>GENERAL LAS HERAS</t>
  </si>
  <si>
    <t>B1741ZAA</t>
  </si>
  <si>
    <t>B0266</t>
  </si>
  <si>
    <t>LEZAMA</t>
  </si>
  <si>
    <t>DOMINGO LASTRA</t>
  </si>
  <si>
    <t>B7116ZAA</t>
  </si>
  <si>
    <t>B0268</t>
  </si>
  <si>
    <t>LISANDRO OLMOS</t>
  </si>
  <si>
    <t>LISANDRO OLMOS ETCHEVERRY</t>
  </si>
  <si>
    <t>B1901ZAA</t>
  </si>
  <si>
    <t>B0270</t>
  </si>
  <si>
    <t>LOBOS</t>
  </si>
  <si>
    <t>CHACABUCO</t>
  </si>
  <si>
    <t>B7240ZAA</t>
  </si>
  <si>
    <t>B0272</t>
  </si>
  <si>
    <t>MELCHOR ROMERO</t>
  </si>
  <si>
    <t>CALLE 519</t>
  </si>
  <si>
    <t>B1903ZAA</t>
  </si>
  <si>
    <t>B0274</t>
  </si>
  <si>
    <t>MAGDALENA</t>
  </si>
  <si>
    <t>DR PEDRO GOENAGA</t>
  </si>
  <si>
    <t>B1913ZAA</t>
  </si>
  <si>
    <t>B0276</t>
  </si>
  <si>
    <t>MARCOS PAZ</t>
  </si>
  <si>
    <t>B1727ZAA</t>
  </si>
  <si>
    <t>B0278</t>
  </si>
  <si>
    <t>SAN MIGUEL DEL MONTE</t>
  </si>
  <si>
    <t>JOSE AICARDI</t>
  </si>
  <si>
    <t>B7220ZAA</t>
  </si>
  <si>
    <t>B0280</t>
  </si>
  <si>
    <t>MANUEL B. GONNET</t>
  </si>
  <si>
    <t>CALLE 502</t>
  </si>
  <si>
    <t>MANUEL B GONNET</t>
  </si>
  <si>
    <t>B1897ZAA</t>
  </si>
  <si>
    <t>B0300</t>
  </si>
  <si>
    <t>MERCEDES</t>
  </si>
  <si>
    <t>AV 29</t>
  </si>
  <si>
    <t>B6600ZAA</t>
  </si>
  <si>
    <t>B0305</t>
  </si>
  <si>
    <t>VILLA SAUZE</t>
  </si>
  <si>
    <t>CORDOBA</t>
  </si>
  <si>
    <t>B6235ZAA</t>
  </si>
  <si>
    <t>B0307</t>
  </si>
  <si>
    <t>ALBERTI</t>
  </si>
  <si>
    <t>B6634ZAA</t>
  </si>
  <si>
    <t>B0308</t>
  </si>
  <si>
    <t>AMEGHINO</t>
  </si>
  <si>
    <t>CALLE 9</t>
  </si>
  <si>
    <t>FLORENTINO AMEGHINO</t>
  </si>
  <si>
    <t>B6064ZAA</t>
  </si>
  <si>
    <t>B0309</t>
  </si>
  <si>
    <t>AMERICA</t>
  </si>
  <si>
    <t>VIAMONTE</t>
  </si>
  <si>
    <t>B6237ZAA</t>
  </si>
  <si>
    <t>B0310</t>
  </si>
  <si>
    <t>ARENAZA</t>
  </si>
  <si>
    <t>MALVINAS ARGENTINAS</t>
  </si>
  <si>
    <t>B6075ZAA</t>
  </si>
  <si>
    <t>B0311</t>
  </si>
  <si>
    <t>DOMINGO SARMIENTO</t>
  </si>
  <si>
    <t>B6007ZAA</t>
  </si>
  <si>
    <t>B0312</t>
  </si>
  <si>
    <t>ARROYO DULCE</t>
  </si>
  <si>
    <t>B2743ZAA</t>
  </si>
  <si>
    <t>B0313</t>
  </si>
  <si>
    <t>ASCENSION</t>
  </si>
  <si>
    <t>AV LIBERTAD</t>
  </si>
  <si>
    <t>ASCENCION</t>
  </si>
  <si>
    <t>B6003ZAA</t>
  </si>
  <si>
    <t>B0314</t>
  </si>
  <si>
    <t>BAIGORRITA</t>
  </si>
  <si>
    <t>B6013ZAA</t>
  </si>
  <si>
    <t>B0315</t>
  </si>
  <si>
    <t>BANDERALO</t>
  </si>
  <si>
    <t>1 DE SEPTIEMBRE</t>
  </si>
  <si>
    <t>B6244ZAA</t>
  </si>
  <si>
    <t>B0316</t>
  </si>
  <si>
    <t>BAYAUCA</t>
  </si>
  <si>
    <t>15 DE MAYO</t>
  </si>
  <si>
    <t>B6078ZAA</t>
  </si>
  <si>
    <t>B0317</t>
  </si>
  <si>
    <t>BERUTTI</t>
  </si>
  <si>
    <t>GRAL CORNELIO SAAVEDRA</t>
  </si>
  <si>
    <t>BERUTI</t>
  </si>
  <si>
    <t>B6424ZAA</t>
  </si>
  <si>
    <t>B0318</t>
  </si>
  <si>
    <t>BLAQUIER</t>
  </si>
  <si>
    <t>B6065ZAA</t>
  </si>
  <si>
    <t>B0319</t>
  </si>
  <si>
    <t>BOLIVAR</t>
  </si>
  <si>
    <t>GRAL ALVEAR</t>
  </si>
  <si>
    <t>B6550ZAA</t>
  </si>
  <si>
    <t>B0320</t>
  </si>
  <si>
    <t>B6640ZAA</t>
  </si>
  <si>
    <t>B0321</t>
  </si>
  <si>
    <t>JUAN B ALBERDI</t>
  </si>
  <si>
    <t>B6105ZAA</t>
  </si>
  <si>
    <t>B0322</t>
  </si>
  <si>
    <t>CARLOS CASARES</t>
  </si>
  <si>
    <t>AV ANTONIO MAYA</t>
  </si>
  <si>
    <t>B6530ZAA</t>
  </si>
  <si>
    <t>B0323</t>
  </si>
  <si>
    <t>CARLOS M. NAON</t>
  </si>
  <si>
    <t>11 DE NOVIEMBRE</t>
  </si>
  <si>
    <t>CARLOS MARIA NAON</t>
  </si>
  <si>
    <t>B6515ZAA</t>
  </si>
  <si>
    <t>B0324</t>
  </si>
  <si>
    <t>CARLOS TEJEDOR</t>
  </si>
  <si>
    <t>ESTEBAN Y SGO GARRE</t>
  </si>
  <si>
    <t>B6455ZAA</t>
  </si>
  <si>
    <t>B0325</t>
  </si>
  <si>
    <t>CARMEN DE ARECO</t>
  </si>
  <si>
    <t>AV DOMINGO SARMIENTO</t>
  </si>
  <si>
    <t>B6725ZAA</t>
  </si>
  <si>
    <t>B0327</t>
  </si>
  <si>
    <t>B6740ZAA</t>
  </si>
  <si>
    <t>B0328</t>
  </si>
  <si>
    <t>CHIVILCOY</t>
  </si>
  <si>
    <t>B6620ZAA</t>
  </si>
  <si>
    <t>B0330</t>
  </si>
  <si>
    <t>CNEL. CHARLONE</t>
  </si>
  <si>
    <t>CNEL ANZOATEGUI</t>
  </si>
  <si>
    <t>CORONEL CHARLONE</t>
  </si>
  <si>
    <t>B6223ZAA</t>
  </si>
  <si>
    <t>B0331</t>
  </si>
  <si>
    <t>CNEL. GRANADA</t>
  </si>
  <si>
    <t>CORONEL GRANADA</t>
  </si>
  <si>
    <t>B6062ZAA</t>
  </si>
  <si>
    <t>B0332</t>
  </si>
  <si>
    <t>CORONEL MOM</t>
  </si>
  <si>
    <t>SUIPACHA</t>
  </si>
  <si>
    <t>B6628ZAA</t>
  </si>
  <si>
    <t>B0333</t>
  </si>
  <si>
    <t>DEL VALLE</t>
  </si>
  <si>
    <t>GRAL M DE AZCUENAGA</t>
  </si>
  <si>
    <t>B6509ZAA</t>
  </si>
  <si>
    <t>B0334</t>
  </si>
  <si>
    <t>DUDIGNAC</t>
  </si>
  <si>
    <t>DR A SAMPIETRO</t>
  </si>
  <si>
    <t>B6505ZAA</t>
  </si>
  <si>
    <t>B0335</t>
  </si>
  <si>
    <t>EL TRIUNFO</t>
  </si>
  <si>
    <t>B6073ZAA</t>
  </si>
  <si>
    <t>B0336</t>
  </si>
  <si>
    <t>E. V. BUNGE</t>
  </si>
  <si>
    <t>AV EMILIO VICENTE BUNGE</t>
  </si>
  <si>
    <t>EMILIO BUNGE</t>
  </si>
  <si>
    <t>B6241ZAA</t>
  </si>
  <si>
    <t>B0337</t>
  </si>
  <si>
    <t>FERRE</t>
  </si>
  <si>
    <t>B6027ZAA</t>
  </si>
  <si>
    <t>B0338</t>
  </si>
  <si>
    <t>FORTIN OLAVARRIA</t>
  </si>
  <si>
    <t>B6403ZAA</t>
  </si>
  <si>
    <t>B0339</t>
  </si>
  <si>
    <t>FRANCISCO MADERO</t>
  </si>
  <si>
    <t>B6472ZAA</t>
  </si>
  <si>
    <t>B0340</t>
  </si>
  <si>
    <t>B6516ZAA</t>
  </si>
  <si>
    <t>B0341</t>
  </si>
  <si>
    <t>GRAL. ARENALES</t>
  </si>
  <si>
    <t>AV DR VALENTIN CURUTCHET</t>
  </si>
  <si>
    <t>GENERAL ARENALES</t>
  </si>
  <si>
    <t>B6005ZAA</t>
  </si>
  <si>
    <t>B0342</t>
  </si>
  <si>
    <t>GENERAL O BRIEN</t>
  </si>
  <si>
    <t>B6646ZAA</t>
  </si>
  <si>
    <t>B0343</t>
  </si>
  <si>
    <t>GRAL. PINTO</t>
  </si>
  <si>
    <t>GENERAL PINTO</t>
  </si>
  <si>
    <t>B6050ZAA</t>
  </si>
  <si>
    <t>B0344</t>
  </si>
  <si>
    <t>GRAL. RODRIGUEZ</t>
  </si>
  <si>
    <t>AV DEL LIB G SAN MARTIN</t>
  </si>
  <si>
    <t>GENERAL RODRIGUEZ</t>
  </si>
  <si>
    <t>B1748ZAA</t>
  </si>
  <si>
    <t>B0345</t>
  </si>
  <si>
    <t>GRAL. VILLEGAS</t>
  </si>
  <si>
    <t>GENERAL VILLEGAS</t>
  </si>
  <si>
    <t>B6230ZAA</t>
  </si>
  <si>
    <t>B0346</t>
  </si>
  <si>
    <t>GERMANIA</t>
  </si>
  <si>
    <t>B6053ZAA</t>
  </si>
  <si>
    <t>B0347</t>
  </si>
  <si>
    <t>GOB. UGARTE</t>
  </si>
  <si>
    <t>GRAL M BELGRANO</t>
  </si>
  <si>
    <t>GOBERNADOR UGARTE</t>
  </si>
  <si>
    <t>B6621ZAA</t>
  </si>
  <si>
    <t>B0348</t>
  </si>
  <si>
    <t>GONZALEZ MORENO</t>
  </si>
  <si>
    <t>DR PEDRO BARGERO</t>
  </si>
  <si>
    <t>B6239ZAA</t>
  </si>
  <si>
    <t>B0349</t>
  </si>
  <si>
    <t>SAN BERNARDO</t>
  </si>
  <si>
    <t>B6476ZAA</t>
  </si>
  <si>
    <t>B0350</t>
  </si>
  <si>
    <t>HENDERSON</t>
  </si>
  <si>
    <t>B6465ZAA</t>
  </si>
  <si>
    <t>B0351</t>
  </si>
  <si>
    <t>INES INDART</t>
  </si>
  <si>
    <t>TORNATORE</t>
  </si>
  <si>
    <t>B2747ZAA</t>
  </si>
  <si>
    <t>B0352</t>
  </si>
  <si>
    <t>J. M . JAUREGUI</t>
  </si>
  <si>
    <t>DEL COLEGIO</t>
  </si>
  <si>
    <t>JAUREGUI JOSE MARIA</t>
  </si>
  <si>
    <t>B6706ZAA</t>
  </si>
  <si>
    <t>B0353</t>
  </si>
  <si>
    <t>J. B. ALBERDI</t>
  </si>
  <si>
    <t>B RIVADAVIA</t>
  </si>
  <si>
    <t>JUAN BAUTISTA ALBERDI</t>
  </si>
  <si>
    <t>B6034ZAA</t>
  </si>
  <si>
    <t>B0354</t>
  </si>
  <si>
    <t>J. J. PASO</t>
  </si>
  <si>
    <t>GUIDO SPANO</t>
  </si>
  <si>
    <t>JUAN JOSE PASO</t>
  </si>
  <si>
    <t>B6474ZAB</t>
  </si>
  <si>
    <t>B0355</t>
  </si>
  <si>
    <t>JUNIN</t>
  </si>
  <si>
    <t>B6000ZAA</t>
  </si>
  <si>
    <t>B0359</t>
  </si>
  <si>
    <t>LEANDRO N. ALEM</t>
  </si>
  <si>
    <t>TENIENTE MAXIMO LAYERA</t>
  </si>
  <si>
    <t>LEANDRO N ALEM</t>
  </si>
  <si>
    <t>B6032ZAA</t>
  </si>
  <si>
    <t>B0360</t>
  </si>
  <si>
    <t>LINCOLN</t>
  </si>
  <si>
    <t>AV 25 DE MAYO</t>
  </si>
  <si>
    <t>B6070ZAA</t>
  </si>
  <si>
    <t>B0361</t>
  </si>
  <si>
    <t>LOS TOLDOS</t>
  </si>
  <si>
    <t>B6015ZAA</t>
  </si>
  <si>
    <t>B0362</t>
  </si>
  <si>
    <t>LUJAN</t>
  </si>
  <si>
    <t>BME MITRE</t>
  </si>
  <si>
    <t>B6700ZAA</t>
  </si>
  <si>
    <t>B0363</t>
  </si>
  <si>
    <t>MECHITA</t>
  </si>
  <si>
    <t>AV QUINTANA</t>
  </si>
  <si>
    <t>B6648ZAA</t>
  </si>
  <si>
    <t>B0365</t>
  </si>
  <si>
    <t>MOCTEZUMA</t>
  </si>
  <si>
    <t>AV SAN MARTIN</t>
  </si>
  <si>
    <t>B6531ZAA</t>
  </si>
  <si>
    <t>B0366</t>
  </si>
  <si>
    <t>MONES CAZON</t>
  </si>
  <si>
    <t>DARDO ROCHA</t>
  </si>
  <si>
    <t>B6469ZAA</t>
  </si>
  <si>
    <t>B0367</t>
  </si>
  <si>
    <t>MORSE</t>
  </si>
  <si>
    <t>AV DE LOS TILOS</t>
  </si>
  <si>
    <t>B6049ZAA</t>
  </si>
  <si>
    <t>B0368</t>
  </si>
  <si>
    <t>N. DE LA RIESTRA</t>
  </si>
  <si>
    <t>BENIGNO LUGONES</t>
  </si>
  <si>
    <t>NORBERTO DE LA RIESTRA</t>
  </si>
  <si>
    <t>B6663ZAA</t>
  </si>
  <si>
    <t>B0369</t>
  </si>
  <si>
    <t>B6500ZAA</t>
  </si>
  <si>
    <t>B0370</t>
  </si>
  <si>
    <t>OPEN DOOR</t>
  </si>
  <si>
    <t>AV DR DOMINGO CABRED</t>
  </si>
  <si>
    <t>B6708ZAA</t>
  </si>
  <si>
    <t>B0371</t>
  </si>
  <si>
    <t>O HIGGINS</t>
  </si>
  <si>
    <t>GRAL NICOLAS LEVALLE</t>
  </si>
  <si>
    <t>B6748ZAA</t>
  </si>
  <si>
    <t>B0372</t>
  </si>
  <si>
    <t>PASTEUR</t>
  </si>
  <si>
    <t>AV DR OSVALDO MONTES</t>
  </si>
  <si>
    <t>B6077ZAA</t>
  </si>
  <si>
    <t>B0373</t>
  </si>
  <si>
    <t>PEDERNALES</t>
  </si>
  <si>
    <t>B6665ZAA</t>
  </si>
  <si>
    <t>B0374</t>
  </si>
  <si>
    <t>PEHUAJO</t>
  </si>
  <si>
    <t>RIVAROLA</t>
  </si>
  <si>
    <t>B6450ZAA</t>
  </si>
  <si>
    <t>B0375</t>
  </si>
  <si>
    <t>PELLEGRINI</t>
  </si>
  <si>
    <t>B6346ZAA</t>
  </si>
  <si>
    <t>B0376</t>
  </si>
  <si>
    <t>PIEDRITAS</t>
  </si>
  <si>
    <t>SANTA FE</t>
  </si>
  <si>
    <t>B6249ZAA</t>
  </si>
  <si>
    <t>B0377</t>
  </si>
  <si>
    <t>PIROVANO</t>
  </si>
  <si>
    <t>MARCOS TAMBORENEA</t>
  </si>
  <si>
    <t>B6551ZAA</t>
  </si>
  <si>
    <t>B0379</t>
  </si>
  <si>
    <t>QUENUMA</t>
  </si>
  <si>
    <t>BENEITEZ SINFORIANO</t>
  </si>
  <si>
    <t>B6335ZAA</t>
  </si>
  <si>
    <t>B0380</t>
  </si>
  <si>
    <t>QUIROGA</t>
  </si>
  <si>
    <t>SAN LUIS</t>
  </si>
  <si>
    <t>B6560ZAA</t>
  </si>
  <si>
    <t>B0381</t>
  </si>
  <si>
    <t>RAFAEL OBLIGADO</t>
  </si>
  <si>
    <t>AV LUIS SAAVEDRA</t>
  </si>
  <si>
    <t>B6001ZAA</t>
  </si>
  <si>
    <t>B0382</t>
  </si>
  <si>
    <t>RAWSON</t>
  </si>
  <si>
    <t>B6734ZAA</t>
  </si>
  <si>
    <t>B0383</t>
  </si>
  <si>
    <t>ROBERTS</t>
  </si>
  <si>
    <t>ANDREA DUGGAN</t>
  </si>
  <si>
    <t>B6079ZAA</t>
  </si>
  <si>
    <t>B0384</t>
  </si>
  <si>
    <t>ROJAS</t>
  </si>
  <si>
    <t>B2705ZAA</t>
  </si>
  <si>
    <t>B0385</t>
  </si>
  <si>
    <t>SALLIQUELO</t>
  </si>
  <si>
    <t>AV HUGO STROEDER</t>
  </si>
  <si>
    <t>B6339ZAA</t>
  </si>
  <si>
    <t>B0386</t>
  </si>
  <si>
    <t>SALTO</t>
  </si>
  <si>
    <t>B2741ZAA</t>
  </si>
  <si>
    <t>B0387</t>
  </si>
  <si>
    <t>SAN ANDRES DE GILES</t>
  </si>
  <si>
    <t>MAESTRO SOULE SAN MARTIN</t>
  </si>
  <si>
    <t>B6720ZAA</t>
  </si>
  <si>
    <t>B0388</t>
  </si>
  <si>
    <t>SANTA REGINA</t>
  </si>
  <si>
    <t>B6107ZAA</t>
  </si>
  <si>
    <t>B0389</t>
  </si>
  <si>
    <t>B6612ZAA</t>
  </si>
  <si>
    <t>B0390</t>
  </si>
  <si>
    <t>TIMOTE</t>
  </si>
  <si>
    <t>LEOPOLDO LUGONES</t>
  </si>
  <si>
    <t>B6457ZAA</t>
  </si>
  <si>
    <t>B0391</t>
  </si>
  <si>
    <t>TORRES</t>
  </si>
  <si>
    <t>JOSE MARIA CRIADO ALONSO</t>
  </si>
  <si>
    <t>B6703ZAA</t>
  </si>
  <si>
    <t>B0392</t>
  </si>
  <si>
    <t>30 DE AGOSTO</t>
  </si>
  <si>
    <t>ARISTOBULO DEL VALLE</t>
  </si>
  <si>
    <t>B6405ZAA</t>
  </si>
  <si>
    <t>B0393</t>
  </si>
  <si>
    <t>TRENQUE LAUQUEN</t>
  </si>
  <si>
    <t>AV PTE GRAL JULIO A ROCA</t>
  </si>
  <si>
    <t>B6400ZAA</t>
  </si>
  <si>
    <t>B0394</t>
  </si>
  <si>
    <t>TRES ALGARROBOS</t>
  </si>
  <si>
    <t>B6231ZAA</t>
  </si>
  <si>
    <t>B0395</t>
  </si>
  <si>
    <t>TRES LOMAS</t>
  </si>
  <si>
    <t>B6409ZAA</t>
  </si>
  <si>
    <t>B0396</t>
  </si>
  <si>
    <t>URDAMPILLETA</t>
  </si>
  <si>
    <t>AV B RIVADAVIA</t>
  </si>
  <si>
    <t>B6553ZAA</t>
  </si>
  <si>
    <t>B0397</t>
  </si>
  <si>
    <t>VEDIA</t>
  </si>
  <si>
    <t>AV RODOLFO DUNCKLER</t>
  </si>
  <si>
    <t>B6030ZAA</t>
  </si>
  <si>
    <t>B0398</t>
  </si>
  <si>
    <t>CALLE 11</t>
  </si>
  <si>
    <t>B6660ZAA</t>
  </si>
  <si>
    <t>B0399</t>
  </si>
  <si>
    <t>VILLA MOQUEHUA</t>
  </si>
  <si>
    <t>YAPEYU</t>
  </si>
  <si>
    <t>B6625ZAA</t>
  </si>
  <si>
    <t>B0400</t>
  </si>
  <si>
    <t>PERGAMINO</t>
  </si>
  <si>
    <t>MERCED</t>
  </si>
  <si>
    <t>B2700ZAA</t>
  </si>
  <si>
    <t>B0402</t>
  </si>
  <si>
    <t>ACEVEDO</t>
  </si>
  <si>
    <t>AV CENTENARIO</t>
  </si>
  <si>
    <t>B2717ZAA</t>
  </si>
  <si>
    <t>B0404</t>
  </si>
  <si>
    <t>B2938ZAA</t>
  </si>
  <si>
    <t>B0406</t>
  </si>
  <si>
    <t>ARRECIFES</t>
  </si>
  <si>
    <t>B2740ZAA</t>
  </si>
  <si>
    <t>B0408</t>
  </si>
  <si>
    <t>BARADERO</t>
  </si>
  <si>
    <t>PEDRO M ARAOZ</t>
  </si>
  <si>
    <t>B2942ZAA</t>
  </si>
  <si>
    <t>B0412</t>
  </si>
  <si>
    <t>CAMPANA</t>
  </si>
  <si>
    <t>B2804ZAA</t>
  </si>
  <si>
    <t>B0414</t>
  </si>
  <si>
    <t>B2812ZAA</t>
  </si>
  <si>
    <t>B0416</t>
  </si>
  <si>
    <t>CAP. SARMIENTO</t>
  </si>
  <si>
    <t>CAPITAN SARMIENTO</t>
  </si>
  <si>
    <t>B2752ZAA</t>
  </si>
  <si>
    <t>B0418</t>
  </si>
  <si>
    <t>CALLE 47</t>
  </si>
  <si>
    <t>B2720ZAA</t>
  </si>
  <si>
    <t>B0420</t>
  </si>
  <si>
    <t>CONESA</t>
  </si>
  <si>
    <t>FORMOSA</t>
  </si>
  <si>
    <t>B2907ZAA</t>
  </si>
  <si>
    <t>B0422</t>
  </si>
  <si>
    <t>EL PARAISO</t>
  </si>
  <si>
    <t>ELOY VELAZ</t>
  </si>
  <si>
    <t>B2916ZAA</t>
  </si>
  <si>
    <t>B0424</t>
  </si>
  <si>
    <t>EL SOCORRO</t>
  </si>
  <si>
    <t>JOSE LORENZO MORENO</t>
  </si>
  <si>
    <t>B2715ZAA</t>
  </si>
  <si>
    <t>B0426</t>
  </si>
  <si>
    <t>ESCOBAR</t>
  </si>
  <si>
    <t>BELEN DE ESCOBAR</t>
  </si>
  <si>
    <t>B1625ZAA</t>
  </si>
  <si>
    <t>B0428</t>
  </si>
  <si>
    <t>GARIN</t>
  </si>
  <si>
    <t>B1619ZAA</t>
  </si>
  <si>
    <t>B0430</t>
  </si>
  <si>
    <t>GENERAL ROJO</t>
  </si>
  <si>
    <t>RAMALLO</t>
  </si>
  <si>
    <t>B2905ZAA</t>
  </si>
  <si>
    <t>B0432</t>
  </si>
  <si>
    <t>GOB. CASTRO</t>
  </si>
  <si>
    <t>GOBERNADOR CASTRO</t>
  </si>
  <si>
    <t>B2946ZAA</t>
  </si>
  <si>
    <t>B0434</t>
  </si>
  <si>
    <t>ING. MASCHWITZ</t>
  </si>
  <si>
    <t>INGENIERO MASCHWITZ</t>
  </si>
  <si>
    <t>B1623ZAA</t>
  </si>
  <si>
    <t>B0436</t>
  </si>
  <si>
    <t>LA EMILIA</t>
  </si>
  <si>
    <t>JOSE CORDOBA</t>
  </si>
  <si>
    <t>SAN NICOLAS DE LOS ARROYOS</t>
  </si>
  <si>
    <t>B2901ZAA</t>
  </si>
  <si>
    <t>B0438</t>
  </si>
  <si>
    <t>LIMA</t>
  </si>
  <si>
    <t>AV 11</t>
  </si>
  <si>
    <t>B2806ZAA</t>
  </si>
  <si>
    <t>B0440</t>
  </si>
  <si>
    <t>MATHEU</t>
  </si>
  <si>
    <t>B1627ZAA</t>
  </si>
  <si>
    <t>B0442</t>
  </si>
  <si>
    <t>MAQ.F. SAVIO</t>
  </si>
  <si>
    <t>AV CONSTITUCION</t>
  </si>
  <si>
    <t>MAQUINISTA F SAVIO</t>
  </si>
  <si>
    <t>B1620ZAA</t>
  </si>
  <si>
    <t>B0444</t>
  </si>
  <si>
    <t>PEREZ MILLAN</t>
  </si>
  <si>
    <t>AV DR MANFREDI</t>
  </si>
  <si>
    <t>B2933ZAA</t>
  </si>
  <si>
    <t>B0446</t>
  </si>
  <si>
    <t>PILAR</t>
  </si>
  <si>
    <t>PEDRO LAGRAVE</t>
  </si>
  <si>
    <t>B1629ZAA</t>
  </si>
  <si>
    <t>B0448</t>
  </si>
  <si>
    <t>PRESIDENTE DERQUI</t>
  </si>
  <si>
    <t>B1635ZAA</t>
  </si>
  <si>
    <t>B0450</t>
  </si>
  <si>
    <t>EVA PERON</t>
  </si>
  <si>
    <t>B2915ZAA</t>
  </si>
  <si>
    <t>B0452</t>
  </si>
  <si>
    <t>RIO TALA</t>
  </si>
  <si>
    <t>B2944ZAA</t>
  </si>
  <si>
    <t>B0454</t>
  </si>
  <si>
    <t>SAN A. DE ARECO</t>
  </si>
  <si>
    <t>SAN ANTONIO DE ARECO</t>
  </si>
  <si>
    <t>B2760ZAA</t>
  </si>
  <si>
    <t>B0456</t>
  </si>
  <si>
    <t>SAN NICOLAS</t>
  </si>
  <si>
    <t>DE LA NACION</t>
  </si>
  <si>
    <t>B2900ZAA</t>
  </si>
  <si>
    <t>B0458</t>
  </si>
  <si>
    <t>SAN NICOLAS 1</t>
  </si>
  <si>
    <t>AV LA PAZ</t>
  </si>
  <si>
    <t>B2900ZAB</t>
  </si>
  <si>
    <t>B0460</t>
  </si>
  <si>
    <t>SAN PEDRO</t>
  </si>
  <si>
    <t>B2930ZAA</t>
  </si>
  <si>
    <t>B0462</t>
  </si>
  <si>
    <t>SANTA LUCIA</t>
  </si>
  <si>
    <t>JUAN O FARREL</t>
  </si>
  <si>
    <t>B2935ZAA</t>
  </si>
  <si>
    <t>B0464</t>
  </si>
  <si>
    <t>VILLA ESTACION RAMALLO</t>
  </si>
  <si>
    <t>VILLA RAMALLO</t>
  </si>
  <si>
    <t>B2914ZAA</t>
  </si>
  <si>
    <t>B0466</t>
  </si>
  <si>
    <t>ZARATE</t>
  </si>
  <si>
    <t>FELIX PAGOLA</t>
  </si>
  <si>
    <t>B2800ZAA</t>
  </si>
  <si>
    <t>B0500</t>
  </si>
  <si>
    <t>BAHIA BLANCA</t>
  </si>
  <si>
    <t>B8000ZAA</t>
  </si>
  <si>
    <t>B0501</t>
  </si>
  <si>
    <t>BAHIA BLANCA 1</t>
  </si>
  <si>
    <t>MAIPU</t>
  </si>
  <si>
    <t>B8001ZAA</t>
  </si>
  <si>
    <t>B0502</t>
  </si>
  <si>
    <t>BAHIA BLANCA 2</t>
  </si>
  <si>
    <t>DON BOSCO</t>
  </si>
  <si>
    <t>B8000ZAB</t>
  </si>
  <si>
    <t>B0525</t>
  </si>
  <si>
    <t>STROEDER</t>
  </si>
  <si>
    <t>B8508ZAA</t>
  </si>
  <si>
    <t>B0527</t>
  </si>
  <si>
    <t>TORNQUIST</t>
  </si>
  <si>
    <t>AV GRAL PAZ</t>
  </si>
  <si>
    <t>B8160ZAA</t>
  </si>
  <si>
    <t>B0529</t>
  </si>
  <si>
    <t>TRES ARROYOS</t>
  </si>
  <si>
    <t>AV MORENO</t>
  </si>
  <si>
    <t>B7500ZAA</t>
  </si>
  <si>
    <t>B0531</t>
  </si>
  <si>
    <t>VILLA IRIS</t>
  </si>
  <si>
    <t>DR NICOLAS AVELLANEDA</t>
  </si>
  <si>
    <t>B8126ZAA</t>
  </si>
  <si>
    <t>B0533</t>
  </si>
  <si>
    <t>VILLALONGA</t>
  </si>
  <si>
    <t>F URQUIJO DE SEXE</t>
  </si>
  <si>
    <t>B8512ZAA</t>
  </si>
  <si>
    <t>B0535</t>
  </si>
  <si>
    <t>ADOLFO GONZALES CHAVES</t>
  </si>
  <si>
    <t>GRAL PAZ</t>
  </si>
  <si>
    <t>B7513ZAA</t>
  </si>
  <si>
    <t>B0536</t>
  </si>
  <si>
    <t>JUAN COUSTE</t>
  </si>
  <si>
    <t>D CLEMENTE PENE</t>
  </si>
  <si>
    <t>B8136ZAA</t>
  </si>
  <si>
    <t>B0537</t>
  </si>
  <si>
    <t>ARROYO CORTO</t>
  </si>
  <si>
    <t>GOSETTI Y BIGA</t>
  </si>
  <si>
    <t>B8172ZAA</t>
  </si>
  <si>
    <t>B0538</t>
  </si>
  <si>
    <t>AZUL</t>
  </si>
  <si>
    <t>IRIGOYEN</t>
  </si>
  <si>
    <t>B7300ZAA</t>
  </si>
  <si>
    <t>B0540</t>
  </si>
  <si>
    <t>BALNEARIO CLAROMECO</t>
  </si>
  <si>
    <t>CALLE 28</t>
  </si>
  <si>
    <t>B7505ZAA</t>
  </si>
  <si>
    <t>B0542</t>
  </si>
  <si>
    <t>MONTE HERMOSO</t>
  </si>
  <si>
    <t>AV FARO RECALADA</t>
  </si>
  <si>
    <t>B8153ZAA</t>
  </si>
  <si>
    <t>B0543</t>
  </si>
  <si>
    <t>BASE CTE. ESPORA</t>
  </si>
  <si>
    <t>TENIENTE DE CORBETA DIEGO LOUVER JAMBERT</t>
  </si>
  <si>
    <t>BASE AERONAVAL CMTE ESPORA</t>
  </si>
  <si>
    <t>B8107ZAA</t>
  </si>
  <si>
    <t>B0544</t>
  </si>
  <si>
    <t>BATERIAS</t>
  </si>
  <si>
    <t>HEROES DE MALVINAS S/N</t>
  </si>
  <si>
    <t>B8113ZAA</t>
  </si>
  <si>
    <t>B0545</t>
  </si>
  <si>
    <t>BENITO JUAREZ</t>
  </si>
  <si>
    <t>DR MARIANO MORENO</t>
  </si>
  <si>
    <t>B7020ZAA</t>
  </si>
  <si>
    <t>B0546</t>
  </si>
  <si>
    <t>BONIFACIO</t>
  </si>
  <si>
    <t>B6439ZAA</t>
  </si>
  <si>
    <t>B0547</t>
  </si>
  <si>
    <t>BORDENAVE</t>
  </si>
  <si>
    <t>CACIQUE PINCEN</t>
  </si>
  <si>
    <t>B8187ZAA</t>
  </si>
  <si>
    <t>B0548</t>
  </si>
  <si>
    <t>CABILDO</t>
  </si>
  <si>
    <t>AZCUENAGA</t>
  </si>
  <si>
    <t>B8118ZAA</t>
  </si>
  <si>
    <t>B0549</t>
  </si>
  <si>
    <t>CARHUE</t>
  </si>
  <si>
    <t>B6430ZAA</t>
  </si>
  <si>
    <t>B0550</t>
  </si>
  <si>
    <t>C. DE PATAGONES</t>
  </si>
  <si>
    <t>PARAGUAY</t>
  </si>
  <si>
    <t>CARMEN DE PATAGONES</t>
  </si>
  <si>
    <t>B8504ZAA</t>
  </si>
  <si>
    <t>B0551</t>
  </si>
  <si>
    <t>CASBAS</t>
  </si>
  <si>
    <t>B6417ZAA</t>
  </si>
  <si>
    <t>B0552</t>
  </si>
  <si>
    <t>CHILLAR</t>
  </si>
  <si>
    <t>MARIO TEOFILO CORTAZAR</t>
  </si>
  <si>
    <t>B7311ZAA</t>
  </si>
  <si>
    <t>B0553</t>
  </si>
  <si>
    <t>COPETONAS</t>
  </si>
  <si>
    <t>TTE GRAL ARAMBURU</t>
  </si>
  <si>
    <t>B7511ZAA</t>
  </si>
  <si>
    <t>B0554</t>
  </si>
  <si>
    <t>CNEL. DORREGO</t>
  </si>
  <si>
    <t>AV DR NIRIDO E SANTAGADA</t>
  </si>
  <si>
    <t>CORONEL DORREGO</t>
  </si>
  <si>
    <t>B8150ZAA</t>
  </si>
  <si>
    <t>B0555</t>
  </si>
  <si>
    <t>CNEL. PRINGLES</t>
  </si>
  <si>
    <t>JUAN CABRERA</t>
  </si>
  <si>
    <t>CORONEL PRINGLES</t>
  </si>
  <si>
    <t>B7530ZAA</t>
  </si>
  <si>
    <t>B0556</t>
  </si>
  <si>
    <t>CORONEL SUAREZ</t>
  </si>
  <si>
    <t>AV DR A ALSINA</t>
  </si>
  <si>
    <t>B7540ZAA</t>
  </si>
  <si>
    <t>B0557</t>
  </si>
  <si>
    <t>DAIREAUX</t>
  </si>
  <si>
    <t>B6555ZAA</t>
  </si>
  <si>
    <t>B0558</t>
  </si>
  <si>
    <t>DARREGUEIRA</t>
  </si>
  <si>
    <t>PADRE NIEHAUS</t>
  </si>
  <si>
    <t>B8183ZAA</t>
  </si>
  <si>
    <t>B0559</t>
  </si>
  <si>
    <t>DE LA GARMA</t>
  </si>
  <si>
    <t>AV ANTONIO CIANCAGLINI</t>
  </si>
  <si>
    <t>B7515ZAA</t>
  </si>
  <si>
    <t>B0561</t>
  </si>
  <si>
    <t>ESPARTILLAR</t>
  </si>
  <si>
    <t>AUGUSTO BONDAZ</t>
  </si>
  <si>
    <t>B8171ZAA</t>
  </si>
  <si>
    <t>B0563</t>
  </si>
  <si>
    <t>FELIPE SOLA</t>
  </si>
  <si>
    <t>LINIERS</t>
  </si>
  <si>
    <t>B8129ZAA</t>
  </si>
  <si>
    <t>B0564</t>
  </si>
  <si>
    <t>GARRE</t>
  </si>
  <si>
    <t>B6411ZAA</t>
  </si>
  <si>
    <t>B0565</t>
  </si>
  <si>
    <t>GRAL. D. CERRI</t>
  </si>
  <si>
    <t>DR JUAN J PASO</t>
  </si>
  <si>
    <t>GRAL DANIEL CERRI</t>
  </si>
  <si>
    <t>B8105ZAA</t>
  </si>
  <si>
    <t>B0566</t>
  </si>
  <si>
    <t>GRAL. LAMADRID</t>
  </si>
  <si>
    <t>GENERAL LAMADRID</t>
  </si>
  <si>
    <t>B7406ZAA</t>
  </si>
  <si>
    <t>B0567</t>
  </si>
  <si>
    <t>GOYENA</t>
  </si>
  <si>
    <t>B8175ZAA</t>
  </si>
  <si>
    <t>B0568</t>
  </si>
  <si>
    <t>GUAMINI</t>
  </si>
  <si>
    <t>B6435ZAA</t>
  </si>
  <si>
    <t>B0569</t>
  </si>
  <si>
    <t>HILARIO ASCASUBI</t>
  </si>
  <si>
    <t>CALLE 14</t>
  </si>
  <si>
    <t>B8142ZAA</t>
  </si>
  <si>
    <t>B0570</t>
  </si>
  <si>
    <t>HINOJO</t>
  </si>
  <si>
    <t>B7318ZAA</t>
  </si>
  <si>
    <t>B0571</t>
  </si>
  <si>
    <t>HUANGUELEN</t>
  </si>
  <si>
    <t>ALTE G BROWN</t>
  </si>
  <si>
    <t>B7545ZAA</t>
  </si>
  <si>
    <t>B0572</t>
  </si>
  <si>
    <t>INDIO RICO</t>
  </si>
  <si>
    <t>B7501ZAA</t>
  </si>
  <si>
    <t>B0573</t>
  </si>
  <si>
    <t>ING. WHITE</t>
  </si>
  <si>
    <t>INGENIERO WHITE</t>
  </si>
  <si>
    <t>B8103ZAA</t>
  </si>
  <si>
    <t>B0574</t>
  </si>
  <si>
    <t>EL PERDIDO</t>
  </si>
  <si>
    <t>EL PERDIDO EST JOSE GUISASOLA</t>
  </si>
  <si>
    <t>B8156ZAA</t>
  </si>
  <si>
    <t>B0575</t>
  </si>
  <si>
    <t>LA COLINA</t>
  </si>
  <si>
    <t>B7408ZAA</t>
  </si>
  <si>
    <t>B0576</t>
  </si>
  <si>
    <t>DR RAMON SANTAMARINA</t>
  </si>
  <si>
    <t>B7414ZAA</t>
  </si>
  <si>
    <t>B0577</t>
  </si>
  <si>
    <t>MAYOR BURATOVICH</t>
  </si>
  <si>
    <t>AV JUAN M DE ROSAS</t>
  </si>
  <si>
    <t>B8146ZAA</t>
  </si>
  <si>
    <t>B0578</t>
  </si>
  <si>
    <t>MAZA</t>
  </si>
  <si>
    <t>VILLA MAZA</t>
  </si>
  <si>
    <t>B6343ZAA</t>
  </si>
  <si>
    <t>B0579</t>
  </si>
  <si>
    <t>AV MITRE</t>
  </si>
  <si>
    <t>MEDANOS</t>
  </si>
  <si>
    <t>B8132ZAA</t>
  </si>
  <si>
    <t>B0580</t>
  </si>
  <si>
    <t>MICAELA CASCALLARES</t>
  </si>
  <si>
    <t>2 DE ABRIL</t>
  </si>
  <si>
    <t>B7507ZAA</t>
  </si>
  <si>
    <t>B0581</t>
  </si>
  <si>
    <t>OLAVARRIA</t>
  </si>
  <si>
    <t>B7400ZAA</t>
  </si>
  <si>
    <t>B0582</t>
  </si>
  <si>
    <t>ORENSE</t>
  </si>
  <si>
    <t>B7503ZAA</t>
  </si>
  <si>
    <t>B0583</t>
  </si>
  <si>
    <t>ORIENTE</t>
  </si>
  <si>
    <t>AV LIBERTADOR GRAL SAN MARTIN</t>
  </si>
  <si>
    <t>B7509ZAA</t>
  </si>
  <si>
    <t>B0584</t>
  </si>
  <si>
    <t>PEDRO LURO</t>
  </si>
  <si>
    <t>CALLE 24</t>
  </si>
  <si>
    <t>B8148ZAA</t>
  </si>
  <si>
    <t>B0585</t>
  </si>
  <si>
    <t>PIGUE</t>
  </si>
  <si>
    <t>B8170ZAA</t>
  </si>
  <si>
    <t>B0586</t>
  </si>
  <si>
    <t>PUAN</t>
  </si>
  <si>
    <t>B8180ZAA</t>
  </si>
  <si>
    <t>B0587</t>
  </si>
  <si>
    <t>PUEBLO SAN JOSE</t>
  </si>
  <si>
    <t>AV ALEMANES DEL VOLGA</t>
  </si>
  <si>
    <t>B7541ZAA</t>
  </si>
  <si>
    <t>B0588</t>
  </si>
  <si>
    <t>PUERTO BELGRANO</t>
  </si>
  <si>
    <t>AV AL TEMPLO</t>
  </si>
  <si>
    <t>B8111ZAA</t>
  </si>
  <si>
    <t>B0589</t>
  </si>
  <si>
    <t>PUNTA ALTA</t>
  </si>
  <si>
    <t>B8109ZAA</t>
  </si>
  <si>
    <t>B0590</t>
  </si>
  <si>
    <t>B6441ZAA</t>
  </si>
  <si>
    <t>B0591</t>
  </si>
  <si>
    <t>SAAVEDRA</t>
  </si>
  <si>
    <t>AV CECILIO LOPEZ</t>
  </si>
  <si>
    <t>B8174ZAA</t>
  </si>
  <si>
    <t>B0592</t>
  </si>
  <si>
    <t>SALAZAR</t>
  </si>
  <si>
    <t>AV DR ADOLFO BARCELO</t>
  </si>
  <si>
    <t>B6471ZAA</t>
  </si>
  <si>
    <t>B0593</t>
  </si>
  <si>
    <t>SALDUNGARAY</t>
  </si>
  <si>
    <t>B8166ZAA</t>
  </si>
  <si>
    <t>B0594</t>
  </si>
  <si>
    <t>SAN FCO. DE BELLOCQ</t>
  </si>
  <si>
    <t>AV DR ARNALDO GIRADO</t>
  </si>
  <si>
    <t>SAN FRANCISCO DE BELLOCQ</t>
  </si>
  <si>
    <t>B7520ZAA</t>
  </si>
  <si>
    <t>B0595</t>
  </si>
  <si>
    <t>SAN MIGUEL ARCANGEL</t>
  </si>
  <si>
    <t>LOS FUNDADORES</t>
  </si>
  <si>
    <t>B8185ZAA</t>
  </si>
  <si>
    <t>B0596</t>
  </si>
  <si>
    <t>SIERRA DE LA VENTANA</t>
  </si>
  <si>
    <t>AV ROCA</t>
  </si>
  <si>
    <t>B8168ZAA</t>
  </si>
  <si>
    <t>B0597</t>
  </si>
  <si>
    <t>SIERRAS BAYAS</t>
  </si>
  <si>
    <t>ALFONSO AUST</t>
  </si>
  <si>
    <t>B7403ZAA</t>
  </si>
  <si>
    <t>B0700</t>
  </si>
  <si>
    <t>COLEGIO DE ABOGADOS</t>
  </si>
  <si>
    <t>MAR DEL PLATA</t>
  </si>
  <si>
    <t>B7600ZAB</t>
  </si>
  <si>
    <t>B0715</t>
  </si>
  <si>
    <t>GUEMES</t>
  </si>
  <si>
    <t>GRAL MARTIN M GUEMES</t>
  </si>
  <si>
    <t>B7600ZAF</t>
  </si>
  <si>
    <t>B0716</t>
  </si>
  <si>
    <t>MAR DEL PLATA CENTRO</t>
  </si>
  <si>
    <t>HIPOLITO YRIGOYEN</t>
  </si>
  <si>
    <t>B7600ZAD</t>
  </si>
  <si>
    <t>B0717</t>
  </si>
  <si>
    <t>VILLA GESELL</t>
  </si>
  <si>
    <t>AV 4</t>
  </si>
  <si>
    <t>B7165ZAC</t>
  </si>
  <si>
    <t>B0719</t>
  </si>
  <si>
    <t>B1640ZAA</t>
  </si>
  <si>
    <t>B0720</t>
  </si>
  <si>
    <t>QUILMES</t>
  </si>
  <si>
    <t>B1878ZAC</t>
  </si>
  <si>
    <t>B0721</t>
  </si>
  <si>
    <t>MUNRO</t>
  </si>
  <si>
    <t>AV DR VELEZ SARSFIELD</t>
  </si>
  <si>
    <t>B1605ZAB</t>
  </si>
  <si>
    <t>B0722</t>
  </si>
  <si>
    <t>LOMAS DE ZAMORA</t>
  </si>
  <si>
    <t>B1832ZAB</t>
  </si>
  <si>
    <t>B0725</t>
  </si>
  <si>
    <t>MORON</t>
  </si>
  <si>
    <t>B1708ZAB</t>
  </si>
  <si>
    <t>B0727</t>
  </si>
  <si>
    <t>BANFIELD</t>
  </si>
  <si>
    <t>DR A ALSINA</t>
  </si>
  <si>
    <t>B1828ZAA</t>
  </si>
  <si>
    <t>B0900</t>
  </si>
  <si>
    <t>AV PEDRO LURO</t>
  </si>
  <si>
    <t>B7600ZAA</t>
  </si>
  <si>
    <t>B0901</t>
  </si>
  <si>
    <t>MAR DEL PLATA 1</t>
  </si>
  <si>
    <t>AV CRISTOBAL COLON</t>
  </si>
  <si>
    <t>B7604ZAB</t>
  </si>
  <si>
    <t>B0902</t>
  </si>
  <si>
    <t>MAR DEL PLATA 2</t>
  </si>
  <si>
    <t>GRAL M ACHA</t>
  </si>
  <si>
    <t>B7603ZAB</t>
  </si>
  <si>
    <t>B0904</t>
  </si>
  <si>
    <t>MAR DEL PLATA 4</t>
  </si>
  <si>
    <t>AV JACINTO PERALTA RAMOS</t>
  </si>
  <si>
    <t>B7608ZAA</t>
  </si>
  <si>
    <t>B0905</t>
  </si>
  <si>
    <t>MAR DEL PLATA 5</t>
  </si>
  <si>
    <t>B7600ZAG</t>
  </si>
  <si>
    <t>B0910</t>
  </si>
  <si>
    <t>BARRIO BATAN</t>
  </si>
  <si>
    <t>CALLE 153</t>
  </si>
  <si>
    <t>B7601ZAA</t>
  </si>
  <si>
    <t>B0912</t>
  </si>
  <si>
    <t>CTE. OTAMENDI</t>
  </si>
  <si>
    <t>ENTRE RIOS</t>
  </si>
  <si>
    <t>COMANDANTE NICANOR OTAMENDI</t>
  </si>
  <si>
    <t>B7613ZAA</t>
  </si>
  <si>
    <t>B0914</t>
  </si>
  <si>
    <t>CORONEL VIDAL</t>
  </si>
  <si>
    <t>B7174ZAA</t>
  </si>
  <si>
    <t>B0916</t>
  </si>
  <si>
    <t>GRAL. GUIDO</t>
  </si>
  <si>
    <t>GENERAL GUIDO</t>
  </si>
  <si>
    <t>B7118ZAA</t>
  </si>
  <si>
    <t>B0918</t>
  </si>
  <si>
    <t>GRAL. LAVALLE</t>
  </si>
  <si>
    <t>ART DE LA SERNA</t>
  </si>
  <si>
    <t>GENERAL LAVALLE</t>
  </si>
  <si>
    <t>B7103ZAA</t>
  </si>
  <si>
    <t>B0920</t>
  </si>
  <si>
    <t>GRAL. MADARIAGA</t>
  </si>
  <si>
    <t>GENERAL MADARIAGA</t>
  </si>
  <si>
    <t>B7163ZAA</t>
  </si>
  <si>
    <t>B0922</t>
  </si>
  <si>
    <t>GRAL. PIRAN</t>
  </si>
  <si>
    <t>GENERAL PIRAN</t>
  </si>
  <si>
    <t>B7172ZAA</t>
  </si>
  <si>
    <t>B0924</t>
  </si>
  <si>
    <t>J.N. FERNANDEZ</t>
  </si>
  <si>
    <t>CALLE 37</t>
  </si>
  <si>
    <t>JUAN N FERNANDEZ</t>
  </si>
  <si>
    <t>B7011ZAA</t>
  </si>
  <si>
    <t>B0926</t>
  </si>
  <si>
    <t>LA DULCE</t>
  </si>
  <si>
    <t>B7637ZAA</t>
  </si>
  <si>
    <t>B0928</t>
  </si>
  <si>
    <t>LOBERIA</t>
  </si>
  <si>
    <t>ITALIA</t>
  </si>
  <si>
    <t>B7635ZAA</t>
  </si>
  <si>
    <t>B0930</t>
  </si>
  <si>
    <t>BALCARCE</t>
  </si>
  <si>
    <t>CALLE 19</t>
  </si>
  <si>
    <t>B7620ZAA</t>
  </si>
  <si>
    <t>B0940</t>
  </si>
  <si>
    <t>MIRAMAR</t>
  </si>
  <si>
    <t>CALLE 17</t>
  </si>
  <si>
    <t>B7607ZAA</t>
  </si>
  <si>
    <t>B0942</t>
  </si>
  <si>
    <t>MAR DEL TUYU</t>
  </si>
  <si>
    <t>CALLE 2</t>
  </si>
  <si>
    <t>B7108ZAA</t>
  </si>
  <si>
    <t>B0951</t>
  </si>
  <si>
    <t>NECOCHEA</t>
  </si>
  <si>
    <t>AV 58</t>
  </si>
  <si>
    <t>B7630ZAA</t>
  </si>
  <si>
    <t>B0952</t>
  </si>
  <si>
    <t>NECOCHEA 1</t>
  </si>
  <si>
    <t>CALLE 85</t>
  </si>
  <si>
    <t>B7630ZAB</t>
  </si>
  <si>
    <t>B0953</t>
  </si>
  <si>
    <t>SAN BERNARDO DEL TUYU</t>
  </si>
  <si>
    <t>J C CHIOZZA</t>
  </si>
  <si>
    <t>B7111ZAA</t>
  </si>
  <si>
    <t>B0954</t>
  </si>
  <si>
    <t>PINAMAR</t>
  </si>
  <si>
    <t>ENEAS</t>
  </si>
  <si>
    <t>B7167ZAA</t>
  </si>
  <si>
    <t>B0955</t>
  </si>
  <si>
    <t>QUEQUEN</t>
  </si>
  <si>
    <t>B7631ZAA</t>
  </si>
  <si>
    <t>B0956</t>
  </si>
  <si>
    <t>SAN CAYETANO</t>
  </si>
  <si>
    <t>B7521ZAA</t>
  </si>
  <si>
    <t>B0957</t>
  </si>
  <si>
    <t>SAN CLEMENTE DEL TUYU</t>
  </si>
  <si>
    <t>CALLE 4</t>
  </si>
  <si>
    <t>B7105ZAA</t>
  </si>
  <si>
    <t>B0958</t>
  </si>
  <si>
    <t>SANTA TERESITA</t>
  </si>
  <si>
    <t>B7107ZAA</t>
  </si>
  <si>
    <t>B0959</t>
  </si>
  <si>
    <t>SANTA CLARA DEL MAR</t>
  </si>
  <si>
    <t>PUNTA LARA</t>
  </si>
  <si>
    <t>B7609ZAA</t>
  </si>
  <si>
    <t>B0960</t>
  </si>
  <si>
    <t>AV 3</t>
  </si>
  <si>
    <t>B7165ZAA</t>
  </si>
  <si>
    <t>B0970</t>
  </si>
  <si>
    <t>NAVARRO</t>
  </si>
  <si>
    <t>MONS MIGUEL DE ANDREA</t>
  </si>
  <si>
    <t>B6605ZAA</t>
  </si>
  <si>
    <t>B0971</t>
  </si>
  <si>
    <t>PILA</t>
  </si>
  <si>
    <t>B7120ZAA</t>
  </si>
  <si>
    <t>B0972</t>
  </si>
  <si>
    <t>RANCHOS</t>
  </si>
  <si>
    <t>RAMON SEIJAS</t>
  </si>
  <si>
    <t>B1987ZAA</t>
  </si>
  <si>
    <t>B0973</t>
  </si>
  <si>
    <t>RAUCH</t>
  </si>
  <si>
    <t>MAURICIO FRANCISCO LETAMENDI</t>
  </si>
  <si>
    <t>B7203ZAA</t>
  </si>
  <si>
    <t>B0974</t>
  </si>
  <si>
    <t>ROQUE PEREZ</t>
  </si>
  <si>
    <t>B7245ZAA</t>
  </si>
  <si>
    <t>B0975</t>
  </si>
  <si>
    <t>SALADILLO</t>
  </si>
  <si>
    <t>B7260ZAA</t>
  </si>
  <si>
    <t>B0976</t>
  </si>
  <si>
    <t>SAN VICENTE</t>
  </si>
  <si>
    <t>B1865ZAA</t>
  </si>
  <si>
    <t>B0977</t>
  </si>
  <si>
    <t>TANDIL</t>
  </si>
  <si>
    <t>GRAL PINTO</t>
  </si>
  <si>
    <t>B7000ZAA</t>
  </si>
  <si>
    <t>B0978</t>
  </si>
  <si>
    <t>TAPALQUE</t>
  </si>
  <si>
    <t>B7303ZAA</t>
  </si>
  <si>
    <t>B0980</t>
  </si>
  <si>
    <t>VELA</t>
  </si>
  <si>
    <t>AV TANDIL</t>
  </si>
  <si>
    <t>B7003ZAA</t>
  </si>
  <si>
    <t>B0981</t>
  </si>
  <si>
    <t>VERONICA</t>
  </si>
  <si>
    <t>STA MARIA DE ORO</t>
  </si>
  <si>
    <t>B1917ZAA</t>
  </si>
  <si>
    <t>B0982</t>
  </si>
  <si>
    <t>VILLA ELISA</t>
  </si>
  <si>
    <t>AV CAMINO CENTENARIO</t>
  </si>
  <si>
    <t>B1894ZAA</t>
  </si>
  <si>
    <t>B0984</t>
  </si>
  <si>
    <t>B7160ZAA</t>
  </si>
  <si>
    <t>B0986</t>
  </si>
  <si>
    <t>MAR DE AJO</t>
  </si>
  <si>
    <t>TOMAS ESPORA</t>
  </si>
  <si>
    <t>B7109ZAA</t>
  </si>
  <si>
    <t>B1046</t>
  </si>
  <si>
    <t>TRIBUNALES DE BANFIELD</t>
  </si>
  <si>
    <t>ALBERTO LARROQUE</t>
  </si>
  <si>
    <t>B1828ZAB</t>
  </si>
  <si>
    <t>B1563</t>
  </si>
  <si>
    <t>SEDE OPERATIVA CENTRAL</t>
  </si>
  <si>
    <t>AV FAIR</t>
  </si>
  <si>
    <t>B1842ZAJ</t>
  </si>
  <si>
    <t>B1618</t>
  </si>
  <si>
    <t>TRISTAN SUAREZ</t>
  </si>
  <si>
    <t>B1806ZAG</t>
  </si>
  <si>
    <t>B2195</t>
  </si>
  <si>
    <t>SAN MANUEL</t>
  </si>
  <si>
    <t>B7007ZAA</t>
  </si>
  <si>
    <t>B2358</t>
  </si>
  <si>
    <t>UNIDAD TURISTICA MIRAMAR</t>
  </si>
  <si>
    <t>AV E</t>
  </si>
  <si>
    <t>BARRIO CHAPADMALAL</t>
  </si>
  <si>
    <t>B7618ZAA</t>
  </si>
  <si>
    <t>B2480</t>
  </si>
  <si>
    <t>PUNTA INDIO</t>
  </si>
  <si>
    <t>R NAC 11</t>
  </si>
  <si>
    <t>B1952ZAA</t>
  </si>
  <si>
    <t>B2556</t>
  </si>
  <si>
    <t>ABASTO</t>
  </si>
  <si>
    <t>CALLE 516 BIS</t>
  </si>
  <si>
    <t>B1933ZAA</t>
  </si>
  <si>
    <t>B2903</t>
  </si>
  <si>
    <t>BARRIO PALIHUE</t>
  </si>
  <si>
    <t>AV DE LA RECONQUISTA</t>
  </si>
  <si>
    <t>B8001ZAB</t>
  </si>
  <si>
    <t>B2928</t>
  </si>
  <si>
    <t>LOMA NEGRA</t>
  </si>
  <si>
    <t>CORRIENTES</t>
  </si>
  <si>
    <t>B7436ZAA</t>
  </si>
  <si>
    <t>B3122</t>
  </si>
  <si>
    <t>LOS CARDALES</t>
  </si>
  <si>
    <t>B2814ZAA</t>
  </si>
  <si>
    <t>B3317</t>
  </si>
  <si>
    <t>PARADA ROBLES</t>
  </si>
  <si>
    <t>LOS NOGALES</t>
  </si>
  <si>
    <t>B6753ZAF</t>
  </si>
  <si>
    <t>B3355</t>
  </si>
  <si>
    <t>LA PLATA RENTAS</t>
  </si>
  <si>
    <t>B1902ZAB</t>
  </si>
  <si>
    <t>B3357</t>
  </si>
  <si>
    <t>ANTONIO CARBONI</t>
  </si>
  <si>
    <t>B7243ZAA</t>
  </si>
  <si>
    <t>B3402</t>
  </si>
  <si>
    <t>TRIBUNALES DE SAN ISIDRO</t>
  </si>
  <si>
    <t>B1642ZAC</t>
  </si>
  <si>
    <t>B3413</t>
  </si>
  <si>
    <t>LA PLATA 2</t>
  </si>
  <si>
    <t>DIAG 74</t>
  </si>
  <si>
    <t>B1900ZAB</t>
  </si>
  <si>
    <t>B3521</t>
  </si>
  <si>
    <t>BAHIA BLANCA CENTRO</t>
  </si>
  <si>
    <t>B8003ZAA</t>
  </si>
  <si>
    <t>B3703</t>
  </si>
  <si>
    <t>EL JAGUEL</t>
  </si>
  <si>
    <t>AV ENRIQUE SANTAMARINA</t>
  </si>
  <si>
    <t>B1805ZAF</t>
  </si>
  <si>
    <t>B3906</t>
  </si>
  <si>
    <t>WILLIAM MORRIS</t>
  </si>
  <si>
    <t>GRAL CONRADO VILLEGAS</t>
  </si>
  <si>
    <t>B1681ZAA</t>
  </si>
  <si>
    <t>B4002</t>
  </si>
  <si>
    <t>MINIPOST TRIBUNALES</t>
  </si>
  <si>
    <t>AV DR RICARDO BALBIN</t>
  </si>
  <si>
    <t>B1650ZAD</t>
  </si>
  <si>
    <t>B4004</t>
  </si>
  <si>
    <t>ISLA MARTIN GARCIA</t>
  </si>
  <si>
    <t>B1601ZAA</t>
  </si>
  <si>
    <t>B4005</t>
  </si>
  <si>
    <t>FORESTAL D.F. SARMIENTO</t>
  </si>
  <si>
    <t>ZONA DELTA TIGRE</t>
  </si>
  <si>
    <t>B1649ZAA</t>
  </si>
  <si>
    <t>B4015</t>
  </si>
  <si>
    <t>DOCK SUD</t>
  </si>
  <si>
    <t>VIRREY VERTIZ</t>
  </si>
  <si>
    <t>B1871ZAD</t>
  </si>
  <si>
    <t>B4048</t>
  </si>
  <si>
    <t>TODD</t>
  </si>
  <si>
    <t>B2754ZAF</t>
  </si>
  <si>
    <t>B4601</t>
  </si>
  <si>
    <t>EL PATO</t>
  </si>
  <si>
    <t>CALLE 522</t>
  </si>
  <si>
    <t>CENTRO AGRICOLA EL PATO</t>
  </si>
  <si>
    <t>B1893ZAA</t>
  </si>
  <si>
    <t>B8909</t>
  </si>
  <si>
    <t>PILAR PARQUE INDUSTRIAL</t>
  </si>
  <si>
    <t>FATIMA ESTACION EMPALME</t>
  </si>
  <si>
    <t>B1629ZAB</t>
  </si>
  <si>
    <t>C0000</t>
  </si>
  <si>
    <t>CENTRO</t>
  </si>
  <si>
    <t>TTE GRAL JUAN D PERON</t>
  </si>
  <si>
    <t>CIUDAD AUTONOMA BUENOS AIRES</t>
  </si>
  <si>
    <t>CAPITAL FEDERAL</t>
  </si>
  <si>
    <t>C1000ZAA</t>
  </si>
  <si>
    <t>C0001</t>
  </si>
  <si>
    <t>AVENIDA DE MAYO</t>
  </si>
  <si>
    <t>AV DE MAYO</t>
  </si>
  <si>
    <t>C1084ZAA</t>
  </si>
  <si>
    <t>C0002</t>
  </si>
  <si>
    <t>CONGRESO</t>
  </si>
  <si>
    <t>AV CALLAO</t>
  </si>
  <si>
    <t>C1022ZAA</t>
  </si>
  <si>
    <t>C0003</t>
  </si>
  <si>
    <t>ONCE</t>
  </si>
  <si>
    <t>C1032ZAA</t>
  </si>
  <si>
    <t>C0004</t>
  </si>
  <si>
    <t>ALMAGRO</t>
  </si>
  <si>
    <t>AV MEDRANO</t>
  </si>
  <si>
    <t>C1178ZAA</t>
  </si>
  <si>
    <t>C0005</t>
  </si>
  <si>
    <t>PARQUE CENTENARIO</t>
  </si>
  <si>
    <t>AV ANGEL GALLARDO</t>
  </si>
  <si>
    <t>C1405ZAA</t>
  </si>
  <si>
    <t>C0007</t>
  </si>
  <si>
    <t>FLORESTA</t>
  </si>
  <si>
    <t>PEDRO CARRASCO</t>
  </si>
  <si>
    <t>C1407ZAA</t>
  </si>
  <si>
    <t>C0008</t>
  </si>
  <si>
    <t>C1408ZAA</t>
  </si>
  <si>
    <t>C0009</t>
  </si>
  <si>
    <t>MONTE CASTRO</t>
  </si>
  <si>
    <t>AV ALVAREZ JONTE</t>
  </si>
  <si>
    <t>C1407ZAC</t>
  </si>
  <si>
    <t>C0010</t>
  </si>
  <si>
    <t>RECOLETA</t>
  </si>
  <si>
    <t>C1024ZAA</t>
  </si>
  <si>
    <t>C0011</t>
  </si>
  <si>
    <t>PARQUE CHACABUCO</t>
  </si>
  <si>
    <t>AV CURAPALIGUE</t>
  </si>
  <si>
    <t>C1406ZAC</t>
  </si>
  <si>
    <t>C0012</t>
  </si>
  <si>
    <t>BARRIO NORTE</t>
  </si>
  <si>
    <t>AV PUEYRREDON</t>
  </si>
  <si>
    <t>C1118ZAB</t>
  </si>
  <si>
    <t>C0013</t>
  </si>
  <si>
    <t>AV CORRIENTES</t>
  </si>
  <si>
    <t>C1194ZAC</t>
  </si>
  <si>
    <t>C0016</t>
  </si>
  <si>
    <t>PATERNAL</t>
  </si>
  <si>
    <t>C1416ZAA</t>
  </si>
  <si>
    <t>C0017</t>
  </si>
  <si>
    <t>VILLA DEL PARQUE</t>
  </si>
  <si>
    <t>HELGUERA</t>
  </si>
  <si>
    <t>C1417ZAA</t>
  </si>
  <si>
    <t>C0018</t>
  </si>
  <si>
    <t>VILLA PUEYRREDON</t>
  </si>
  <si>
    <t>CNEL JUAN TERRADA</t>
  </si>
  <si>
    <t>C1419ZAB</t>
  </si>
  <si>
    <t>C0019</t>
  </si>
  <si>
    <t>VILLA DEVOTO</t>
  </si>
  <si>
    <t>C1419ZAA</t>
  </si>
  <si>
    <t>C0020</t>
  </si>
  <si>
    <t>SAN TELMO</t>
  </si>
  <si>
    <t>C1099ZAA</t>
  </si>
  <si>
    <t>C0021</t>
  </si>
  <si>
    <t>MONSERRAT</t>
  </si>
  <si>
    <t>AV ENTRE RIOS</t>
  </si>
  <si>
    <t>C1100ZAA</t>
  </si>
  <si>
    <t>C0022</t>
  </si>
  <si>
    <t>VILLA CRESPO</t>
  </si>
  <si>
    <t>AV SCALABRINI ORTIZ</t>
  </si>
  <si>
    <t>C1414ZAA</t>
  </si>
  <si>
    <t>C0023</t>
  </si>
  <si>
    <t>SAN CRISTOBAL</t>
  </si>
  <si>
    <t>AV SAN JUAN</t>
  </si>
  <si>
    <t>C1233ZAB</t>
  </si>
  <si>
    <t>C0024</t>
  </si>
  <si>
    <t>DIRECTORIO Y J.M. MORENO</t>
  </si>
  <si>
    <t>AV DIRECTORIO</t>
  </si>
  <si>
    <t>C1424ZAA</t>
  </si>
  <si>
    <t>C0025</t>
  </si>
  <si>
    <t>PLAZA ITALIA</t>
  </si>
  <si>
    <t>C1425ZAB</t>
  </si>
  <si>
    <t>C0026</t>
  </si>
  <si>
    <t>COLEGIALES</t>
  </si>
  <si>
    <t>AV FEDERICO LACROZE</t>
  </si>
  <si>
    <t>C1426ZAA</t>
  </si>
  <si>
    <t>C0028</t>
  </si>
  <si>
    <t>BELGRANO</t>
  </si>
  <si>
    <t>AV CABILDO</t>
  </si>
  <si>
    <t>C1428ZAA</t>
  </si>
  <si>
    <t>C0029</t>
  </si>
  <si>
    <t>C1429ZAA</t>
  </si>
  <si>
    <t>C0030</t>
  </si>
  <si>
    <t>COGHLAN</t>
  </si>
  <si>
    <t>AV MONROE</t>
  </si>
  <si>
    <t>C1430ZAD</t>
  </si>
  <si>
    <t>C0031</t>
  </si>
  <si>
    <t>VILLA URQUIZA</t>
  </si>
  <si>
    <t>MONROE</t>
  </si>
  <si>
    <t>C1431ZAD</t>
  </si>
  <si>
    <t>C0032</t>
  </si>
  <si>
    <t>LA BOCA</t>
  </si>
  <si>
    <t>C1155ZAA</t>
  </si>
  <si>
    <t>C0033</t>
  </si>
  <si>
    <t>BARRACAS</t>
  </si>
  <si>
    <t>AV SUAREZ</t>
  </si>
  <si>
    <t>C1270ZAB</t>
  </si>
  <si>
    <t>C0035</t>
  </si>
  <si>
    <t>CASEROS Y ENTRE RIOS</t>
  </si>
  <si>
    <t>AV CASEROS</t>
  </si>
  <si>
    <t>C1152ZAA</t>
  </si>
  <si>
    <t>C0036</t>
  </si>
  <si>
    <t>PARQUE PATRICIOS</t>
  </si>
  <si>
    <t>LA RIOJA</t>
  </si>
  <si>
    <t>C1244ZAB</t>
  </si>
  <si>
    <t>C0037</t>
  </si>
  <si>
    <t>NUEVA POMPEYA</t>
  </si>
  <si>
    <t>AV SAENZ</t>
  </si>
  <si>
    <t>C1437ZAA</t>
  </si>
  <si>
    <t>C0038</t>
  </si>
  <si>
    <t>VILLA SOLDATI</t>
  </si>
  <si>
    <t>JOSE MARTI</t>
  </si>
  <si>
    <t>C1437ZAD</t>
  </si>
  <si>
    <t>C0039</t>
  </si>
  <si>
    <t>VILLA LUGANO</t>
  </si>
  <si>
    <t>AV NORBERTO DE LA RIESTRA</t>
  </si>
  <si>
    <t>C1439ZAC</t>
  </si>
  <si>
    <t>C0040</t>
  </si>
  <si>
    <t>MATADEROS</t>
  </si>
  <si>
    <t>AV JUAN B ALBERDI</t>
  </si>
  <si>
    <t>C1440ZAA</t>
  </si>
  <si>
    <t>C0041</t>
  </si>
  <si>
    <t>PARQUE CHAS</t>
  </si>
  <si>
    <t>AV DE LOS INCAS</t>
  </si>
  <si>
    <t>C1427ZAC</t>
  </si>
  <si>
    <t>C0042</t>
  </si>
  <si>
    <t>CASA DE GOBIERNO</t>
  </si>
  <si>
    <t>C1064ZAA</t>
  </si>
  <si>
    <t>C0048</t>
  </si>
  <si>
    <t>C1060ZAA</t>
  </si>
  <si>
    <t>C0049</t>
  </si>
  <si>
    <t>CABALLITO</t>
  </si>
  <si>
    <t>C1424ZAD</t>
  </si>
  <si>
    <t>C0051</t>
  </si>
  <si>
    <t>ESTACION CONSTITUCION</t>
  </si>
  <si>
    <t>BRASIL</t>
  </si>
  <si>
    <t>C1154ZAA</t>
  </si>
  <si>
    <t>C0052</t>
  </si>
  <si>
    <t>BANCO NACION</t>
  </si>
  <si>
    <t>C1036ZAA</t>
  </si>
  <si>
    <t>C0053</t>
  </si>
  <si>
    <t>FACULTAD</t>
  </si>
  <si>
    <t>DR LUIS PASTEUR</t>
  </si>
  <si>
    <t>C1120ZAA</t>
  </si>
  <si>
    <t>C0055</t>
  </si>
  <si>
    <t>COMANDO EN JEFE DEL EJERCITO</t>
  </si>
  <si>
    <t>AZOPARDO</t>
  </si>
  <si>
    <t>C1107ZAA</t>
  </si>
  <si>
    <t>C0056</t>
  </si>
  <si>
    <t>PLAZA</t>
  </si>
  <si>
    <t>C1430ZAC</t>
  </si>
  <si>
    <t>C0058</t>
  </si>
  <si>
    <t>CATALINAS CENTRAL</t>
  </si>
  <si>
    <t>AV L N ALEM</t>
  </si>
  <si>
    <t>C1054ZAA</t>
  </si>
  <si>
    <t>C0059</t>
  </si>
  <si>
    <t>MINISTERIO DE ECONOMÃA</t>
  </si>
  <si>
    <t>C1086ZAA</t>
  </si>
  <si>
    <t>C0060</t>
  </si>
  <si>
    <t>ESTACION RETIRO</t>
  </si>
  <si>
    <t>C1104ZAD</t>
  </si>
  <si>
    <t>C0061</t>
  </si>
  <si>
    <t>PLAZA LAS HERAS</t>
  </si>
  <si>
    <t>C1425ZAA</t>
  </si>
  <si>
    <t>C0063</t>
  </si>
  <si>
    <t>VILLA REAL</t>
  </si>
  <si>
    <t>AV LOPE DE VEGA</t>
  </si>
  <si>
    <t>C1417ZAB</t>
  </si>
  <si>
    <t>C0065</t>
  </si>
  <si>
    <t>OBELISCO</t>
  </si>
  <si>
    <t>CERRITO</t>
  </si>
  <si>
    <t>C1043ZAC</t>
  </si>
  <si>
    <t>C0069</t>
  </si>
  <si>
    <t>PLAZA SAN MARTIN</t>
  </si>
  <si>
    <t>C1059ZAB</t>
  </si>
  <si>
    <t>C0071</t>
  </si>
  <si>
    <t>CHACARITA</t>
  </si>
  <si>
    <t>C1427ZAB</t>
  </si>
  <si>
    <t>C0072</t>
  </si>
  <si>
    <t>FLORES</t>
  </si>
  <si>
    <t>GRAL JOSE G ARTIGAS</t>
  </si>
  <si>
    <t>C1406ZAB</t>
  </si>
  <si>
    <t>C0076</t>
  </si>
  <si>
    <t>TRIBUNALES 1</t>
  </si>
  <si>
    <t>PARANA</t>
  </si>
  <si>
    <t>C1015ZAA</t>
  </si>
  <si>
    <t>C0085</t>
  </si>
  <si>
    <t>CORDOBA Y FLORIDA</t>
  </si>
  <si>
    <t>AV CORDOBA</t>
  </si>
  <si>
    <t>C1054ZAB</t>
  </si>
  <si>
    <t>C0500</t>
  </si>
  <si>
    <t>FILATELIA CORDOBA Y FLORIDA</t>
  </si>
  <si>
    <t>C1041ZAC</t>
  </si>
  <si>
    <t>C2060</t>
  </si>
  <si>
    <t>CTE [ENCOMIENDAS]</t>
  </si>
  <si>
    <t>C1148ZAA</t>
  </si>
  <si>
    <t>C2061</t>
  </si>
  <si>
    <t>CENTRO POSTAL INTERNACIONAL</t>
  </si>
  <si>
    <t>C1104ZAB</t>
  </si>
  <si>
    <t>C2102</t>
  </si>
  <si>
    <t>MINIPOST NÂº1 (TRIBUNALES)</t>
  </si>
  <si>
    <t>TALCAHUANO</t>
  </si>
  <si>
    <t>C1013ZAA</t>
  </si>
  <si>
    <t>C2205</t>
  </si>
  <si>
    <t>PALERMO</t>
  </si>
  <si>
    <t>AV CNEL DIAZ</t>
  </si>
  <si>
    <t>C1425ZAC</t>
  </si>
  <si>
    <t>C4872</t>
  </si>
  <si>
    <t>PENAL ECONOMICO</t>
  </si>
  <si>
    <t>AV DE LOS INMIGRANTES</t>
  </si>
  <si>
    <t>C1104ZAP</t>
  </si>
  <si>
    <t>C4932</t>
  </si>
  <si>
    <t>COLEGIO DE ABOGADOS CAP FED</t>
  </si>
  <si>
    <t>C1042ZAD</t>
  </si>
  <si>
    <t>C5259</t>
  </si>
  <si>
    <t>TIENDA FILATELIA CORREO ARGENT</t>
  </si>
  <si>
    <t>C1041ZAA</t>
  </si>
  <si>
    <t>C5260</t>
  </si>
  <si>
    <t>SUCURSAL DE Ã‰POCA CORREO</t>
  </si>
  <si>
    <t>C1041ZAD</t>
  </si>
  <si>
    <t>C5280</t>
  </si>
  <si>
    <t>PAGO ELECTRONICO</t>
  </si>
  <si>
    <t>C1148ZAL</t>
  </si>
  <si>
    <t>C5290</t>
  </si>
  <si>
    <t>CAYE RETIRO</t>
  </si>
  <si>
    <t>AV COMODORO PY</t>
  </si>
  <si>
    <t>C1104ZAW</t>
  </si>
  <si>
    <t>K0000</t>
  </si>
  <si>
    <t>CATAMARCA</t>
  </si>
  <si>
    <t>SAN FDO DEL VALLE DE CATAMARCA</t>
  </si>
  <si>
    <t>K4700ZAA</t>
  </si>
  <si>
    <t>K0002</t>
  </si>
  <si>
    <t>ANCASTI</t>
  </si>
  <si>
    <t>CALLE PUBLICA</t>
  </si>
  <si>
    <t>K4701ZAA</t>
  </si>
  <si>
    <t>K0004</t>
  </si>
  <si>
    <t>ANDALGALA</t>
  </si>
  <si>
    <t>K4740ZAA</t>
  </si>
  <si>
    <t>K0005</t>
  </si>
  <si>
    <t>K4721ZAA</t>
  </si>
  <si>
    <t>K0006</t>
  </si>
  <si>
    <t>BELEN</t>
  </si>
  <si>
    <t>K4750ZAA</t>
  </si>
  <si>
    <t>K0008</t>
  </si>
  <si>
    <t>CHUMBICHA</t>
  </si>
  <si>
    <t>K4728ZAA</t>
  </si>
  <si>
    <t>K0012</t>
  </si>
  <si>
    <t>COPACABANA</t>
  </si>
  <si>
    <t>K5333ZAA</t>
  </si>
  <si>
    <t>K0014</t>
  </si>
  <si>
    <t>EL ALAMITO</t>
  </si>
  <si>
    <t>K4743ZAA</t>
  </si>
  <si>
    <t>K0016</t>
  </si>
  <si>
    <t>EL ALTO</t>
  </si>
  <si>
    <t>K4235ZAC</t>
  </si>
  <si>
    <t>K0020</t>
  </si>
  <si>
    <t>EL RODEO</t>
  </si>
  <si>
    <t>K4715ZAB</t>
  </si>
  <si>
    <t>K0022</t>
  </si>
  <si>
    <t>ESQUIU</t>
  </si>
  <si>
    <t>K5261ZAA</t>
  </si>
  <si>
    <t>K0024</t>
  </si>
  <si>
    <t>FIAMBALA</t>
  </si>
  <si>
    <t>K5345ZAA</t>
  </si>
  <si>
    <t>K0028</t>
  </si>
  <si>
    <t>HUALFIN</t>
  </si>
  <si>
    <t>K4751ZAB</t>
  </si>
  <si>
    <t>K0030</t>
  </si>
  <si>
    <t>HUILLAPIMA</t>
  </si>
  <si>
    <t>K4728ZAB</t>
  </si>
  <si>
    <t>K0032</t>
  </si>
  <si>
    <t>LA MERCED</t>
  </si>
  <si>
    <t>K4718ZAC</t>
  </si>
  <si>
    <t>K0034</t>
  </si>
  <si>
    <t>LA PUERTA</t>
  </si>
  <si>
    <t>K4711ZAA</t>
  </si>
  <si>
    <t>K0038</t>
  </si>
  <si>
    <t>LAVALLE</t>
  </si>
  <si>
    <t>K5347ZAA</t>
  </si>
  <si>
    <t>K0040</t>
  </si>
  <si>
    <t>LONDRES (BELEN)</t>
  </si>
  <si>
    <t>LONDRES</t>
  </si>
  <si>
    <t>K4753ZAB</t>
  </si>
  <si>
    <t>K0042</t>
  </si>
  <si>
    <t>LOS VARELAS</t>
  </si>
  <si>
    <t>LOS VARELA</t>
  </si>
  <si>
    <t>K4704ZAA</t>
  </si>
  <si>
    <t>K0044</t>
  </si>
  <si>
    <t>LOS ALTOS</t>
  </si>
  <si>
    <t>K4723ZAA</t>
  </si>
  <si>
    <t>K0046</t>
  </si>
  <si>
    <t>MIRAFLORES</t>
  </si>
  <si>
    <t>K4724ZAB</t>
  </si>
  <si>
    <t>K0048</t>
  </si>
  <si>
    <t>MUTQUIN</t>
  </si>
  <si>
    <t>K5315ZAB</t>
  </si>
  <si>
    <t>K0050</t>
  </si>
  <si>
    <t>PIEDRA BLANCA</t>
  </si>
  <si>
    <t>SAN JOSE DE PIEDRA BLANCA</t>
  </si>
  <si>
    <t>K4709ZAA</t>
  </si>
  <si>
    <t>K0052</t>
  </si>
  <si>
    <t>POMAN</t>
  </si>
  <si>
    <t>K5315ZAA</t>
  </si>
  <si>
    <t>K0054</t>
  </si>
  <si>
    <t>RECREO</t>
  </si>
  <si>
    <t>K5260ZAA</t>
  </si>
  <si>
    <t>K0056</t>
  </si>
  <si>
    <t>SAN ANTONIO DE LA PAZ</t>
  </si>
  <si>
    <t>K5264ZAA</t>
  </si>
  <si>
    <t>K0058</t>
  </si>
  <si>
    <t>SAN JOSE</t>
  </si>
  <si>
    <t>K4139ZAB</t>
  </si>
  <si>
    <t>K0060</t>
  </si>
  <si>
    <t>SANTA MARIA</t>
  </si>
  <si>
    <t>K4011ZAA</t>
  </si>
  <si>
    <t>K0062</t>
  </si>
  <si>
    <t>SANTA ROSA</t>
  </si>
  <si>
    <t>SGTO CABRAL</t>
  </si>
  <si>
    <t>K5343ZAA</t>
  </si>
  <si>
    <t>K0064</t>
  </si>
  <si>
    <t>SAUJIL</t>
  </si>
  <si>
    <t>K5321ZAA</t>
  </si>
  <si>
    <t>K0066</t>
  </si>
  <si>
    <t>TINOGASTA</t>
  </si>
  <si>
    <t>K5340ZAA</t>
  </si>
  <si>
    <t>K0068</t>
  </si>
  <si>
    <t>VALLE VIEJO</t>
  </si>
  <si>
    <t>LAS TEJAS DE VALLE VIEJO</t>
  </si>
  <si>
    <t>K4707ZAA</t>
  </si>
  <si>
    <t>K1002</t>
  </si>
  <si>
    <t>CATAMARCA CASA DE GOBIERNO</t>
  </si>
  <si>
    <t>K4700ZAC</t>
  </si>
  <si>
    <t>K1006</t>
  </si>
  <si>
    <t>CATAMARCA REGISTRO CIVIL</t>
  </si>
  <si>
    <t>K4700ZAE</t>
  </si>
  <si>
    <t>K1010</t>
  </si>
  <si>
    <t>ADOLFO E. CARRANZA</t>
  </si>
  <si>
    <t>ADOLFO E CARRANZA</t>
  </si>
  <si>
    <t>K5263ZAA</t>
  </si>
  <si>
    <t>K1024</t>
  </si>
  <si>
    <t>ANTOFOGASTA DE LA SIERRA</t>
  </si>
  <si>
    <t>S/C</t>
  </si>
  <si>
    <t>ANTOFAGASTA DE LA SIERRA</t>
  </si>
  <si>
    <t>K4705ZAA</t>
  </si>
  <si>
    <t>K1070</t>
  </si>
  <si>
    <t>EL PAJONAL</t>
  </si>
  <si>
    <t>K5315ZAD</t>
  </si>
  <si>
    <t>K1082</t>
  </si>
  <si>
    <t>JACIPUNCO</t>
  </si>
  <si>
    <t>K4751ZAE</t>
  </si>
  <si>
    <t>K1102</t>
  </si>
  <si>
    <t>LAGUNA BLANCA</t>
  </si>
  <si>
    <t>K4751ZAF</t>
  </si>
  <si>
    <t>K1108</t>
  </si>
  <si>
    <t>LAS CUEVAS</t>
  </si>
  <si>
    <t>K4750ZAF</t>
  </si>
  <si>
    <t>K1138</t>
  </si>
  <si>
    <t>PALO LABRADO</t>
  </si>
  <si>
    <t>K4718ZAD</t>
  </si>
  <si>
    <t>K1144</t>
  </si>
  <si>
    <t>PORTEZUELO</t>
  </si>
  <si>
    <t>K4707ZAB</t>
  </si>
  <si>
    <t>K1146</t>
  </si>
  <si>
    <t>POZO DE PIEDRA</t>
  </si>
  <si>
    <t>K4751ZAG</t>
  </si>
  <si>
    <t>K1162</t>
  </si>
  <si>
    <t>SALADO</t>
  </si>
  <si>
    <t>K5332ZAA</t>
  </si>
  <si>
    <t>K1196</t>
  </si>
  <si>
    <t>TERMAS DE VILLA VIL</t>
  </si>
  <si>
    <t>VILLA VIL</t>
  </si>
  <si>
    <t>K4755ZAA</t>
  </si>
  <si>
    <t>K1210</t>
  </si>
  <si>
    <t>LA QUEBRADA</t>
  </si>
  <si>
    <t>K4139ZAG</t>
  </si>
  <si>
    <t>K1292</t>
  </si>
  <si>
    <t>ALIJILAN</t>
  </si>
  <si>
    <t>K4723ZAB</t>
  </si>
  <si>
    <t>K1293</t>
  </si>
  <si>
    <t>K5265ZAA</t>
  </si>
  <si>
    <t>K3087</t>
  </si>
  <si>
    <t>CATAMARCA DIRECCION DE RENTAS</t>
  </si>
  <si>
    <t>K4700ZAD</t>
  </si>
  <si>
    <t>H0000</t>
  </si>
  <si>
    <t>RESISTENCIA</t>
  </si>
  <si>
    <t>AV SARMIENTO</t>
  </si>
  <si>
    <t>CHACO</t>
  </si>
  <si>
    <t>H3500ZAA</t>
  </si>
  <si>
    <t>H0003</t>
  </si>
  <si>
    <t>AVIA TERAI</t>
  </si>
  <si>
    <t>H3706ZAA</t>
  </si>
  <si>
    <t>H0004</t>
  </si>
  <si>
    <t>BARRANQUERAS</t>
  </si>
  <si>
    <t>H3503ZAA</t>
  </si>
  <si>
    <t>H0006</t>
  </si>
  <si>
    <t>BASAIL</t>
  </si>
  <si>
    <t>H3516ZAA</t>
  </si>
  <si>
    <t>H0008</t>
  </si>
  <si>
    <t>CAMPO LARGO</t>
  </si>
  <si>
    <t>H3716ZAA</t>
  </si>
  <si>
    <t>H0010</t>
  </si>
  <si>
    <t>CHARATA</t>
  </si>
  <si>
    <t>H3730ZAA</t>
  </si>
  <si>
    <t>H0012</t>
  </si>
  <si>
    <t>COLONIA ELISA</t>
  </si>
  <si>
    <t>H3515ZAA</t>
  </si>
  <si>
    <t>H0014</t>
  </si>
  <si>
    <t>COLONIAS UNIDAS</t>
  </si>
  <si>
    <t>H3532ZAA</t>
  </si>
  <si>
    <t>H0016</t>
  </si>
  <si>
    <t>CONCEP. DEL BERMEJO</t>
  </si>
  <si>
    <t>CONCEPCION DEL BERMEJO</t>
  </si>
  <si>
    <t>H3708ZAA</t>
  </si>
  <si>
    <t>H0018</t>
  </si>
  <si>
    <t>CORZUELA</t>
  </si>
  <si>
    <t>H3718ZAA</t>
  </si>
  <si>
    <t>H0020</t>
  </si>
  <si>
    <t>CNEL. DU GRATY</t>
  </si>
  <si>
    <t>URQUIZA</t>
  </si>
  <si>
    <t>CORONEL DU GRATY</t>
  </si>
  <si>
    <t>H3541ZAA</t>
  </si>
  <si>
    <t>H0026</t>
  </si>
  <si>
    <t>GANCEDO</t>
  </si>
  <si>
    <t>H3734ZAA</t>
  </si>
  <si>
    <t>H0028</t>
  </si>
  <si>
    <t>GRAL. SAN MARTIN</t>
  </si>
  <si>
    <t>GENERAL JOSE DE SAN MARTIN</t>
  </si>
  <si>
    <t>H3509ZAA</t>
  </si>
  <si>
    <t>H0030</t>
  </si>
  <si>
    <t>GRAL.PINEDO</t>
  </si>
  <si>
    <t>GENERAL PINEDO</t>
  </si>
  <si>
    <t>H3732ZAA</t>
  </si>
  <si>
    <t>H0032</t>
  </si>
  <si>
    <t>GRAL. VEDIA</t>
  </si>
  <si>
    <t>GENERAL VEDIA</t>
  </si>
  <si>
    <t>H3520ZAA</t>
  </si>
  <si>
    <t>H0034</t>
  </si>
  <si>
    <t>HERMOSO CAMPO</t>
  </si>
  <si>
    <t>H3733ZAA</t>
  </si>
  <si>
    <t>H0036</t>
  </si>
  <si>
    <t>J.J.CASTELLI</t>
  </si>
  <si>
    <t>COLONIA JUAN JOSE CASTELLI</t>
  </si>
  <si>
    <t>H3705ZAC</t>
  </si>
  <si>
    <t>H0038</t>
  </si>
  <si>
    <t>LA LEONESA</t>
  </si>
  <si>
    <t>H3518ZAA</t>
  </si>
  <si>
    <t>H0040</t>
  </si>
  <si>
    <t>LA ESCONDIDA</t>
  </si>
  <si>
    <t>H3514ZAB</t>
  </si>
  <si>
    <t>H0042</t>
  </si>
  <si>
    <t>LA VERDE</t>
  </si>
  <si>
    <t>H3527ZAA</t>
  </si>
  <si>
    <t>H0044</t>
  </si>
  <si>
    <t>H3724ZAA</t>
  </si>
  <si>
    <t>H0046</t>
  </si>
  <si>
    <t>LAS PALMAS</t>
  </si>
  <si>
    <t>H3523ZAA</t>
  </si>
  <si>
    <t>H0048</t>
  </si>
  <si>
    <t>LA TIGRA</t>
  </si>
  <si>
    <t>H3701ZAA</t>
  </si>
  <si>
    <t>H0050</t>
  </si>
  <si>
    <t>MACHAGAI</t>
  </si>
  <si>
    <t>H3535ZAA</t>
  </si>
  <si>
    <t>H0052</t>
  </si>
  <si>
    <t>MAKALLE</t>
  </si>
  <si>
    <t>H3528ZAA</t>
  </si>
  <si>
    <t>H0054</t>
  </si>
  <si>
    <t>MARGARITA BELEN</t>
  </si>
  <si>
    <t>H3505ZAA</t>
  </si>
  <si>
    <t>H0056</t>
  </si>
  <si>
    <t>PAMPA DEL INDIO</t>
  </si>
  <si>
    <t>H3531ZAA</t>
  </si>
  <si>
    <t>H0058</t>
  </si>
  <si>
    <t>PAMPA DEL INFIERNO</t>
  </si>
  <si>
    <t>H3721ZAA</t>
  </si>
  <si>
    <t>H0060</t>
  </si>
  <si>
    <t>PCIA. DE LA PLAZA</t>
  </si>
  <si>
    <t>PRESIDENCIA DE LA PLAZA</t>
  </si>
  <si>
    <t>H3536ZAA</t>
  </si>
  <si>
    <t>H0062</t>
  </si>
  <si>
    <t>PCIA. ROCA</t>
  </si>
  <si>
    <t>PRESIDENCIA ROCA</t>
  </si>
  <si>
    <t>H3511ZAA</t>
  </si>
  <si>
    <t>H0064</t>
  </si>
  <si>
    <t>H3700ZAA</t>
  </si>
  <si>
    <t>H0066</t>
  </si>
  <si>
    <t>PUERTO TIROL</t>
  </si>
  <si>
    <t>H3521ZAA</t>
  </si>
  <si>
    <t>H0068</t>
  </si>
  <si>
    <t>PUERTO VILELAS</t>
  </si>
  <si>
    <t>H3512ZAA</t>
  </si>
  <si>
    <t>H0070</t>
  </si>
  <si>
    <t>QUITILIPI</t>
  </si>
  <si>
    <t>H3530ZAA</t>
  </si>
  <si>
    <t>H0076</t>
  </si>
  <si>
    <t>H3726ZAA</t>
  </si>
  <si>
    <t>H0078</t>
  </si>
  <si>
    <t>SANTA SYLVINA</t>
  </si>
  <si>
    <t>H3542ZAA</t>
  </si>
  <si>
    <t>H0080</t>
  </si>
  <si>
    <t>TACO POZO</t>
  </si>
  <si>
    <t>H3717ZAA</t>
  </si>
  <si>
    <t>H0082</t>
  </si>
  <si>
    <t>TRES ISLETAS</t>
  </si>
  <si>
    <t>H3703ZAA</t>
  </si>
  <si>
    <t>H0084</t>
  </si>
  <si>
    <t>VILLA ANGELA</t>
  </si>
  <si>
    <t>1 DE MAYO</t>
  </si>
  <si>
    <t>H3540ZAA</t>
  </si>
  <si>
    <t>H0086</t>
  </si>
  <si>
    <t>VILLA BERTHET</t>
  </si>
  <si>
    <t>PRINGLES</t>
  </si>
  <si>
    <t>H3545ZAA</t>
  </si>
  <si>
    <t>H1004</t>
  </si>
  <si>
    <t>CHARADAI</t>
  </si>
  <si>
    <t>CALLE EN LOCALIDAD DE MENOS DE</t>
  </si>
  <si>
    <t>H3513ZAA</t>
  </si>
  <si>
    <t>H1010</t>
  </si>
  <si>
    <t>COLONIA BARANDA</t>
  </si>
  <si>
    <t>H3505ZAB</t>
  </si>
  <si>
    <t>H1020</t>
  </si>
  <si>
    <t>ISLA DEL CERRITO</t>
  </si>
  <si>
    <t>H3518ZAB</t>
  </si>
  <si>
    <t>H1024</t>
  </si>
  <si>
    <t>LA CLOTILDE</t>
  </si>
  <si>
    <t>H3725ZAA</t>
  </si>
  <si>
    <t>H1032</t>
  </si>
  <si>
    <t>LOS FRENTONES</t>
  </si>
  <si>
    <t>H3715ZAA</t>
  </si>
  <si>
    <t>H1068</t>
  </si>
  <si>
    <t>SAMUHU</t>
  </si>
  <si>
    <t>H3543ZAA</t>
  </si>
  <si>
    <t>H1070</t>
  </si>
  <si>
    <t>SELVAS DEL RIO DE ORO</t>
  </si>
  <si>
    <t>H3507ZAB</t>
  </si>
  <si>
    <t>H1072</t>
  </si>
  <si>
    <t>MISI+N NUEVA POMPEYA</t>
  </si>
  <si>
    <t>MISION NUEVA POMPEYA</t>
  </si>
  <si>
    <t>H3705ZAB</t>
  </si>
  <si>
    <t>H1121</t>
  </si>
  <si>
    <t>FONTANA</t>
  </si>
  <si>
    <t>H3514ZAA</t>
  </si>
  <si>
    <t>U0000</t>
  </si>
  <si>
    <t>COMODORO RIVADAVIA</t>
  </si>
  <si>
    <t>CHUBUT</t>
  </si>
  <si>
    <t>U9000ZAC</t>
  </si>
  <si>
    <t>U0001</t>
  </si>
  <si>
    <t>COMODORO RIVADAVIA SUCURSAL 1</t>
  </si>
  <si>
    <t>U9005ZAC</t>
  </si>
  <si>
    <t>U0007</t>
  </si>
  <si>
    <t>COMODORO RIVADAVIA SUCURSAL 7</t>
  </si>
  <si>
    <t>U9006ZAA</t>
  </si>
  <si>
    <t>U0008</t>
  </si>
  <si>
    <t>ALDEA BELEIRO</t>
  </si>
  <si>
    <t>U9037ZAA</t>
  </si>
  <si>
    <t>U0010</t>
  </si>
  <si>
    <t>ALTO RIO SENGUER</t>
  </si>
  <si>
    <t>U9033ZAA</t>
  </si>
  <si>
    <t>U0012</t>
  </si>
  <si>
    <t>CAMARONES</t>
  </si>
  <si>
    <t>U9111ZAA</t>
  </si>
  <si>
    <t>U0016</t>
  </si>
  <si>
    <t>CORCOVADO</t>
  </si>
  <si>
    <t>U9204ZAA</t>
  </si>
  <si>
    <t>U0032</t>
  </si>
  <si>
    <t>GOBERNADOR COSTA</t>
  </si>
  <si>
    <t>U9223ZAA</t>
  </si>
  <si>
    <t>U0034</t>
  </si>
  <si>
    <t>JOSE DE SAN MARTIN</t>
  </si>
  <si>
    <t>U9220ZAA</t>
  </si>
  <si>
    <t>U0042</t>
  </si>
  <si>
    <t>RADA TILLY</t>
  </si>
  <si>
    <t>U9001ZAA</t>
  </si>
  <si>
    <t>U0048</t>
  </si>
  <si>
    <t>RIO MAYO</t>
  </si>
  <si>
    <t>U9030ZAA</t>
  </si>
  <si>
    <t>U0050</t>
  </si>
  <si>
    <t>RIO PICO</t>
  </si>
  <si>
    <t>U9225ZAA</t>
  </si>
  <si>
    <t>U0052</t>
  </si>
  <si>
    <t>U9020ZAA</t>
  </si>
  <si>
    <t>U0062</t>
  </si>
  <si>
    <t>TREVELIN</t>
  </si>
  <si>
    <t>U9203ZAA</t>
  </si>
  <si>
    <t>U0100</t>
  </si>
  <si>
    <t>TRELEW</t>
  </si>
  <si>
    <t>U9100ZAA</t>
  </si>
  <si>
    <t>U0102</t>
  </si>
  <si>
    <t>CHOLILA</t>
  </si>
  <si>
    <t>U9217ZAA</t>
  </si>
  <si>
    <t>U0104</t>
  </si>
  <si>
    <t>DOLAVON</t>
  </si>
  <si>
    <t>U9107ZAA</t>
  </si>
  <si>
    <t>U0106</t>
  </si>
  <si>
    <t>EL MAITEN</t>
  </si>
  <si>
    <t>U9210ZAA</t>
  </si>
  <si>
    <t>U0108</t>
  </si>
  <si>
    <t>EPUYEN</t>
  </si>
  <si>
    <t>U9211ZAB</t>
  </si>
  <si>
    <t>U0110</t>
  </si>
  <si>
    <t>ESQUEL</t>
  </si>
  <si>
    <t>U9200ZAB</t>
  </si>
  <si>
    <t>U0112</t>
  </si>
  <si>
    <t>GAIMAN</t>
  </si>
  <si>
    <t>U9105ZAA</t>
  </si>
  <si>
    <t>U0114</t>
  </si>
  <si>
    <t>PASO DE INDIOS</t>
  </si>
  <si>
    <t>U9207ZAA</t>
  </si>
  <si>
    <t>U0116</t>
  </si>
  <si>
    <t>PUERTO MADRYN</t>
  </si>
  <si>
    <t>U9120ZAA</t>
  </si>
  <si>
    <t>U0118</t>
  </si>
  <si>
    <t>LAGO PUELO</t>
  </si>
  <si>
    <t>U9211ZAA</t>
  </si>
  <si>
    <t>U0120</t>
  </si>
  <si>
    <t>U9103ZAA</t>
  </si>
  <si>
    <t>U0122</t>
  </si>
  <si>
    <t>TECKA</t>
  </si>
  <si>
    <t>U9201ZAA</t>
  </si>
  <si>
    <t>U0124</t>
  </si>
  <si>
    <t>TELSEN</t>
  </si>
  <si>
    <t>U9121ZAA</t>
  </si>
  <si>
    <t>U3232</t>
  </si>
  <si>
    <t>GUALJAINA</t>
  </si>
  <si>
    <t>U9202ZAB</t>
  </si>
  <si>
    <t>X0000</t>
  </si>
  <si>
    <t>X5000ZAA</t>
  </si>
  <si>
    <t>X0001</t>
  </si>
  <si>
    <t>CORDOBA 1</t>
  </si>
  <si>
    <t>X5001ZAA</t>
  </si>
  <si>
    <t>X0003</t>
  </si>
  <si>
    <t>CORDOBA 3</t>
  </si>
  <si>
    <t>X5003ZAA</t>
  </si>
  <si>
    <t>X0006</t>
  </si>
  <si>
    <t>CORDOBA 6</t>
  </si>
  <si>
    <t>X5006ZAA</t>
  </si>
  <si>
    <t>X0007</t>
  </si>
  <si>
    <t>CORDOBA  22</t>
  </si>
  <si>
    <t>X5001ZAB</t>
  </si>
  <si>
    <t>X0008</t>
  </si>
  <si>
    <t>CORDOBA 8</t>
  </si>
  <si>
    <t>X5008ZAA</t>
  </si>
  <si>
    <t>X0009</t>
  </si>
  <si>
    <t>CORDOBA 9</t>
  </si>
  <si>
    <t>X5009ZAA</t>
  </si>
  <si>
    <t>X0010</t>
  </si>
  <si>
    <t>CORDOBA 10</t>
  </si>
  <si>
    <t>X5010ZAA</t>
  </si>
  <si>
    <t>X0011</t>
  </si>
  <si>
    <t>CORDOBA 23 TRIB PROVINCIALES</t>
  </si>
  <si>
    <t>X5000ZAB</t>
  </si>
  <si>
    <t>X0012</t>
  </si>
  <si>
    <t>CORDOBA 12</t>
  </si>
  <si>
    <t>X5012ZAA</t>
  </si>
  <si>
    <t>X0016</t>
  </si>
  <si>
    <t>CORDOBA 16</t>
  </si>
  <si>
    <t>X5016ZAA</t>
  </si>
  <si>
    <t>X0025</t>
  </si>
  <si>
    <t>ALICIA</t>
  </si>
  <si>
    <t>X5949ZAA</t>
  </si>
  <si>
    <t>X0026</t>
  </si>
  <si>
    <t>AGUA DE ORO</t>
  </si>
  <si>
    <t>X5107ZAA</t>
  </si>
  <si>
    <t>X0027</t>
  </si>
  <si>
    <t>ALTA GRACIA</t>
  </si>
  <si>
    <t>X5186ZAA</t>
  </si>
  <si>
    <t>X0028</t>
  </si>
  <si>
    <t>ALTOS DE CHIPION</t>
  </si>
  <si>
    <t>X2417ZAA</t>
  </si>
  <si>
    <t>X0033</t>
  </si>
  <si>
    <t>ARROYITO</t>
  </si>
  <si>
    <t>X2434ZAA</t>
  </si>
  <si>
    <t>X0041</t>
  </si>
  <si>
    <t>BALNEARIA</t>
  </si>
  <si>
    <t>X5141ZAA</t>
  </si>
  <si>
    <t>X0043</t>
  </si>
  <si>
    <t>BRINKMANN</t>
  </si>
  <si>
    <t>X2419ZAA</t>
  </si>
  <si>
    <t>X0050</t>
  </si>
  <si>
    <t>CAPILLA DEL MONTE</t>
  </si>
  <si>
    <t>X5184ZAA</t>
  </si>
  <si>
    <t>X0053</t>
  </si>
  <si>
    <t>X5023ZAA</t>
  </si>
  <si>
    <t>X0054</t>
  </si>
  <si>
    <t>COLONIA CAROYA</t>
  </si>
  <si>
    <t>X5223ZAA</t>
  </si>
  <si>
    <t>X0056</t>
  </si>
  <si>
    <t>COLONIA SAN BARTOLOME</t>
  </si>
  <si>
    <t>X2426ZAA</t>
  </si>
  <si>
    <t>X0058</t>
  </si>
  <si>
    <t>COSQUIN</t>
  </si>
  <si>
    <t>TUCUMAN</t>
  </si>
  <si>
    <t>X5166ZAA</t>
  </si>
  <si>
    <t>X0062</t>
  </si>
  <si>
    <t>CRUZ DEL EJE</t>
  </si>
  <si>
    <t>X5280ZAA</t>
  </si>
  <si>
    <t>X0066</t>
  </si>
  <si>
    <t>DEAN FUNES</t>
  </si>
  <si>
    <t>X5200ZAA</t>
  </si>
  <si>
    <t>X0068</t>
  </si>
  <si>
    <t>X5121ZAA</t>
  </si>
  <si>
    <t>X0070</t>
  </si>
  <si>
    <t>DEVOTO</t>
  </si>
  <si>
    <t>X2424ZAA</t>
  </si>
  <si>
    <t>X0072</t>
  </si>
  <si>
    <t>X5947ZAA</t>
  </si>
  <si>
    <t>X0076</t>
  </si>
  <si>
    <t>EL TIO</t>
  </si>
  <si>
    <t>X2432ZAA</t>
  </si>
  <si>
    <t>X0078</t>
  </si>
  <si>
    <t>ESTACION CALCHIN</t>
  </si>
  <si>
    <t>X5969ZAA</t>
  </si>
  <si>
    <t>X0082</t>
  </si>
  <si>
    <t>FREYRE</t>
  </si>
  <si>
    <t>X2413ZAA</t>
  </si>
  <si>
    <t>X0088</t>
  </si>
  <si>
    <t>JESUS MARIA</t>
  </si>
  <si>
    <t>X5220ZAA</t>
  </si>
  <si>
    <t>X0090</t>
  </si>
  <si>
    <t>LA PAZ</t>
  </si>
  <si>
    <t>X5879ZAA</t>
  </si>
  <si>
    <t>X0092</t>
  </si>
  <si>
    <t>LA CALERA</t>
  </si>
  <si>
    <t>X5151ZAA</t>
  </si>
  <si>
    <t>X0094</t>
  </si>
  <si>
    <t>LA CUMBRE</t>
  </si>
  <si>
    <t>X5180ZAA</t>
  </si>
  <si>
    <t>X0096</t>
  </si>
  <si>
    <t>LA FALDA</t>
  </si>
  <si>
    <t>X5172ZAA</t>
  </si>
  <si>
    <t>X0098</t>
  </si>
  <si>
    <t>LA FRANCIA</t>
  </si>
  <si>
    <t>X2425ZAA</t>
  </si>
  <si>
    <t>X0100</t>
  </si>
  <si>
    <t>LA GRANJA</t>
  </si>
  <si>
    <t>X5115ZAA</t>
  </si>
  <si>
    <t>X0102</t>
  </si>
  <si>
    <t>LA PARA</t>
  </si>
  <si>
    <t>X5137ZAA</t>
  </si>
  <si>
    <t>X0104</t>
  </si>
  <si>
    <t>X4872ZAA</t>
  </si>
  <si>
    <t>X0106</t>
  </si>
  <si>
    <t>LAGUNA LARGA</t>
  </si>
  <si>
    <t>X5974ZAA</t>
  </si>
  <si>
    <t>X0108</t>
  </si>
  <si>
    <t>LAS JUNTURAS</t>
  </si>
  <si>
    <t>X5965ZAA</t>
  </si>
  <si>
    <t>X0110</t>
  </si>
  <si>
    <t>X5238ZAA</t>
  </si>
  <si>
    <t>X0112</t>
  </si>
  <si>
    <t>LAS VARAS</t>
  </si>
  <si>
    <t>X5941ZAA</t>
  </si>
  <si>
    <t>X0114</t>
  </si>
  <si>
    <t>LAS VARILLAS</t>
  </si>
  <si>
    <t>X5992ZAA</t>
  </si>
  <si>
    <t>X0116</t>
  </si>
  <si>
    <t>LOS COCOS</t>
  </si>
  <si>
    <t>X5182ZAA</t>
  </si>
  <si>
    <t>X0118</t>
  </si>
  <si>
    <t>LUQUE</t>
  </si>
  <si>
    <t>X5967ZAA</t>
  </si>
  <si>
    <t>X0122</t>
  </si>
  <si>
    <t>MINA CLAVERO</t>
  </si>
  <si>
    <t>X5889ZAA</t>
  </si>
  <si>
    <t>X0124</t>
  </si>
  <si>
    <t>MARULL</t>
  </si>
  <si>
    <t>X5139ZAA</t>
  </si>
  <si>
    <t>X0128</t>
  </si>
  <si>
    <t>X5143ZAA</t>
  </si>
  <si>
    <t>X0130</t>
  </si>
  <si>
    <t>MONTE CRISTO</t>
  </si>
  <si>
    <t>X5125ZAA</t>
  </si>
  <si>
    <t>X0132</t>
  </si>
  <si>
    <t>MORTEROS</t>
  </si>
  <si>
    <t>X2421ZAA</t>
  </si>
  <si>
    <t>X0136</t>
  </si>
  <si>
    <t>OBISPO TREJO</t>
  </si>
  <si>
    <t>X5225ZAA</t>
  </si>
  <si>
    <t>X0138</t>
  </si>
  <si>
    <t>ONCATIVO</t>
  </si>
  <si>
    <t>X5986ZAA</t>
  </si>
  <si>
    <t>X0140</t>
  </si>
  <si>
    <t>PILAR (AG. 31)</t>
  </si>
  <si>
    <t>X5972ZAA</t>
  </si>
  <si>
    <t>X0142</t>
  </si>
  <si>
    <t>X2415ZAA</t>
  </si>
  <si>
    <t>X0144</t>
  </si>
  <si>
    <t>POZO DEL MOLLE</t>
  </si>
  <si>
    <t>X5913ZAA</t>
  </si>
  <si>
    <t>X0146</t>
  </si>
  <si>
    <t>QUILINO</t>
  </si>
  <si>
    <t>X5214ZAA</t>
  </si>
  <si>
    <t>X0148</t>
  </si>
  <si>
    <t>RIO CEBALLOS</t>
  </si>
  <si>
    <t>X5111ZAA</t>
  </si>
  <si>
    <t>X0150</t>
  </si>
  <si>
    <t>RIO PRIMERO</t>
  </si>
  <si>
    <t>X5127ZAA</t>
  </si>
  <si>
    <t>X0152</t>
  </si>
  <si>
    <t>RIO SEGUNDO</t>
  </si>
  <si>
    <t>X5960ZAA</t>
  </si>
  <si>
    <t>X0154</t>
  </si>
  <si>
    <t>SALSACATE</t>
  </si>
  <si>
    <t>X5295ZAA</t>
  </si>
  <si>
    <t>X0156</t>
  </si>
  <si>
    <t>SACANTA</t>
  </si>
  <si>
    <t>X5945ZAA</t>
  </si>
  <si>
    <t>X0158</t>
  </si>
  <si>
    <t>SALSIPUEDES</t>
  </si>
  <si>
    <t>X5113ZAA</t>
  </si>
  <si>
    <t>X0160</t>
  </si>
  <si>
    <t>SAN CARLOS MINAS</t>
  </si>
  <si>
    <t>SAN CARLOS</t>
  </si>
  <si>
    <t>X5291ZAA</t>
  </si>
  <si>
    <t>X0164</t>
  </si>
  <si>
    <t>SAN FRANCISCO</t>
  </si>
  <si>
    <t>X2400ZAA</t>
  </si>
  <si>
    <t>X0166</t>
  </si>
  <si>
    <t>SAN JOSE DE LA DORMIDA (AG. 54</t>
  </si>
  <si>
    <t>SAN JOSE DE LA DORMIDA</t>
  </si>
  <si>
    <t>X5244ZAA</t>
  </si>
  <si>
    <t>X0168</t>
  </si>
  <si>
    <t>SAN MARCO SIERRAS</t>
  </si>
  <si>
    <t>SAN MARCOS SIERRAS</t>
  </si>
  <si>
    <t>X5282ZAA</t>
  </si>
  <si>
    <t>X0172</t>
  </si>
  <si>
    <t>STA. ROSA DE RIO PRIMERO</t>
  </si>
  <si>
    <t>SANTA ROSA DE RIO PRIMERO</t>
  </si>
  <si>
    <t>X5133ZAA</t>
  </si>
  <si>
    <t>X0174</t>
  </si>
  <si>
    <t>SANTIAGO TEMPLE</t>
  </si>
  <si>
    <t>X5124ZAA</t>
  </si>
  <si>
    <t>X0176</t>
  </si>
  <si>
    <t>SATURNINO MARIA LASPIUR</t>
  </si>
  <si>
    <t>SATURNINO M LASPIUR</t>
  </si>
  <si>
    <t>X5943ZAB</t>
  </si>
  <si>
    <t>X0180</t>
  </si>
  <si>
    <t>SERREZUELA</t>
  </si>
  <si>
    <t>X5270ZAA</t>
  </si>
  <si>
    <t>X0182</t>
  </si>
  <si>
    <t>TANTI</t>
  </si>
  <si>
    <t>X5155ZAA</t>
  </si>
  <si>
    <t>X0184</t>
  </si>
  <si>
    <t>TRANSITO</t>
  </si>
  <si>
    <t>X2436ZAA</t>
  </si>
  <si>
    <t>X0188</t>
  </si>
  <si>
    <t>UNQUILLO</t>
  </si>
  <si>
    <t>X5109ZAA</t>
  </si>
  <si>
    <t>X0192</t>
  </si>
  <si>
    <t>VILLA ALLENDE</t>
  </si>
  <si>
    <t>X5105ZAA</t>
  </si>
  <si>
    <t>X0194</t>
  </si>
  <si>
    <t>VILLA CARLOS PAZ</t>
  </si>
  <si>
    <t>X5152ZAA</t>
  </si>
  <si>
    <t>X0196</t>
  </si>
  <si>
    <t>VILLA CONCEPCION DEL TIO</t>
  </si>
  <si>
    <t>X2433ZAA</t>
  </si>
  <si>
    <t>X0198</t>
  </si>
  <si>
    <t>VILLA MARIA DEL RIO SECO</t>
  </si>
  <si>
    <t>VILLA DE MARIA</t>
  </si>
  <si>
    <t>X5248ZAA</t>
  </si>
  <si>
    <t>X0200</t>
  </si>
  <si>
    <t>VILLA DE SOTO</t>
  </si>
  <si>
    <t>X5284ZAB</t>
  </si>
  <si>
    <t>X0202</t>
  </si>
  <si>
    <t>VILLA DEL ROSARIO</t>
  </si>
  <si>
    <t>X5963ZAA</t>
  </si>
  <si>
    <t>X0204</t>
  </si>
  <si>
    <t>VILLA DEL TOTORAL</t>
  </si>
  <si>
    <t>X5236ZAA</t>
  </si>
  <si>
    <t>X0210</t>
  </si>
  <si>
    <t>VILLA DOLORES</t>
  </si>
  <si>
    <t>X5870ZAA</t>
  </si>
  <si>
    <t>X0212</t>
  </si>
  <si>
    <t>SAN FRANCISCO DEL CHANAR</t>
  </si>
  <si>
    <t>ALBERDI</t>
  </si>
  <si>
    <t>X5209ZAA</t>
  </si>
  <si>
    <t>X0214</t>
  </si>
  <si>
    <t>GRAL FRANCISCO RAMIREZ</t>
  </si>
  <si>
    <t>X4687ZAA</t>
  </si>
  <si>
    <t>X0300</t>
  </si>
  <si>
    <t>RIO CUARTO</t>
  </si>
  <si>
    <t>X5806ZAB</t>
  </si>
  <si>
    <t>X0302</t>
  </si>
  <si>
    <t>RIO CUARTO 1 ALBERDI</t>
  </si>
  <si>
    <t>X5808ZAA</t>
  </si>
  <si>
    <t>X0303</t>
  </si>
  <si>
    <t>RIO CUARTO 5</t>
  </si>
  <si>
    <t>X5806ZAA</t>
  </si>
  <si>
    <t>X0304</t>
  </si>
  <si>
    <t>RIO CUARTO 4</t>
  </si>
  <si>
    <t>X5802ZAB</t>
  </si>
  <si>
    <t>X0305</t>
  </si>
  <si>
    <t>ACHIRAS</t>
  </si>
  <si>
    <t>X5833ZAA</t>
  </si>
  <si>
    <t>X0306</t>
  </si>
  <si>
    <t>ADELIA MARIA</t>
  </si>
  <si>
    <t>X5843ZAA</t>
  </si>
  <si>
    <t>X0307</t>
  </si>
  <si>
    <t>ALEJANDRO</t>
  </si>
  <si>
    <t>ALEJANDRO ROCA</t>
  </si>
  <si>
    <t>X2686ZAA</t>
  </si>
  <si>
    <t>X0308</t>
  </si>
  <si>
    <t>ALEJO LEDESMA</t>
  </si>
  <si>
    <t>X2662ZAA</t>
  </si>
  <si>
    <t>X0310</t>
  </si>
  <si>
    <t>ARIAS</t>
  </si>
  <si>
    <t>X2624ZAA</t>
  </si>
  <si>
    <t>X0312</t>
  </si>
  <si>
    <t>ARROYO CABRAL</t>
  </si>
  <si>
    <t>X5917ZAA</t>
  </si>
  <si>
    <t>X0314</t>
  </si>
  <si>
    <t>X5854ZAA</t>
  </si>
  <si>
    <t>X0316</t>
  </si>
  <si>
    <t>BALLESTEROS</t>
  </si>
  <si>
    <t>X2572ZAA</t>
  </si>
  <si>
    <t>X0318</t>
  </si>
  <si>
    <t>BELL VILLE</t>
  </si>
  <si>
    <t>X2550ZAA</t>
  </si>
  <si>
    <t>X0324</t>
  </si>
  <si>
    <t>BERROTARAN</t>
  </si>
  <si>
    <t>X5817ZAA</t>
  </si>
  <si>
    <t>X0326</t>
  </si>
  <si>
    <t>CAMILO ALDAO</t>
  </si>
  <si>
    <t>X2585ZAA</t>
  </si>
  <si>
    <t>X0328</t>
  </si>
  <si>
    <t>CANALS</t>
  </si>
  <si>
    <t>X2650ZAA</t>
  </si>
  <si>
    <t>X0330</t>
  </si>
  <si>
    <t>CHAZON</t>
  </si>
  <si>
    <t>X2675ZAA</t>
  </si>
  <si>
    <t>X0331</t>
  </si>
  <si>
    <t>CINTRA</t>
  </si>
  <si>
    <t>X2559ZAA</t>
  </si>
  <si>
    <t>X0334</t>
  </si>
  <si>
    <t>CORONEL MOLDES</t>
  </si>
  <si>
    <t>X5847ZAA</t>
  </si>
  <si>
    <t>X0336</t>
  </si>
  <si>
    <t>CORRAL DE BUSTOS</t>
  </si>
  <si>
    <t>X2645ZAA</t>
  </si>
  <si>
    <t>X0338</t>
  </si>
  <si>
    <t>CRUZ ALTA</t>
  </si>
  <si>
    <t>X2189ZAA</t>
  </si>
  <si>
    <t>X0342</t>
  </si>
  <si>
    <t>DEL CAMPILLO</t>
  </si>
  <si>
    <t>X6271ZAA</t>
  </si>
  <si>
    <t>X0344</t>
  </si>
  <si>
    <t>EMBALSE</t>
  </si>
  <si>
    <t>X5856ZAA</t>
  </si>
  <si>
    <t>X0346</t>
  </si>
  <si>
    <t>ELENA</t>
  </si>
  <si>
    <t>X5815ZAA</t>
  </si>
  <si>
    <t>X0348</t>
  </si>
  <si>
    <t>ETRURIA</t>
  </si>
  <si>
    <t>X2681ZAA</t>
  </si>
  <si>
    <t>X0350</t>
  </si>
  <si>
    <t>GENERAL BALDISSERA</t>
  </si>
  <si>
    <t>X2583ZAA</t>
  </si>
  <si>
    <t>X0352</t>
  </si>
  <si>
    <t>GENERAL CABRERA</t>
  </si>
  <si>
    <t>X5809ZAA</t>
  </si>
  <si>
    <t>X0354</t>
  </si>
  <si>
    <t>GENERAL DEHEZA</t>
  </si>
  <si>
    <t>X5923ZAA</t>
  </si>
  <si>
    <t>X0356</t>
  </si>
  <si>
    <t>GENERAL LEVALLE</t>
  </si>
  <si>
    <t>CARLOS PELLEGRINI</t>
  </si>
  <si>
    <t>X6132ZAA</t>
  </si>
  <si>
    <t>X0358</t>
  </si>
  <si>
    <t>GENERAL ROCA</t>
  </si>
  <si>
    <t>X2592ZAA</t>
  </si>
  <si>
    <t>X0362</t>
  </si>
  <si>
    <t>GIGENA</t>
  </si>
  <si>
    <t>INDEPENDENCIA</t>
  </si>
  <si>
    <t>ALCIRA ESTACION GIGENA</t>
  </si>
  <si>
    <t>X5813ZAB</t>
  </si>
  <si>
    <t>X0364</t>
  </si>
  <si>
    <t>GUATMOZIN</t>
  </si>
  <si>
    <t>GUATIMOZIN</t>
  </si>
  <si>
    <t>X2627ZAA</t>
  </si>
  <si>
    <t>X0366</t>
  </si>
  <si>
    <t>HERNANDO</t>
  </si>
  <si>
    <t>X5968ZAA</t>
  </si>
  <si>
    <t>X0368</t>
  </si>
  <si>
    <t>HIPOLITO BOUCHARD</t>
  </si>
  <si>
    <t>X6225ZAA</t>
  </si>
  <si>
    <t>X0370</t>
  </si>
  <si>
    <t>HOLMBERG</t>
  </si>
  <si>
    <t>X5825ZAA</t>
  </si>
  <si>
    <t>X0374</t>
  </si>
  <si>
    <t>HUINCA RENANCO</t>
  </si>
  <si>
    <t>X6270ZAA</t>
  </si>
  <si>
    <t>X0376</t>
  </si>
  <si>
    <t>IDIAZABAL</t>
  </si>
  <si>
    <t>X2557ZAA</t>
  </si>
  <si>
    <t>X0378</t>
  </si>
  <si>
    <t>INRIVILLE</t>
  </si>
  <si>
    <t>X2587ZAA</t>
  </si>
  <si>
    <t>X0380</t>
  </si>
  <si>
    <t>ISLA VERDE</t>
  </si>
  <si>
    <t>X2661ZAA</t>
  </si>
  <si>
    <t>X0382</t>
  </si>
  <si>
    <t>ITALO</t>
  </si>
  <si>
    <t>X6276ZAA</t>
  </si>
  <si>
    <t>X0384</t>
  </si>
  <si>
    <t>JOVITA</t>
  </si>
  <si>
    <t>X6127ZAA</t>
  </si>
  <si>
    <t>X0386</t>
  </si>
  <si>
    <t>JUSTINIANO POSSE</t>
  </si>
  <si>
    <t>X2553ZAA</t>
  </si>
  <si>
    <t>X0388</t>
  </si>
  <si>
    <t>JAMES CRAIK</t>
  </si>
  <si>
    <t>X5984ZAA</t>
  </si>
  <si>
    <t>X0390</t>
  </si>
  <si>
    <t>LA CRUZ</t>
  </si>
  <si>
    <t>X5859ZAA</t>
  </si>
  <si>
    <t>X0392</t>
  </si>
  <si>
    <t>LA PLAYOSA</t>
  </si>
  <si>
    <t>FERNANDEZ</t>
  </si>
  <si>
    <t>X5911ZAA</t>
  </si>
  <si>
    <t>X0394</t>
  </si>
  <si>
    <t>LA CARLOTA</t>
  </si>
  <si>
    <t>X2670ZAA</t>
  </si>
  <si>
    <t>X0398</t>
  </si>
  <si>
    <t>LABORDE</t>
  </si>
  <si>
    <t>CASTRO BARROS</t>
  </si>
  <si>
    <t>X2657ZAA</t>
  </si>
  <si>
    <t>X0400</t>
  </si>
  <si>
    <t>LABOULAYE</t>
  </si>
  <si>
    <t>X6120ZAA</t>
  </si>
  <si>
    <t>X0404</t>
  </si>
  <si>
    <t>LAS PERDICES</t>
  </si>
  <si>
    <t>X5921ZAA</t>
  </si>
  <si>
    <t>X0406</t>
  </si>
  <si>
    <t>LEONES</t>
  </si>
  <si>
    <t>X2594ZAA</t>
  </si>
  <si>
    <t>X0408</t>
  </si>
  <si>
    <t>LOS SURGENTES</t>
  </si>
  <si>
    <t>X2581ZAA</t>
  </si>
  <si>
    <t>X0410</t>
  </si>
  <si>
    <t>LOS CONDORES</t>
  </si>
  <si>
    <t>X5823ZAA</t>
  </si>
  <si>
    <t>X0412</t>
  </si>
  <si>
    <t>LAS HIGUERAS</t>
  </si>
  <si>
    <t>X5805ZAA</t>
  </si>
  <si>
    <t>X0414</t>
  </si>
  <si>
    <t>MARCOS JUAREZ</t>
  </si>
  <si>
    <t>X2580ZAA</t>
  </si>
  <si>
    <t>X0416</t>
  </si>
  <si>
    <t>MATTALDI</t>
  </si>
  <si>
    <t>X6272ZAA</t>
  </si>
  <si>
    <t>X0418</t>
  </si>
  <si>
    <t>MONTE BUEY</t>
  </si>
  <si>
    <t>X2589ZAA</t>
  </si>
  <si>
    <t>X0420</t>
  </si>
  <si>
    <t>MONTE MAIZ</t>
  </si>
  <si>
    <t>SAN SALVADOR DE JUJUY</t>
  </si>
  <si>
    <t>X2659ZAA</t>
  </si>
  <si>
    <t>X0422</t>
  </si>
  <si>
    <t>MORRISON</t>
  </si>
  <si>
    <t>X2568ZAA</t>
  </si>
  <si>
    <t>X0424</t>
  </si>
  <si>
    <t>NOETINGER</t>
  </si>
  <si>
    <t>X2563ZAA</t>
  </si>
  <si>
    <t>X0426</t>
  </si>
  <si>
    <t>OLIVA</t>
  </si>
  <si>
    <t>X5980ZAA</t>
  </si>
  <si>
    <t>X0428</t>
  </si>
  <si>
    <t>X2555ZAA</t>
  </si>
  <si>
    <t>X0430</t>
  </si>
  <si>
    <t>PASCANAS</t>
  </si>
  <si>
    <t>X2679ZAA</t>
  </si>
  <si>
    <t>X0446</t>
  </si>
  <si>
    <t>RIO TERCERO</t>
  </si>
  <si>
    <t>X5850ZAA</t>
  </si>
  <si>
    <t>X0448</t>
  </si>
  <si>
    <t>SAN AGUSTIN (AG. 39)</t>
  </si>
  <si>
    <t>SAN AGUSTIN</t>
  </si>
  <si>
    <t>X5191ZAB</t>
  </si>
  <si>
    <t>X0450</t>
  </si>
  <si>
    <t>SAMPACHO</t>
  </si>
  <si>
    <t>X5829ZAA</t>
  </si>
  <si>
    <t>X0452</t>
  </si>
  <si>
    <t>SAN BASILIO</t>
  </si>
  <si>
    <t>X5841ZAA</t>
  </si>
  <si>
    <t>X0454</t>
  </si>
  <si>
    <t>SAN MARCOS SUD</t>
  </si>
  <si>
    <t>X2566ZAA</t>
  </si>
  <si>
    <t>X0456</t>
  </si>
  <si>
    <t>SANTA EUFEMIA</t>
  </si>
  <si>
    <t>X2671ZAA</t>
  </si>
  <si>
    <t>X0458</t>
  </si>
  <si>
    <t>SERRANO</t>
  </si>
  <si>
    <t>X6125ZAA</t>
  </si>
  <si>
    <t>X0460</t>
  </si>
  <si>
    <t>STA. R. DE CALAMUCHITA</t>
  </si>
  <si>
    <t>SANTA ROSA DE CALAMUCHITA</t>
  </si>
  <si>
    <t>X5196ZAA</t>
  </si>
  <si>
    <t>X0462</t>
  </si>
  <si>
    <t>TANCACHA</t>
  </si>
  <si>
    <t>X5933ZAA</t>
  </si>
  <si>
    <t>X0466</t>
  </si>
  <si>
    <t>UCACHA</t>
  </si>
  <si>
    <t>X2677ZAA</t>
  </si>
  <si>
    <t>X0468</t>
  </si>
  <si>
    <t>VILLA ASCASUBI</t>
  </si>
  <si>
    <t>X5935ZAA</t>
  </si>
  <si>
    <t>X0470</t>
  </si>
  <si>
    <t>X6140ZAA</t>
  </si>
  <si>
    <t>X0472</t>
  </si>
  <si>
    <t>VILLA DEL DIQUE</t>
  </si>
  <si>
    <t>SANTIAGO DEL ESTERO</t>
  </si>
  <si>
    <t>X5862ZAA</t>
  </si>
  <si>
    <t>X0474</t>
  </si>
  <si>
    <t>VILLA HUIDOBRO</t>
  </si>
  <si>
    <t>X6275ZAA</t>
  </si>
  <si>
    <t>X0476</t>
  </si>
  <si>
    <t>VILLA MARÃA</t>
  </si>
  <si>
    <t>VILLA MARIA</t>
  </si>
  <si>
    <t>X5900ZAA</t>
  </si>
  <si>
    <t>X0478</t>
  </si>
  <si>
    <t>VILLA NUEVA</t>
  </si>
  <si>
    <t>X5903ZAA</t>
  </si>
  <si>
    <t>X0480</t>
  </si>
  <si>
    <t>VILLA VALERIA</t>
  </si>
  <si>
    <t>X6273ZAA</t>
  </si>
  <si>
    <t>X0482</t>
  </si>
  <si>
    <t>VILLA GRAL. BELGRANO</t>
  </si>
  <si>
    <t>VILLA GENERAL BELGRANO</t>
  </si>
  <si>
    <t>X5194ZAA</t>
  </si>
  <si>
    <t>X0484</t>
  </si>
  <si>
    <t>VILLA RUMIPAL</t>
  </si>
  <si>
    <t>X5864ZAA</t>
  </si>
  <si>
    <t>X0486</t>
  </si>
  <si>
    <t>WENCESLAO ESCALANTE</t>
  </si>
  <si>
    <t>X2655ZAA</t>
  </si>
  <si>
    <t>X1016</t>
  </si>
  <si>
    <t>TRIBUNALES FEDERALES 1 CBA</t>
  </si>
  <si>
    <t>X5021ZAA</t>
  </si>
  <si>
    <t>X1048</t>
  </si>
  <si>
    <t>BARRIO LAS VIOLETAS (N 36)</t>
  </si>
  <si>
    <t>X5002ZAA</t>
  </si>
  <si>
    <t>X1356</t>
  </si>
  <si>
    <t>RIO CUARTO 3 UNIVERCIDAD</t>
  </si>
  <si>
    <t>X5804ZAB</t>
  </si>
  <si>
    <t>X1562</t>
  </si>
  <si>
    <t>COLAZO</t>
  </si>
  <si>
    <t>X5971ZAA</t>
  </si>
  <si>
    <t>X1574</t>
  </si>
  <si>
    <t>COLONIA TIROLESA</t>
  </si>
  <si>
    <t>X5000ZAI</t>
  </si>
  <si>
    <t>X1690</t>
  </si>
  <si>
    <t>PASO VIEJO</t>
  </si>
  <si>
    <t>X4525ZAA</t>
  </si>
  <si>
    <t>X1724</t>
  </si>
  <si>
    <t>SIMBOLAR</t>
  </si>
  <si>
    <t>X5242ZAA</t>
  </si>
  <si>
    <t>X1752</t>
  </si>
  <si>
    <t>VILLA SAN ISIDRO</t>
  </si>
  <si>
    <t>COLONIA SAN ISIDRO</t>
  </si>
  <si>
    <t>X5189ZAA</t>
  </si>
  <si>
    <t>X1784</t>
  </si>
  <si>
    <t>X5004ZAA</t>
  </si>
  <si>
    <t>X5626</t>
  </si>
  <si>
    <t>X5014ZAA</t>
  </si>
  <si>
    <t>X5987</t>
  </si>
  <si>
    <t>PATIO OLMOS</t>
  </si>
  <si>
    <t>X5000ZAP</t>
  </si>
  <si>
    <t>X6361</t>
  </si>
  <si>
    <t>TICINO</t>
  </si>
  <si>
    <t>X5966ZAB</t>
  </si>
  <si>
    <t>X6567</t>
  </si>
  <si>
    <t>VILLA MARIA 2</t>
  </si>
  <si>
    <t>X5900ZAJ</t>
  </si>
  <si>
    <t>X6568</t>
  </si>
  <si>
    <t>VILLA MARIA 3</t>
  </si>
  <si>
    <t>X5900ZAK</t>
  </si>
  <si>
    <t>X6569</t>
  </si>
  <si>
    <t>VILLA MARIA 4</t>
  </si>
  <si>
    <t>X5901ZAD</t>
  </si>
  <si>
    <t>X6583</t>
  </si>
  <si>
    <t>ANISACATE</t>
  </si>
  <si>
    <t>X5189ZAH</t>
  </si>
  <si>
    <t>X6659</t>
  </si>
  <si>
    <t>SALDAN</t>
  </si>
  <si>
    <t>X5150ZAC</t>
  </si>
  <si>
    <t>X6674</t>
  </si>
  <si>
    <t>SEBASTIAN ELCANO</t>
  </si>
  <si>
    <t>X5231ZAC</t>
  </si>
  <si>
    <t>X6675</t>
  </si>
  <si>
    <t>CURA BROCHERO</t>
  </si>
  <si>
    <t>VILLA CURA BROCHERO</t>
  </si>
  <si>
    <t>X5891ZAB</t>
  </si>
  <si>
    <t>X6676</t>
  </si>
  <si>
    <t>TOLEDO</t>
  </si>
  <si>
    <t>X5123ZAB</t>
  </si>
  <si>
    <t>X6677</t>
  </si>
  <si>
    <t>MENDIOLAZA</t>
  </si>
  <si>
    <t>X5108ZAF</t>
  </si>
  <si>
    <t>X6678</t>
  </si>
  <si>
    <t>NONO</t>
  </si>
  <si>
    <t>X5887ZAB</t>
  </si>
  <si>
    <t>X6679</t>
  </si>
  <si>
    <t>SINSACATE</t>
  </si>
  <si>
    <t>X5221ZAH</t>
  </si>
  <si>
    <t>X6680</t>
  </si>
  <si>
    <t>VILLA DE LAS ROSAS</t>
  </si>
  <si>
    <t>X5885ZAD</t>
  </si>
  <si>
    <t>W0000</t>
  </si>
  <si>
    <t>SAN JUAN</t>
  </si>
  <si>
    <t>W3400ZAC</t>
  </si>
  <si>
    <t>W0001</t>
  </si>
  <si>
    <t>SUCURSAL 1</t>
  </si>
  <si>
    <t>W3400ZAA</t>
  </si>
  <si>
    <t>W0003</t>
  </si>
  <si>
    <t>SUCURSAL 3</t>
  </si>
  <si>
    <t>W3404ZAA</t>
  </si>
  <si>
    <t>W0004</t>
  </si>
  <si>
    <t>W3432ZAA</t>
  </si>
  <si>
    <t>W0005</t>
  </si>
  <si>
    <t>CHAVARRIA</t>
  </si>
  <si>
    <t>W3474ZAA</t>
  </si>
  <si>
    <t>W0006</t>
  </si>
  <si>
    <t>CONCEPCION</t>
  </si>
  <si>
    <t>W3423ZAA</t>
  </si>
  <si>
    <t>W0007</t>
  </si>
  <si>
    <t>EMPEDRADO</t>
  </si>
  <si>
    <t>W3418ZAA</t>
  </si>
  <si>
    <t>W0008</t>
  </si>
  <si>
    <t>ESQUINA</t>
  </si>
  <si>
    <t>W3196ZAA</t>
  </si>
  <si>
    <t>W0009</t>
  </si>
  <si>
    <t>NTRA SRA DEL ROS DE CAA CATI</t>
  </si>
  <si>
    <t>W3407ZAA</t>
  </si>
  <si>
    <t>W0010</t>
  </si>
  <si>
    <t>GOYA</t>
  </si>
  <si>
    <t>W3450ZAA</t>
  </si>
  <si>
    <t>W0011</t>
  </si>
  <si>
    <t>ITA IBATE</t>
  </si>
  <si>
    <t>W3480ZAA</t>
  </si>
  <si>
    <t>W0012</t>
  </si>
  <si>
    <t>ITATI</t>
  </si>
  <si>
    <t>W3414ZAA</t>
  </si>
  <si>
    <t>W0013</t>
  </si>
  <si>
    <t>W3302ZAA</t>
  </si>
  <si>
    <t>W0015</t>
  </si>
  <si>
    <t>LORETO</t>
  </si>
  <si>
    <t>W3483ZAA</t>
  </si>
  <si>
    <t>W0016</t>
  </si>
  <si>
    <t>MANTILLA</t>
  </si>
  <si>
    <t>MANUEL FLORENCIO MANTILLA</t>
  </si>
  <si>
    <t>W3446ZAA</t>
  </si>
  <si>
    <t>W0017</t>
  </si>
  <si>
    <t>MBURUCUYA</t>
  </si>
  <si>
    <t>W3427ZAA</t>
  </si>
  <si>
    <t>W0018</t>
  </si>
  <si>
    <t>W3470ZAA</t>
  </si>
  <si>
    <t>W0020</t>
  </si>
  <si>
    <t>PASO DE LA PATRIA</t>
  </si>
  <si>
    <t>W3409ZAA</t>
  </si>
  <si>
    <t>W0021</t>
  </si>
  <si>
    <t>PERUGORRIA</t>
  </si>
  <si>
    <t>W3461ZAA</t>
  </si>
  <si>
    <t>W0022</t>
  </si>
  <si>
    <t>SALADAS</t>
  </si>
  <si>
    <t>W3420ZAA</t>
  </si>
  <si>
    <t>W0023</t>
  </si>
  <si>
    <t>SAN COSME</t>
  </si>
  <si>
    <t>W3412ZAA</t>
  </si>
  <si>
    <t>W0024</t>
  </si>
  <si>
    <t>SAN LORENZO</t>
  </si>
  <si>
    <t>W3416ZAA</t>
  </si>
  <si>
    <t>W0025</t>
  </si>
  <si>
    <t>SAN LUIS DEL PALMAR</t>
  </si>
  <si>
    <t>W3403ZAA</t>
  </si>
  <si>
    <t>W0026</t>
  </si>
  <si>
    <t>W3485ZAA</t>
  </si>
  <si>
    <t>W0027</t>
  </si>
  <si>
    <t>SAN ROQUE</t>
  </si>
  <si>
    <t>W3448ZAA</t>
  </si>
  <si>
    <t>W0028</t>
  </si>
  <si>
    <t>W3440ZAA</t>
  </si>
  <si>
    <t>W0029</t>
  </si>
  <si>
    <t>SOLARI</t>
  </si>
  <si>
    <t>EST SOLARI</t>
  </si>
  <si>
    <t>W3476ZAA</t>
  </si>
  <si>
    <t>W0030</t>
  </si>
  <si>
    <t>ALVEAR</t>
  </si>
  <si>
    <t>W3344ZAA</t>
  </si>
  <si>
    <t>W0031</t>
  </si>
  <si>
    <t>COLONIA LIEBIGS</t>
  </si>
  <si>
    <t>W3358ZAA</t>
  </si>
  <si>
    <t>W0032</t>
  </si>
  <si>
    <t>GARRUCHOS</t>
  </si>
  <si>
    <t>W3349ZAA</t>
  </si>
  <si>
    <t>W0033</t>
  </si>
  <si>
    <t>GOB. VIRASORO</t>
  </si>
  <si>
    <t>GOBERNADOR VIRASORO</t>
  </si>
  <si>
    <t>W3342ZAA</t>
  </si>
  <si>
    <t>W0034</t>
  </si>
  <si>
    <t>W3346ZAA</t>
  </si>
  <si>
    <t>W0035</t>
  </si>
  <si>
    <t>W3306ZAA</t>
  </si>
  <si>
    <t>W0036</t>
  </si>
  <si>
    <t>SANTO TOME</t>
  </si>
  <si>
    <t>W3341ZAA</t>
  </si>
  <si>
    <t>W0037</t>
  </si>
  <si>
    <t>W3231ZAA</t>
  </si>
  <si>
    <t>W0038</t>
  </si>
  <si>
    <t>BONPLAND</t>
  </si>
  <si>
    <t>W3234ZAA</t>
  </si>
  <si>
    <t>W0039</t>
  </si>
  <si>
    <t>CURUZU CUATIA</t>
  </si>
  <si>
    <t>W3460ZAA</t>
  </si>
  <si>
    <t>W0040</t>
  </si>
  <si>
    <t>MOCORETA</t>
  </si>
  <si>
    <t>W3226ZAA</t>
  </si>
  <si>
    <t>W0041</t>
  </si>
  <si>
    <t>MONTE CASEROS</t>
  </si>
  <si>
    <t>W3220ZAA</t>
  </si>
  <si>
    <t>W0042</t>
  </si>
  <si>
    <t>PASO DE LOS LIBRES</t>
  </si>
  <si>
    <t>W3230ZAA</t>
  </si>
  <si>
    <t>W0044</t>
  </si>
  <si>
    <t>SAUCE</t>
  </si>
  <si>
    <t>W3463ZAA</t>
  </si>
  <si>
    <t>W1126</t>
  </si>
  <si>
    <t>AGENCIA 12</t>
  </si>
  <si>
    <t>W3400ZAB</t>
  </si>
  <si>
    <t>E0000</t>
  </si>
  <si>
    <t>E3100ZAA</t>
  </si>
  <si>
    <t>E0001</t>
  </si>
  <si>
    <t>E3104ZAA</t>
  </si>
  <si>
    <t>E0002</t>
  </si>
  <si>
    <t>SUCURSAL 2</t>
  </si>
  <si>
    <t>GRAL JOSE MARIA GALAN</t>
  </si>
  <si>
    <t>E3104ZAB</t>
  </si>
  <si>
    <t>E0003</t>
  </si>
  <si>
    <t>AV GRAL FRANCISCO RAMIREZ</t>
  </si>
  <si>
    <t>E3100ZAC</t>
  </si>
  <si>
    <t>E0004</t>
  </si>
  <si>
    <t>SUCURSAL 4</t>
  </si>
  <si>
    <t>AV ALMAFUERTE</t>
  </si>
  <si>
    <t>E3102ZAA</t>
  </si>
  <si>
    <t>E0012</t>
  </si>
  <si>
    <t>ALCARAZ</t>
  </si>
  <si>
    <t>PUEBLO ARRUA EST ALCARAZ</t>
  </si>
  <si>
    <t>E3138ZAA</t>
  </si>
  <si>
    <t>E0014</t>
  </si>
  <si>
    <t>BASAVILBASO</t>
  </si>
  <si>
    <t>E3170ZAA</t>
  </si>
  <si>
    <t>E0016</t>
  </si>
  <si>
    <t>BOVRIL</t>
  </si>
  <si>
    <t>E3142ZAA</t>
  </si>
  <si>
    <t>E0018</t>
  </si>
  <si>
    <t>CALLE 6</t>
  </si>
  <si>
    <t>E3262ZAA</t>
  </si>
  <si>
    <t>E0020</t>
  </si>
  <si>
    <t>INDUSTRIA</t>
  </si>
  <si>
    <t>E3122ZAA</t>
  </si>
  <si>
    <t>E0022</t>
  </si>
  <si>
    <t>CONCEPCION DEL URUGUAY</t>
  </si>
  <si>
    <t>GALARZA</t>
  </si>
  <si>
    <t>E3260ZAA</t>
  </si>
  <si>
    <t>E0026</t>
  </si>
  <si>
    <t>CRESPO</t>
  </si>
  <si>
    <t>E3116ZAA</t>
  </si>
  <si>
    <t>E0028</t>
  </si>
  <si>
    <t>DIAMANTE</t>
  </si>
  <si>
    <t>E3105ZAA</t>
  </si>
  <si>
    <t>E0030</t>
  </si>
  <si>
    <t>GRAL. GALARZA</t>
  </si>
  <si>
    <t>CNEL T DE ROCAMORA</t>
  </si>
  <si>
    <t>GENERAL GALARZA</t>
  </si>
  <si>
    <t>E2843ZAA</t>
  </si>
  <si>
    <t>E0032</t>
  </si>
  <si>
    <t>GRAL. RAMIREZ</t>
  </si>
  <si>
    <t>GENERAL RAMIREZ</t>
  </si>
  <si>
    <t>E3164ZAA</t>
  </si>
  <si>
    <t>E0036</t>
  </si>
  <si>
    <t>GDOR. MANSILLA</t>
  </si>
  <si>
    <t>GOBERNADOR MANSILLA</t>
  </si>
  <si>
    <t>E2845ZAA</t>
  </si>
  <si>
    <t>E0038</t>
  </si>
  <si>
    <t>GUALEGUAY</t>
  </si>
  <si>
    <t>GRAL J J DE URQUIZA</t>
  </si>
  <si>
    <t>E2840ZAA</t>
  </si>
  <si>
    <t>E0040</t>
  </si>
  <si>
    <t>GUALEGUAYCHU</t>
  </si>
  <si>
    <t>E2820ZAA</t>
  </si>
  <si>
    <t>E0044</t>
  </si>
  <si>
    <t>HASENKAMP</t>
  </si>
  <si>
    <t>E3134ZAA</t>
  </si>
  <si>
    <t>E0046</t>
  </si>
  <si>
    <t>HERNANDARIAS</t>
  </si>
  <si>
    <t>E3127ZAA</t>
  </si>
  <si>
    <t>E0048</t>
  </si>
  <si>
    <t>HERNANDEZ</t>
  </si>
  <si>
    <t>DR FILOMENO ALFARO</t>
  </si>
  <si>
    <t>E3156ZAA</t>
  </si>
  <si>
    <t>E0050</t>
  </si>
  <si>
    <t>IBICUY</t>
  </si>
  <si>
    <t>E2846ZAA</t>
  </si>
  <si>
    <t>E0052</t>
  </si>
  <si>
    <t>VILLA PARANACITO</t>
  </si>
  <si>
    <t>SAN MARTIN S N</t>
  </si>
  <si>
    <t>E2823ZAA</t>
  </si>
  <si>
    <t>E0054</t>
  </si>
  <si>
    <t>E3190ZAA</t>
  </si>
  <si>
    <t>E0056</t>
  </si>
  <si>
    <t>LARROQUE</t>
  </si>
  <si>
    <t>E2854ZAA</t>
  </si>
  <si>
    <t>E0058</t>
  </si>
  <si>
    <t>LUCAS GONZALEZ</t>
  </si>
  <si>
    <t>AV SOBERANIA</t>
  </si>
  <si>
    <t>E3158ZAA</t>
  </si>
  <si>
    <t>E0060</t>
  </si>
  <si>
    <t>MACIA</t>
  </si>
  <si>
    <t>GOBERNADOR MACIA</t>
  </si>
  <si>
    <t>E3177ZAA</t>
  </si>
  <si>
    <t>E0062</t>
  </si>
  <si>
    <t>MARIA GRANDE</t>
  </si>
  <si>
    <t>E3133ZAA</t>
  </si>
  <si>
    <t>E0064</t>
  </si>
  <si>
    <t>NOGOYA</t>
  </si>
  <si>
    <t>E3150ZAA</t>
  </si>
  <si>
    <t>E0066</t>
  </si>
  <si>
    <t>ROSARIO DEL TALA</t>
  </si>
  <si>
    <t>E3174ZAA</t>
  </si>
  <si>
    <t>E0068</t>
  </si>
  <si>
    <t>SANTA ELENA</t>
  </si>
  <si>
    <t>E3192ZAA</t>
  </si>
  <si>
    <t>E0072</t>
  </si>
  <si>
    <t>SEGUI</t>
  </si>
  <si>
    <t>E3117ZAA</t>
  </si>
  <si>
    <t>E0074</t>
  </si>
  <si>
    <t>URDINARRAIN</t>
  </si>
  <si>
    <t>E2826ZAA</t>
  </si>
  <si>
    <t>E0076</t>
  </si>
  <si>
    <t>VALLE MARIA</t>
  </si>
  <si>
    <t>ALDEA VALLE MARIA</t>
  </si>
  <si>
    <t>E3101ZAA</t>
  </si>
  <si>
    <t>E0078</t>
  </si>
  <si>
    <t>VIALE</t>
  </si>
  <si>
    <t>E3109ZAA</t>
  </si>
  <si>
    <t>E0080</t>
  </si>
  <si>
    <t>E3153ZAA</t>
  </si>
  <si>
    <t>E0082</t>
  </si>
  <si>
    <t>VILLA LIB. SAN MARTIN</t>
  </si>
  <si>
    <t>VILLA LIBERTADOR SAN MARTIN</t>
  </si>
  <si>
    <t>E3103ZAA</t>
  </si>
  <si>
    <t>E0100</t>
  </si>
  <si>
    <t>CONCORDIA</t>
  </si>
  <si>
    <t>E3200ZAA</t>
  </si>
  <si>
    <t>E0102</t>
  </si>
  <si>
    <t>SUCURSAL 2 CONCORDIA</t>
  </si>
  <si>
    <t>AV LAS HERAS</t>
  </si>
  <si>
    <t>E3202ZAA</t>
  </si>
  <si>
    <t>E0105</t>
  </si>
  <si>
    <t>CHAJARI</t>
  </si>
  <si>
    <t>JAIME TABENI</t>
  </si>
  <si>
    <t>E3228ZAA</t>
  </si>
  <si>
    <t>E0107</t>
  </si>
  <si>
    <t>12 DE ABRIL</t>
  </si>
  <si>
    <t>E3280ZAA</t>
  </si>
  <si>
    <t>E0112</t>
  </si>
  <si>
    <t>FEDERACION</t>
  </si>
  <si>
    <t>LAS CAMELIAS</t>
  </si>
  <si>
    <t>E3206ZAA</t>
  </si>
  <si>
    <t>E0114</t>
  </si>
  <si>
    <t>FEDERAL</t>
  </si>
  <si>
    <t>DONOVAN</t>
  </si>
  <si>
    <t>E3180ZAA</t>
  </si>
  <si>
    <t>E0116</t>
  </si>
  <si>
    <t>GRAL. CAMPOS</t>
  </si>
  <si>
    <t>GENERAL CAMPOS</t>
  </si>
  <si>
    <t>E3216ZAA</t>
  </si>
  <si>
    <t>E0118</t>
  </si>
  <si>
    <t>1Âº DE MAYO</t>
  </si>
  <si>
    <t>PASCUAL VELZI 1940</t>
  </si>
  <si>
    <t>E3263ZAA</t>
  </si>
  <si>
    <t>E0120</t>
  </si>
  <si>
    <t>PUEBLO DOMINGUEZ</t>
  </si>
  <si>
    <t>CHACO Y BARON HIRCH</t>
  </si>
  <si>
    <t>E3246ZAA</t>
  </si>
  <si>
    <t>E0124</t>
  </si>
  <si>
    <t>SAN JAIME DE LA FRONTERA</t>
  </si>
  <si>
    <t>E3185ZAB</t>
  </si>
  <si>
    <t>E0126</t>
  </si>
  <si>
    <t>GRAL JUAN LAVALLE</t>
  </si>
  <si>
    <t>E3283ZAA</t>
  </si>
  <si>
    <t>E0128</t>
  </si>
  <si>
    <t>SAN JOSE FELICIANO</t>
  </si>
  <si>
    <t>SAN JOSE DE FELICIANO</t>
  </si>
  <si>
    <t>E3187ZAA</t>
  </si>
  <si>
    <t>E0130</t>
  </si>
  <si>
    <t>SAN SALVADOR</t>
  </si>
  <si>
    <t>E3218ZAA</t>
  </si>
  <si>
    <t>E0132</t>
  </si>
  <si>
    <t>UBAJAY</t>
  </si>
  <si>
    <t>LAS ACACIAS</t>
  </si>
  <si>
    <t>E3287ZAA</t>
  </si>
  <si>
    <t>E0134</t>
  </si>
  <si>
    <t>VILLA CLARA</t>
  </si>
  <si>
    <t>20 DE JUNIO</t>
  </si>
  <si>
    <t>E3252ZAA</t>
  </si>
  <si>
    <t>E0136</t>
  </si>
  <si>
    <t>JOSE MANUEL ESTRADA</t>
  </si>
  <si>
    <t>E3265ZAA</t>
  </si>
  <si>
    <t>E0138</t>
  </si>
  <si>
    <t>VILLA SAN MARCIAL</t>
  </si>
  <si>
    <t>PLANTA URBANA</t>
  </si>
  <si>
    <t>E3248ZAA</t>
  </si>
  <si>
    <t>E0140</t>
  </si>
  <si>
    <t>VILLAGUAY</t>
  </si>
  <si>
    <t>E3240ZAA</t>
  </si>
  <si>
    <t>E1130</t>
  </si>
  <si>
    <t>STROBEL</t>
  </si>
  <si>
    <t>E3105ZAC</t>
  </si>
  <si>
    <t>E1311</t>
  </si>
  <si>
    <t>GOBERNADOR ECHAGUE</t>
  </si>
  <si>
    <t>AV 1</t>
  </si>
  <si>
    <t>E2847ZAA</t>
  </si>
  <si>
    <t>E3265</t>
  </si>
  <si>
    <t>PUERTO LAS CUEVAS</t>
  </si>
  <si>
    <t>E3105ZAB</t>
  </si>
  <si>
    <t>E3361</t>
  </si>
  <si>
    <t>E3100ZBV</t>
  </si>
  <si>
    <t>E3362</t>
  </si>
  <si>
    <t>AGENCIA ADUANA</t>
  </si>
  <si>
    <t>SANTIAGO DE LINIERS</t>
  </si>
  <si>
    <t>E3100ZBW</t>
  </si>
  <si>
    <t>P0003</t>
  </si>
  <si>
    <t>CLORINDA</t>
  </si>
  <si>
    <t>P3610ZAB</t>
  </si>
  <si>
    <t>P0006</t>
  </si>
  <si>
    <t>EL COLORADO</t>
  </si>
  <si>
    <t>P3603ZAA</t>
  </si>
  <si>
    <t>P0008</t>
  </si>
  <si>
    <t>EL ESPINILLO</t>
  </si>
  <si>
    <t>P3615ZAA</t>
  </si>
  <si>
    <t>P0010</t>
  </si>
  <si>
    <t>ESTANISLAO DEL CAMPO</t>
  </si>
  <si>
    <t>P3626ZAA</t>
  </si>
  <si>
    <t>P0012</t>
  </si>
  <si>
    <t>AV 9 DE JULIO</t>
  </si>
  <si>
    <t>P3600ZAA</t>
  </si>
  <si>
    <t>P0014</t>
  </si>
  <si>
    <t>GRAL. M. BELGRANO</t>
  </si>
  <si>
    <t>VILLA GRAL MANUEL BELGRANO</t>
  </si>
  <si>
    <t>P3615ZAB</t>
  </si>
  <si>
    <t>P0016</t>
  </si>
  <si>
    <t>HERRADURA</t>
  </si>
  <si>
    <t>P3601ZAA</t>
  </si>
  <si>
    <t>P0018</t>
  </si>
  <si>
    <t>IBARRETA</t>
  </si>
  <si>
    <t>P3624ZAA</t>
  </si>
  <si>
    <t>P0020</t>
  </si>
  <si>
    <t>ING.JUAREZ</t>
  </si>
  <si>
    <t>ING GUILLERMO N JUAREZ</t>
  </si>
  <si>
    <t>P3636ZAA</t>
  </si>
  <si>
    <t>P0022</t>
  </si>
  <si>
    <t>P3613ZAA</t>
  </si>
  <si>
    <t>P0024</t>
  </si>
  <si>
    <t>LAS LOMITAS</t>
  </si>
  <si>
    <t>P3630ZAA</t>
  </si>
  <si>
    <t>P0026</t>
  </si>
  <si>
    <t>P3601ZAB</t>
  </si>
  <si>
    <t>P0028</t>
  </si>
  <si>
    <t>SAN FRANCISCO DE LAISHI</t>
  </si>
  <si>
    <t>P3605ZAA</t>
  </si>
  <si>
    <t>P0030</t>
  </si>
  <si>
    <t>PALO SANTO</t>
  </si>
  <si>
    <t>P3608ZAA</t>
  </si>
  <si>
    <t>P0032</t>
  </si>
  <si>
    <t>PIRANE</t>
  </si>
  <si>
    <t>P3606ZAA</t>
  </si>
  <si>
    <t>P0034</t>
  </si>
  <si>
    <t>POZO DEL TIGRE</t>
  </si>
  <si>
    <t>P3628ZAA</t>
  </si>
  <si>
    <t>P0036</t>
  </si>
  <si>
    <t>RIACHO HE-HE</t>
  </si>
  <si>
    <t>RIACHO HE HE</t>
  </si>
  <si>
    <t>P3611ZAA</t>
  </si>
  <si>
    <t>P0038</t>
  </si>
  <si>
    <t>GRAL.LUCIO V.MANSILLA</t>
  </si>
  <si>
    <t>GRAL LUCIO V MANSILLA</t>
  </si>
  <si>
    <t>P3526ZAA</t>
  </si>
  <si>
    <t>P0042</t>
  </si>
  <si>
    <t>VILLA GRAL. GUEMES</t>
  </si>
  <si>
    <t>VILLA GENERAL GUEMES</t>
  </si>
  <si>
    <t>P3621ZAA</t>
  </si>
  <si>
    <t>P1008</t>
  </si>
  <si>
    <t>BUENA VISTA</t>
  </si>
  <si>
    <t>P3617ZAA</t>
  </si>
  <si>
    <t>P1010</t>
  </si>
  <si>
    <t>COLONIA PASTORIL</t>
  </si>
  <si>
    <t>P3601ZAC</t>
  </si>
  <si>
    <t>P1028</t>
  </si>
  <si>
    <t>CABO A.AYALA</t>
  </si>
  <si>
    <t>CABO ADRIANO AYALA</t>
  </si>
  <si>
    <t>P3519ZAA</t>
  </si>
  <si>
    <t>P1034</t>
  </si>
  <si>
    <t>MARIANO BOEDO</t>
  </si>
  <si>
    <t>P3604ZAB</t>
  </si>
  <si>
    <t>P1052</t>
  </si>
  <si>
    <t>MISION TACAAGLE</t>
  </si>
  <si>
    <t>P3614ZAB</t>
  </si>
  <si>
    <t>P1070</t>
  </si>
  <si>
    <t>P3610ZAA</t>
  </si>
  <si>
    <t>P1082</t>
  </si>
  <si>
    <t>VILLA DOS TRECE</t>
  </si>
  <si>
    <t>P3602ZAA</t>
  </si>
  <si>
    <t>P1083</t>
  </si>
  <si>
    <t>CMTE. FONTANA</t>
  </si>
  <si>
    <t>COMANDANTE FONTANA</t>
  </si>
  <si>
    <t>P3620ZAA</t>
  </si>
  <si>
    <t>Y0000</t>
  </si>
  <si>
    <t>JUJUY</t>
  </si>
  <si>
    <t>Y4600ZAA</t>
  </si>
  <si>
    <t>Y0002</t>
  </si>
  <si>
    <t>ABRA PAMPA</t>
  </si>
  <si>
    <t>Y4640ZAA</t>
  </si>
  <si>
    <t>Y0010</t>
  </si>
  <si>
    <t>EL AGUILAR</t>
  </si>
  <si>
    <t>Y4634ZAA</t>
  </si>
  <si>
    <t>Y0012</t>
  </si>
  <si>
    <t>FRAILE PINTADO</t>
  </si>
  <si>
    <t>Y4506ZAA</t>
  </si>
  <si>
    <t>Y0014</t>
  </si>
  <si>
    <t>HUMAHUACA</t>
  </si>
  <si>
    <t>Y4630ZAA</t>
  </si>
  <si>
    <t>Y0020</t>
  </si>
  <si>
    <t>LA MENDIETA</t>
  </si>
  <si>
    <t>RECONQUISTA</t>
  </si>
  <si>
    <t>Y4522ZAA</t>
  </si>
  <si>
    <t>Y0022</t>
  </si>
  <si>
    <t>LA QUIACA</t>
  </si>
  <si>
    <t>Y4650ZAA</t>
  </si>
  <si>
    <t>Y0024</t>
  </si>
  <si>
    <t>LIB. GRAL. SAN MARTIN</t>
  </si>
  <si>
    <t>LIB GRAL SAN MARTIN</t>
  </si>
  <si>
    <t>Y4512ZAB</t>
  </si>
  <si>
    <t>Y0026</t>
  </si>
  <si>
    <t>MAIMARA</t>
  </si>
  <si>
    <t>Y4622ZAA</t>
  </si>
  <si>
    <t>Y0030</t>
  </si>
  <si>
    <t>MONTERRICO</t>
  </si>
  <si>
    <t>Y4608ZAA</t>
  </si>
  <si>
    <t>Y0032</t>
  </si>
  <si>
    <t>PALPALÃ</t>
  </si>
  <si>
    <t>PALPALA</t>
  </si>
  <si>
    <t>Y4612ZAA</t>
  </si>
  <si>
    <t>Y0036</t>
  </si>
  <si>
    <t>PERICO</t>
  </si>
  <si>
    <t>Y4610ZAA</t>
  </si>
  <si>
    <t>Y0040</t>
  </si>
  <si>
    <t>PERICO DEL CARMEN</t>
  </si>
  <si>
    <t>EL CARMEN</t>
  </si>
  <si>
    <t>Y4603ZAA</t>
  </si>
  <si>
    <t>Y0046</t>
  </si>
  <si>
    <t>Y4500ZAA</t>
  </si>
  <si>
    <t>Y0052</t>
  </si>
  <si>
    <t>TILCARA</t>
  </si>
  <si>
    <t>Y4624ZAA</t>
  </si>
  <si>
    <t>Y0062</t>
  </si>
  <si>
    <t>YUTO</t>
  </si>
  <si>
    <t>Y4518ZAA</t>
  </si>
  <si>
    <t>Y1034</t>
  </si>
  <si>
    <t>PALMA SOLA</t>
  </si>
  <si>
    <t>Y4510ZAA</t>
  </si>
  <si>
    <t>Y1163</t>
  </si>
  <si>
    <t>NAZARENO</t>
  </si>
  <si>
    <t>Y4600ZAD</t>
  </si>
  <si>
    <t>Y1200</t>
  </si>
  <si>
    <t>CATUA</t>
  </si>
  <si>
    <t>PARAJE</t>
  </si>
  <si>
    <t>Y4413ZAA</t>
  </si>
  <si>
    <t>Y3149</t>
  </si>
  <si>
    <t>AGENCIA ALTO COMEDERO</t>
  </si>
  <si>
    <t>Y4609ZAA</t>
  </si>
  <si>
    <t>L0000</t>
  </si>
  <si>
    <t>LA PAMPA</t>
  </si>
  <si>
    <t>L6300ZAA</t>
  </si>
  <si>
    <t>L0002</t>
  </si>
  <si>
    <t>ALPACHIRI</t>
  </si>
  <si>
    <t>L6309ZAA</t>
  </si>
  <si>
    <t>L0004</t>
  </si>
  <si>
    <t>ALTA ITALIA</t>
  </si>
  <si>
    <t>L6207ZAA</t>
  </si>
  <si>
    <t>L0006</t>
  </si>
  <si>
    <t>ANGUIL</t>
  </si>
  <si>
    <t>L6326ZAA</t>
  </si>
  <si>
    <t>L0008</t>
  </si>
  <si>
    <t>ARATA</t>
  </si>
  <si>
    <t>L6385ZAA</t>
  </si>
  <si>
    <t>L0010</t>
  </si>
  <si>
    <t>BERNARDO LARROUDE</t>
  </si>
  <si>
    <t>L6220ZAA</t>
  </si>
  <si>
    <t>L0012</t>
  </si>
  <si>
    <t>BERNASCONI</t>
  </si>
  <si>
    <t>L8204ZAA</t>
  </si>
  <si>
    <t>L0014</t>
  </si>
  <si>
    <t>CALEUFU</t>
  </si>
  <si>
    <t>L6387ZAA</t>
  </si>
  <si>
    <t>L0016</t>
  </si>
  <si>
    <t>CATRILO</t>
  </si>
  <si>
    <t>L6330ZAA</t>
  </si>
  <si>
    <t>L0018</t>
  </si>
  <si>
    <t>COLONIA BARON</t>
  </si>
  <si>
    <t>L6315ZAA</t>
  </si>
  <si>
    <t>L0020</t>
  </si>
  <si>
    <t>CNEL. HILARIO LAGOS</t>
  </si>
  <si>
    <t>CORONEL HILARIO LAGOS</t>
  </si>
  <si>
    <t>L6228ZAA</t>
  </si>
  <si>
    <t>L0022</t>
  </si>
  <si>
    <t>DOBLAS</t>
  </si>
  <si>
    <t>L6305ZAA</t>
  </si>
  <si>
    <t>L0024</t>
  </si>
  <si>
    <t>EDUARDO CASTEX</t>
  </si>
  <si>
    <t>L6380ZAA</t>
  </si>
  <si>
    <t>L0028</t>
  </si>
  <si>
    <t>EMBAJADOR MARTINI</t>
  </si>
  <si>
    <t>L6203ZAA</t>
  </si>
  <si>
    <t>L0030</t>
  </si>
  <si>
    <t>GENERAL  ACHA</t>
  </si>
  <si>
    <t>GENERAL ACHA</t>
  </si>
  <si>
    <t>L8200ZAA</t>
  </si>
  <si>
    <t>L0032</t>
  </si>
  <si>
    <t>GRAL. PICO</t>
  </si>
  <si>
    <t>GENERAL PICO</t>
  </si>
  <si>
    <t>L6360ZAA</t>
  </si>
  <si>
    <t>L0034</t>
  </si>
  <si>
    <t>L8206ZAA</t>
  </si>
  <si>
    <t>L0036</t>
  </si>
  <si>
    <t>GUATRACHE</t>
  </si>
  <si>
    <t>L6311ZAA</t>
  </si>
  <si>
    <t>L0038</t>
  </si>
  <si>
    <t>ING. LUIGGI</t>
  </si>
  <si>
    <t>INGENIERO LUIGGI</t>
  </si>
  <si>
    <t>L6205ZAA</t>
  </si>
  <si>
    <t>L0040</t>
  </si>
  <si>
    <t>INTENDENTE ALVEAR</t>
  </si>
  <si>
    <t>L6221ZAA</t>
  </si>
  <si>
    <t>L0042</t>
  </si>
  <si>
    <t>JACINTO ARAUZ</t>
  </si>
  <si>
    <t>L8208ZAA</t>
  </si>
  <si>
    <t>L0044</t>
  </si>
  <si>
    <t>LONQUIMAY</t>
  </si>
  <si>
    <t>L6352ZAA</t>
  </si>
  <si>
    <t>L0046</t>
  </si>
  <si>
    <t>MACACHIN</t>
  </si>
  <si>
    <t>L6307ZAA</t>
  </si>
  <si>
    <t>L0048</t>
  </si>
  <si>
    <t>MIGUEL CANE</t>
  </si>
  <si>
    <t>L6331ZAA</t>
  </si>
  <si>
    <t>L0050</t>
  </si>
  <si>
    <t>MIGUEL RIGLOS</t>
  </si>
  <si>
    <t>L6301ZAA</t>
  </si>
  <si>
    <t>L0052</t>
  </si>
  <si>
    <t>PARERA</t>
  </si>
  <si>
    <t>L6213ZAA</t>
  </si>
  <si>
    <t>L0054</t>
  </si>
  <si>
    <t>QUEMU QUEMU</t>
  </si>
  <si>
    <t>L6333ZAA</t>
  </si>
  <si>
    <t>L0056</t>
  </si>
  <si>
    <t>RANCUL</t>
  </si>
  <si>
    <t>L6214ZAA</t>
  </si>
  <si>
    <t>L0058</t>
  </si>
  <si>
    <t>REALICO</t>
  </si>
  <si>
    <t>L6200ZAA</t>
  </si>
  <si>
    <t>L0060</t>
  </si>
  <si>
    <t>ROLON</t>
  </si>
  <si>
    <t>L6306ZAA</t>
  </si>
  <si>
    <t>L0062</t>
  </si>
  <si>
    <t>TELEN</t>
  </si>
  <si>
    <t>L6321ZAA</t>
  </si>
  <si>
    <t>L0064</t>
  </si>
  <si>
    <t>TOAY</t>
  </si>
  <si>
    <t>L6303ZAA</t>
  </si>
  <si>
    <t>L0066</t>
  </si>
  <si>
    <t>TRENEL</t>
  </si>
  <si>
    <t>L6369ZAA</t>
  </si>
  <si>
    <t>L0068</t>
  </si>
  <si>
    <t>URIBURU</t>
  </si>
  <si>
    <t>L6354ZAA</t>
  </si>
  <si>
    <t>L0070</t>
  </si>
  <si>
    <t>VEINTICINCO DE MAYO</t>
  </si>
  <si>
    <t>L8201ZAA</t>
  </si>
  <si>
    <t>L0072</t>
  </si>
  <si>
    <t>VICTORICA</t>
  </si>
  <si>
    <t>L6319ZAA</t>
  </si>
  <si>
    <t>L0074</t>
  </si>
  <si>
    <t>WINIFREDA</t>
  </si>
  <si>
    <t>L6313ZAA</t>
  </si>
  <si>
    <t>L1002</t>
  </si>
  <si>
    <t>L6302ZAA</t>
  </si>
  <si>
    <t>L1030</t>
  </si>
  <si>
    <t>LA MARUJA</t>
  </si>
  <si>
    <t>L6386ZAA</t>
  </si>
  <si>
    <t>F0000</t>
  </si>
  <si>
    <t>F5300ZAA</t>
  </si>
  <si>
    <t>F0002</t>
  </si>
  <si>
    <t>AIMOGASTA</t>
  </si>
  <si>
    <t>F5310ZAA</t>
  </si>
  <si>
    <t>F0004</t>
  </si>
  <si>
    <t>AMINGA</t>
  </si>
  <si>
    <t>F5301ZAA</t>
  </si>
  <si>
    <t>F0008</t>
  </si>
  <si>
    <t>ANILLACO</t>
  </si>
  <si>
    <t>AV CNEL N BARROS</t>
  </si>
  <si>
    <t>F5330ZAA</t>
  </si>
  <si>
    <t>F0010</t>
  </si>
  <si>
    <t>ANJULLON</t>
  </si>
  <si>
    <t>F5303ZAA</t>
  </si>
  <si>
    <t>F0012</t>
  </si>
  <si>
    <t>CAMPANAS</t>
  </si>
  <si>
    <t>F5366ZAA</t>
  </si>
  <si>
    <t>F0014</t>
  </si>
  <si>
    <t>CHAMICAL</t>
  </si>
  <si>
    <t>F5380ZAA</t>
  </si>
  <si>
    <t>F0016</t>
  </si>
  <si>
    <t>CHEPES</t>
  </si>
  <si>
    <t>BDIER FACUNDO QUIROGA</t>
  </si>
  <si>
    <t>F5470ZAA</t>
  </si>
  <si>
    <t>F0018</t>
  </si>
  <si>
    <t>CHILECITO</t>
  </si>
  <si>
    <t>JOAQUIN V GONZALEZ</t>
  </si>
  <si>
    <t>F5360ZAA</t>
  </si>
  <si>
    <t>F0022</t>
  </si>
  <si>
    <t>DESIDERIO  TELLO</t>
  </si>
  <si>
    <t>DESIDERIO TELLO</t>
  </si>
  <si>
    <t>F5474ZAA</t>
  </si>
  <si>
    <t>F0026</t>
  </si>
  <si>
    <t>FAMATINA</t>
  </si>
  <si>
    <t>19 DE ABRIL</t>
  </si>
  <si>
    <t>F5365ZAA</t>
  </si>
  <si>
    <t>F0028</t>
  </si>
  <si>
    <t>GUANDACOL</t>
  </si>
  <si>
    <t>F5353ZAA</t>
  </si>
  <si>
    <t>F0032</t>
  </si>
  <si>
    <t>MALANZAN</t>
  </si>
  <si>
    <t>AV LOS CAUDILLOS</t>
  </si>
  <si>
    <t>F5389ZAA</t>
  </si>
  <si>
    <t>F0034</t>
  </si>
  <si>
    <t>MILAGRO</t>
  </si>
  <si>
    <t>F5274ZAA</t>
  </si>
  <si>
    <t>F0036</t>
  </si>
  <si>
    <t>NONOGASTA</t>
  </si>
  <si>
    <t>AV YOMA AMIN</t>
  </si>
  <si>
    <t>F5372ZAA</t>
  </si>
  <si>
    <t>F0038</t>
  </si>
  <si>
    <t>OLTA</t>
  </si>
  <si>
    <t>MTRO JOSE S SALINAS</t>
  </si>
  <si>
    <t>F5383ZAA</t>
  </si>
  <si>
    <t>F0042</t>
  </si>
  <si>
    <t>PATQUIA</t>
  </si>
  <si>
    <t>F5386ZAA</t>
  </si>
  <si>
    <t>F0046</t>
  </si>
  <si>
    <t>PITUIL</t>
  </si>
  <si>
    <t>SANTO DOMINGO</t>
  </si>
  <si>
    <t>F5370ZAA</t>
  </si>
  <si>
    <t>F0050</t>
  </si>
  <si>
    <t>SALICAS</t>
  </si>
  <si>
    <t>F5327ZAA</t>
  </si>
  <si>
    <t>F0052</t>
  </si>
  <si>
    <t>TAMA</t>
  </si>
  <si>
    <t>EL CARRIZAL TAMA</t>
  </si>
  <si>
    <t>F5385ZAA</t>
  </si>
  <si>
    <t>F0054</t>
  </si>
  <si>
    <t>ULAPES</t>
  </si>
  <si>
    <t>F5473ZAA</t>
  </si>
  <si>
    <t>F0056</t>
  </si>
  <si>
    <t>VILLA CASTELLI</t>
  </si>
  <si>
    <t>F5355ZAB</t>
  </si>
  <si>
    <t>F0058</t>
  </si>
  <si>
    <t>VILLA MAZAN</t>
  </si>
  <si>
    <t>F5314ZAA</t>
  </si>
  <si>
    <t>F0060</t>
  </si>
  <si>
    <t>VILLA SANAGASTA</t>
  </si>
  <si>
    <t>F5379ZAA</t>
  </si>
  <si>
    <t>F0062</t>
  </si>
  <si>
    <t>VILLA DE SANTA RITA</t>
  </si>
  <si>
    <t>VILLA SANTA RITA</t>
  </si>
  <si>
    <t>F5275ZAA</t>
  </si>
  <si>
    <t>F0064</t>
  </si>
  <si>
    <t>VILLA UNION</t>
  </si>
  <si>
    <t>F5350ZAA</t>
  </si>
  <si>
    <t>F0066</t>
  </si>
  <si>
    <t>VINCHINA</t>
  </si>
  <si>
    <t>F5357ZAA</t>
  </si>
  <si>
    <t>F1128</t>
  </si>
  <si>
    <t>LOS PALACIOS</t>
  </si>
  <si>
    <t>F5352ZAA</t>
  </si>
  <si>
    <t>F3045</t>
  </si>
  <si>
    <t>LA RIOJA 2  -  9 DE JULIO</t>
  </si>
  <si>
    <t>F5300ZAC</t>
  </si>
  <si>
    <t>F3047</t>
  </si>
  <si>
    <t>LA RIOJA 3  -  CEPAR SUR</t>
  </si>
  <si>
    <t>F5300ZAD</t>
  </si>
  <si>
    <t>M0000</t>
  </si>
  <si>
    <t>M5500ZAA</t>
  </si>
  <si>
    <t>M0001</t>
  </si>
  <si>
    <t>MENDOZA 1</t>
  </si>
  <si>
    <t>M5500ZAC</t>
  </si>
  <si>
    <t>M0002</t>
  </si>
  <si>
    <t>MENDOZA 2  DORREGO</t>
  </si>
  <si>
    <t>M5626ZAF</t>
  </si>
  <si>
    <t>M0005</t>
  </si>
  <si>
    <t>BERMEJO</t>
  </si>
  <si>
    <t>M5533ZAA</t>
  </si>
  <si>
    <t>M0006</t>
  </si>
  <si>
    <t>BOWEN</t>
  </si>
  <si>
    <t>M5634ZAA</t>
  </si>
  <si>
    <t>M0007</t>
  </si>
  <si>
    <t>CARRODILLA</t>
  </si>
  <si>
    <t>CARRODILLA LA PUNTILLA</t>
  </si>
  <si>
    <t>M5505ZAA</t>
  </si>
  <si>
    <t>M0008</t>
  </si>
  <si>
    <t>CAMPO DE  LOS ANDES</t>
  </si>
  <si>
    <t>CAMPO DE LOS ANDES</t>
  </si>
  <si>
    <t>M5565ZAA</t>
  </si>
  <si>
    <t>M0010</t>
  </si>
  <si>
    <t>CARMENSA</t>
  </si>
  <si>
    <t>M5621ZAA</t>
  </si>
  <si>
    <t>M0012</t>
  </si>
  <si>
    <t>CHACRAS  DE CORIA</t>
  </si>
  <si>
    <t>CHACRAS DE CORIA</t>
  </si>
  <si>
    <t>M5528ZAA</t>
  </si>
  <si>
    <t>M0014</t>
  </si>
  <si>
    <t>COLONIA  ALVEAR OESTE</t>
  </si>
  <si>
    <t>COLONIA ALVEAR OESTE</t>
  </si>
  <si>
    <t>M5632ZAA</t>
  </si>
  <si>
    <t>M0020</t>
  </si>
  <si>
    <t>EUGENIO  BUSTOS</t>
  </si>
  <si>
    <t>EUGENIO BUSTOS</t>
  </si>
  <si>
    <t>M5569ZAA</t>
  </si>
  <si>
    <t>M0022</t>
  </si>
  <si>
    <t>FRAY LUIS  BELTRAN</t>
  </si>
  <si>
    <t>FRAY LUIS BELTRAN</t>
  </si>
  <si>
    <t>M5531ZAA</t>
  </si>
  <si>
    <t>M0024</t>
  </si>
  <si>
    <t>GRAL. ALVEAR</t>
  </si>
  <si>
    <t>M5620ZAC</t>
  </si>
  <si>
    <t>M0028</t>
  </si>
  <si>
    <t>M5570ZAA</t>
  </si>
  <si>
    <t>M0030</t>
  </si>
  <si>
    <t>GODOY CRUZ</t>
  </si>
  <si>
    <t>M5501ZAA</t>
  </si>
  <si>
    <t>M0032</t>
  </si>
  <si>
    <t>ING. GIAGNONI</t>
  </si>
  <si>
    <t>INGENIERO GIAGNONI</t>
  </si>
  <si>
    <t>M5582ZAA</t>
  </si>
  <si>
    <t>M0036</t>
  </si>
  <si>
    <t>LA CONSULTA</t>
  </si>
  <si>
    <t>M5567ZAA</t>
  </si>
  <si>
    <t>M0038</t>
  </si>
  <si>
    <t>LA DORMIDA</t>
  </si>
  <si>
    <t>M5592ZAA</t>
  </si>
  <si>
    <t>M0040</t>
  </si>
  <si>
    <t>M5590ZAA</t>
  </si>
  <si>
    <t>M0042</t>
  </si>
  <si>
    <t>LAS CATITAS</t>
  </si>
  <si>
    <t>M5594ZAA</t>
  </si>
  <si>
    <t>M0046</t>
  </si>
  <si>
    <t>M5540ZAA</t>
  </si>
  <si>
    <t>M0048</t>
  </si>
  <si>
    <t>VILLA TULUMAYA</t>
  </si>
  <si>
    <t>M5664ZAA</t>
  </si>
  <si>
    <t>M0052</t>
  </si>
  <si>
    <t>LUJAN DE CUYO</t>
  </si>
  <si>
    <t>M5507ZAA</t>
  </si>
  <si>
    <t>M0056</t>
  </si>
  <si>
    <t>M5515ZAA</t>
  </si>
  <si>
    <t>M0058</t>
  </si>
  <si>
    <t>MALARGUE</t>
  </si>
  <si>
    <t>M5613ZAA</t>
  </si>
  <si>
    <t>M0060</t>
  </si>
  <si>
    <t>MEDRANO</t>
  </si>
  <si>
    <t>M5633ZAA</t>
  </si>
  <si>
    <t>M0068</t>
  </si>
  <si>
    <t>MONTE COMAN</t>
  </si>
  <si>
    <t>M5609ZAA</t>
  </si>
  <si>
    <t>M0072</t>
  </si>
  <si>
    <t>PALMIRA</t>
  </si>
  <si>
    <t>M5584ZAA</t>
  </si>
  <si>
    <t>M0076</t>
  </si>
  <si>
    <t>PUNTA DE VACAS</t>
  </si>
  <si>
    <t>M5553ZAA</t>
  </si>
  <si>
    <t>M0078</t>
  </si>
  <si>
    <t>REAL DEL PADRE</t>
  </si>
  <si>
    <t>M5624ZAA</t>
  </si>
  <si>
    <t>M0080</t>
  </si>
  <si>
    <t>M5577ZAA</t>
  </si>
  <si>
    <t>M0082</t>
  </si>
  <si>
    <t>RODEO  DE LA CRUZ</t>
  </si>
  <si>
    <t>KILOMETRO 11</t>
  </si>
  <si>
    <t>M5525ZAA</t>
  </si>
  <si>
    <t>M0084</t>
  </si>
  <si>
    <t>RODEO DEL MEDIO</t>
  </si>
  <si>
    <t>M5529ZAB</t>
  </si>
  <si>
    <t>M0088</t>
  </si>
  <si>
    <t>M5512ZAA</t>
  </si>
  <si>
    <t>M0090</t>
  </si>
  <si>
    <t>M5535ZAA</t>
  </si>
  <si>
    <t>M0092</t>
  </si>
  <si>
    <t>SAN RAFAEL</t>
  </si>
  <si>
    <t>M5600ZAA</t>
  </si>
  <si>
    <t>M0094</t>
  </si>
  <si>
    <t>M5596ZAA</t>
  </si>
  <si>
    <t>M0096</t>
  </si>
  <si>
    <t>TUNUYAN</t>
  </si>
  <si>
    <t>M5560ZAA</t>
  </si>
  <si>
    <t>M0098</t>
  </si>
  <si>
    <t>TUPUNGATO</t>
  </si>
  <si>
    <t>M5561ZAA</t>
  </si>
  <si>
    <t>M0100</t>
  </si>
  <si>
    <t>USPALLATA</t>
  </si>
  <si>
    <t>M5545ZAA</t>
  </si>
  <si>
    <t>M0102</t>
  </si>
  <si>
    <t>M5612ZAA</t>
  </si>
  <si>
    <t>M0106</t>
  </si>
  <si>
    <t>VILLA ATUEL</t>
  </si>
  <si>
    <t>M5622ZAA</t>
  </si>
  <si>
    <t>M0108</t>
  </si>
  <si>
    <t>CDAD. DE JUNIN</t>
  </si>
  <si>
    <t>M5573ZAB</t>
  </si>
  <si>
    <t>M0112</t>
  </si>
  <si>
    <t>M5521ZAA</t>
  </si>
  <si>
    <t>M0114</t>
  </si>
  <si>
    <t>VISTA FLORES</t>
  </si>
  <si>
    <t>M5665ZAA</t>
  </si>
  <si>
    <t>M1325</t>
  </si>
  <si>
    <t>EL RETAMO</t>
  </si>
  <si>
    <t>M5537ZAB</t>
  </si>
  <si>
    <t>M1326</t>
  </si>
  <si>
    <t>EL MANZANO</t>
  </si>
  <si>
    <t>M5611ZAB</t>
  </si>
  <si>
    <t>M1378</t>
  </si>
  <si>
    <t>LA LIBERTAD</t>
  </si>
  <si>
    <t>M5558ZAA</t>
  </si>
  <si>
    <t>M1388</t>
  </si>
  <si>
    <t>EL BORBOLLON</t>
  </si>
  <si>
    <t>ALGARROBAL ABAJO</t>
  </si>
  <si>
    <t>M5666ZAA</t>
  </si>
  <si>
    <t>N0000</t>
  </si>
  <si>
    <t>POSADAS</t>
  </si>
  <si>
    <t>MISIONES</t>
  </si>
  <si>
    <t>N3300ZAA</t>
  </si>
  <si>
    <t>N0002</t>
  </si>
  <si>
    <t>ALBA POSSE</t>
  </si>
  <si>
    <t>N3363ZAA</t>
  </si>
  <si>
    <t>N0004</t>
  </si>
  <si>
    <t>APOSTOLES</t>
  </si>
  <si>
    <t>N3350ZAA</t>
  </si>
  <si>
    <t>N0006</t>
  </si>
  <si>
    <t>A. DEL VALLE</t>
  </si>
  <si>
    <t>N3364ZAA</t>
  </si>
  <si>
    <t>N0008</t>
  </si>
  <si>
    <t>AZARA</t>
  </si>
  <si>
    <t>N3351ZAA</t>
  </si>
  <si>
    <t>N0010</t>
  </si>
  <si>
    <t>B. DE IRIGOYEN</t>
  </si>
  <si>
    <t>BERNARDO DE IRIGOYEN</t>
  </si>
  <si>
    <t>N3366ZAA</t>
  </si>
  <si>
    <t>N0012</t>
  </si>
  <si>
    <t>N3317ZAA</t>
  </si>
  <si>
    <t>N0014</t>
  </si>
  <si>
    <t>CAMPO GRANDE</t>
  </si>
  <si>
    <t>N3362ZAA</t>
  </si>
  <si>
    <t>N0016</t>
  </si>
  <si>
    <t>CAMPO VIERA</t>
  </si>
  <si>
    <t>N3375ZAA</t>
  </si>
  <si>
    <t>N0018</t>
  </si>
  <si>
    <t>CANDELARIA</t>
  </si>
  <si>
    <t>N3308ZAA</t>
  </si>
  <si>
    <t>N0020</t>
  </si>
  <si>
    <t>CERRO AZUL</t>
  </si>
  <si>
    <t>N3313ZAA</t>
  </si>
  <si>
    <t>N0022</t>
  </si>
  <si>
    <t>CAPIOVI</t>
  </si>
  <si>
    <t>N3332ZAA</t>
  </si>
  <si>
    <t>N0024</t>
  </si>
  <si>
    <t>25 DE MAYO [AG. 1 ALBA POSSE]</t>
  </si>
  <si>
    <t>N3363ZAB</t>
  </si>
  <si>
    <t>N0026</t>
  </si>
  <si>
    <t>COLONIA WANDA</t>
  </si>
  <si>
    <t>WANDA</t>
  </si>
  <si>
    <t>N3376ZAA</t>
  </si>
  <si>
    <t>N0028</t>
  </si>
  <si>
    <t>CONCEPCION DE LA SIERRA</t>
  </si>
  <si>
    <t>N3371ZAA</t>
  </si>
  <si>
    <t>N0030</t>
  </si>
  <si>
    <t>CORPUS</t>
  </si>
  <si>
    <t>N3327ZAA</t>
  </si>
  <si>
    <t>N0032</t>
  </si>
  <si>
    <t>DOS DE MAYO</t>
  </si>
  <si>
    <t>2 DE MAYO</t>
  </si>
  <si>
    <t>N3337ZAA</t>
  </si>
  <si>
    <t>N0034</t>
  </si>
  <si>
    <t>EL DORADO</t>
  </si>
  <si>
    <t>ELDORADO</t>
  </si>
  <si>
    <t>N3380ZAA</t>
  </si>
  <si>
    <t>N0038</t>
  </si>
  <si>
    <t>EL SOBERBIO</t>
  </si>
  <si>
    <t>N3338ZAA</t>
  </si>
  <si>
    <t>N0040</t>
  </si>
  <si>
    <t>GDOR. ROCA</t>
  </si>
  <si>
    <t>GOBERNADOR ROCA</t>
  </si>
  <si>
    <t>N3324ZAA</t>
  </si>
  <si>
    <t>N0042</t>
  </si>
  <si>
    <t>IGUAZU</t>
  </si>
  <si>
    <t>PUERTO IGUAZU</t>
  </si>
  <si>
    <t>N3370ZAA</t>
  </si>
  <si>
    <t>N0044</t>
  </si>
  <si>
    <t>ITACARUARE</t>
  </si>
  <si>
    <t>N3353ZAA</t>
  </si>
  <si>
    <t>N0046</t>
  </si>
  <si>
    <t>JARDIN AMERICA</t>
  </si>
  <si>
    <t>N3328ZAA</t>
  </si>
  <si>
    <t>N0048</t>
  </si>
  <si>
    <t>L. N. ALEM</t>
  </si>
  <si>
    <t>N3315ZAA</t>
  </si>
  <si>
    <t>N0050</t>
  </si>
  <si>
    <t>N3374ZAA</t>
  </si>
  <si>
    <t>N0052</t>
  </si>
  <si>
    <t>MONTECARLO</t>
  </si>
  <si>
    <t>N3384ZAA</t>
  </si>
  <si>
    <t>N0054</t>
  </si>
  <si>
    <t>OBERÃ</t>
  </si>
  <si>
    <t>OBERA</t>
  </si>
  <si>
    <t>N3361ZAA</t>
  </si>
  <si>
    <t>N0056</t>
  </si>
  <si>
    <t>SUCURSAL 2 POSADAS</t>
  </si>
  <si>
    <t>N3301ZAB</t>
  </si>
  <si>
    <t>N0058</t>
  </si>
  <si>
    <t>SUCURSAL 1 POSADAS</t>
  </si>
  <si>
    <t>N3300ZAB</t>
  </si>
  <si>
    <t>N0060</t>
  </si>
  <si>
    <t>PTO. ESPERANZA</t>
  </si>
  <si>
    <t>PUERTO ESPERANZA</t>
  </si>
  <si>
    <t>N3378ZAA</t>
  </si>
  <si>
    <t>N0062</t>
  </si>
  <si>
    <t>PUERTO PIRAY</t>
  </si>
  <si>
    <t>N3381ZAA</t>
  </si>
  <si>
    <t>N0064</t>
  </si>
  <si>
    <t>PUERTO RICO</t>
  </si>
  <si>
    <t>N3334ZAA</t>
  </si>
  <si>
    <t>N0068</t>
  </si>
  <si>
    <t>SAN IGNACIO</t>
  </si>
  <si>
    <t>N3322ZAC</t>
  </si>
  <si>
    <t>N0070</t>
  </si>
  <si>
    <t>SAN JAVIER</t>
  </si>
  <si>
    <t>N3357ZAA</t>
  </si>
  <si>
    <t>N0072</t>
  </si>
  <si>
    <t>N3307ZAA</t>
  </si>
  <si>
    <t>N0074</t>
  </si>
  <si>
    <t>N3352ZAA</t>
  </si>
  <si>
    <t>N0078</t>
  </si>
  <si>
    <t>SANTO PIPO</t>
  </si>
  <si>
    <t>N3322ZAB</t>
  </si>
  <si>
    <t>N0080</t>
  </si>
  <si>
    <t>N3356ZAB</t>
  </si>
  <si>
    <t>N1100</t>
  </si>
  <si>
    <t>ALMIRANTE BROWN</t>
  </si>
  <si>
    <t>N3385ZAB</t>
  </si>
  <si>
    <t>N1180</t>
  </si>
  <si>
    <t>SANTA ANA</t>
  </si>
  <si>
    <t>N3316ZAA</t>
  </si>
  <si>
    <t>Q0000</t>
  </si>
  <si>
    <t>NEUQUEN</t>
  </si>
  <si>
    <t>Q8300ZAA</t>
  </si>
  <si>
    <t>Q0002</t>
  </si>
  <si>
    <t>ALUMINE</t>
  </si>
  <si>
    <t>Q8345ZAA</t>
  </si>
  <si>
    <t>Q0004</t>
  </si>
  <si>
    <t>ANDACOLLO</t>
  </si>
  <si>
    <t>Q8354ZAA</t>
  </si>
  <si>
    <t>Q0008</t>
  </si>
  <si>
    <t>CENTENARIO</t>
  </si>
  <si>
    <t>Q8309ZAA</t>
  </si>
  <si>
    <t>Q0010</t>
  </si>
  <si>
    <t>CHOS MALAL</t>
  </si>
  <si>
    <t>Q8353ZAA</t>
  </si>
  <si>
    <t>Q0012</t>
  </si>
  <si>
    <t>MARIANO MORENO</t>
  </si>
  <si>
    <t>Q8352ZAA</t>
  </si>
  <si>
    <t>Q0014</t>
  </si>
  <si>
    <t>CUTRAL CO</t>
  </si>
  <si>
    <t>Q8322ZAB</t>
  </si>
  <si>
    <t>Q0018</t>
  </si>
  <si>
    <t>EL HUECU</t>
  </si>
  <si>
    <t>Q8350ZAA</t>
  </si>
  <si>
    <t>Q0022</t>
  </si>
  <si>
    <t>LAS LAJAS</t>
  </si>
  <si>
    <t>Q8347ZAA</t>
  </si>
  <si>
    <t>Q0024</t>
  </si>
  <si>
    <t>LONCOPUE</t>
  </si>
  <si>
    <t>Q8349ZAA</t>
  </si>
  <si>
    <t>Q0026</t>
  </si>
  <si>
    <t>RINCON DE LOS SAUCES</t>
  </si>
  <si>
    <t>Q8319ZAA</t>
  </si>
  <si>
    <t>Q0028</t>
  </si>
  <si>
    <t>PICUN LEUFU</t>
  </si>
  <si>
    <t>Q8313ZAA</t>
  </si>
  <si>
    <t>Q0032</t>
  </si>
  <si>
    <t>PLAZA HUINCUL</t>
  </si>
  <si>
    <t>Q8318ZAA</t>
  </si>
  <si>
    <t>Q0033</t>
  </si>
  <si>
    <t>Q8312ZAA</t>
  </si>
  <si>
    <t>Q0034</t>
  </si>
  <si>
    <t>PLOTTIER</t>
  </si>
  <si>
    <t>Q8316ZAA</t>
  </si>
  <si>
    <t>Q0038</t>
  </si>
  <si>
    <t>SENILLOSA</t>
  </si>
  <si>
    <t>Q8320ZAA</t>
  </si>
  <si>
    <t>Q0042</t>
  </si>
  <si>
    <t>VILLA EL CHOCON</t>
  </si>
  <si>
    <t>Q8311ZAA</t>
  </si>
  <si>
    <t>Q0046</t>
  </si>
  <si>
    <t>ZAPALA</t>
  </si>
  <si>
    <t>Q8340ZAA</t>
  </si>
  <si>
    <t>Q0102</t>
  </si>
  <si>
    <t>JUNIN DE LOS ANDES</t>
  </si>
  <si>
    <t>Q8371ZAA</t>
  </si>
  <si>
    <t>Q0104</t>
  </si>
  <si>
    <t>SAN MARTIN DE LOS ANDES</t>
  </si>
  <si>
    <t>Q8370ZAA</t>
  </si>
  <si>
    <t>Q0106</t>
  </si>
  <si>
    <t>VILLA TRAFUL</t>
  </si>
  <si>
    <t>Q8408ZAA</t>
  </si>
  <si>
    <t>Q0108</t>
  </si>
  <si>
    <t>VILLA LA ANGOSTURA</t>
  </si>
  <si>
    <t>Q8407ZAA</t>
  </si>
  <si>
    <t>Q0110</t>
  </si>
  <si>
    <t>PIEDRA DEL AGUILA</t>
  </si>
  <si>
    <t>Q8315ZAA</t>
  </si>
  <si>
    <t>Q1026</t>
  </si>
  <si>
    <t>LAS OVEJAS</t>
  </si>
  <si>
    <t>Q8355ZAA</t>
  </si>
  <si>
    <t>Q1127</t>
  </si>
  <si>
    <t>Q8306ZAA</t>
  </si>
  <si>
    <t>R0100</t>
  </si>
  <si>
    <t>S. C. DE BARILOCHE</t>
  </si>
  <si>
    <t>SAN CARLOS DE BARILOCHE</t>
  </si>
  <si>
    <t>RIO NEGRO</t>
  </si>
  <si>
    <t>R8400ZAA</t>
  </si>
  <si>
    <t>R0101</t>
  </si>
  <si>
    <t>ONELLI</t>
  </si>
  <si>
    <t>R8400ZAQ</t>
  </si>
  <si>
    <t>R0102</t>
  </si>
  <si>
    <t>COMALLO</t>
  </si>
  <si>
    <t>R8416ZAA</t>
  </si>
  <si>
    <t>R0104</t>
  </si>
  <si>
    <t>ING. JACOBACCI</t>
  </si>
  <si>
    <t>INGENIERO JACOBACCI</t>
  </si>
  <si>
    <t>R8418ZAA</t>
  </si>
  <si>
    <t>R0108</t>
  </si>
  <si>
    <t>MAQUINCHAO</t>
  </si>
  <si>
    <t>R8422ZAA</t>
  </si>
  <si>
    <t>R0110</t>
  </si>
  <si>
    <t>R8415ZAA</t>
  </si>
  <si>
    <t>R0114</t>
  </si>
  <si>
    <t>PILCANIYEU</t>
  </si>
  <si>
    <t>R8412ZAA</t>
  </si>
  <si>
    <t>R0118</t>
  </si>
  <si>
    <t>EL BOLSON</t>
  </si>
  <si>
    <t>R8430ZAA</t>
  </si>
  <si>
    <t>R0202</t>
  </si>
  <si>
    <t>ALLEN</t>
  </si>
  <si>
    <t>R8328ZAA</t>
  </si>
  <si>
    <t>R0204</t>
  </si>
  <si>
    <t>BARDA DEL MEDIO</t>
  </si>
  <si>
    <t>R8305ZAA</t>
  </si>
  <si>
    <t>R0206</t>
  </si>
  <si>
    <t>CATRIEL</t>
  </si>
  <si>
    <t>R8307ZAA</t>
  </si>
  <si>
    <t>R0208</t>
  </si>
  <si>
    <t>CERVANTES</t>
  </si>
  <si>
    <t>R8326ZAA</t>
  </si>
  <si>
    <t>R0210</t>
  </si>
  <si>
    <t>CHIMPAY</t>
  </si>
  <si>
    <t>R8364ZAA</t>
  </si>
  <si>
    <t>R0212</t>
  </si>
  <si>
    <t>CINCO SALTOS</t>
  </si>
  <si>
    <t>R8303ZAA</t>
  </si>
  <si>
    <t>R0214</t>
  </si>
  <si>
    <t>CIPOLLETTI</t>
  </si>
  <si>
    <t>R8324ZAA</t>
  </si>
  <si>
    <t>R0218</t>
  </si>
  <si>
    <t>CHICHINALES</t>
  </si>
  <si>
    <t>R8337ZAA</t>
  </si>
  <si>
    <t>R0220</t>
  </si>
  <si>
    <t>GRAL. FERNANDEZ ORO</t>
  </si>
  <si>
    <t>GENERAL FERNANDEZ ORO</t>
  </si>
  <si>
    <t>R8325ZAA</t>
  </si>
  <si>
    <t>R0222</t>
  </si>
  <si>
    <t>GRAL. ENRIQUE GODOY</t>
  </si>
  <si>
    <t>GENERAL ENRIQUE GODOY</t>
  </si>
  <si>
    <t>R8338ZAA</t>
  </si>
  <si>
    <t>R0224</t>
  </si>
  <si>
    <t>GRAL. ROCA</t>
  </si>
  <si>
    <t>R8332ZAA</t>
  </si>
  <si>
    <t>R0226</t>
  </si>
  <si>
    <t>ING. HUERGO</t>
  </si>
  <si>
    <t>INGENIERO HUERGO</t>
  </si>
  <si>
    <t>R8334ZAA</t>
  </si>
  <si>
    <t>R0228</t>
  </si>
  <si>
    <t>MAINQUE</t>
  </si>
  <si>
    <t>R8327ZAA</t>
  </si>
  <si>
    <t>R0230</t>
  </si>
  <si>
    <t>VILLA REGINA</t>
  </si>
  <si>
    <t>R8336ZAA</t>
  </si>
  <si>
    <t>R0232</t>
  </si>
  <si>
    <t>VILLA MANZANO</t>
  </si>
  <si>
    <t>R8308ZAA</t>
  </si>
  <si>
    <t>R0300</t>
  </si>
  <si>
    <t>VIEDMA</t>
  </si>
  <si>
    <t>R8500ZAA</t>
  </si>
  <si>
    <t>R0302</t>
  </si>
  <si>
    <t>CHOELE CHOEL</t>
  </si>
  <si>
    <t>R8360ZAA</t>
  </si>
  <si>
    <t>R0304</t>
  </si>
  <si>
    <t>LAMARQUE</t>
  </si>
  <si>
    <t>R8363ZAA</t>
  </si>
  <si>
    <t>R0306</t>
  </si>
  <si>
    <t>LUIS BELTRAN</t>
  </si>
  <si>
    <t>R8361ZAA</t>
  </si>
  <si>
    <t>R0308</t>
  </si>
  <si>
    <t>LOS MENUCOS</t>
  </si>
  <si>
    <t>R8424ZAA</t>
  </si>
  <si>
    <t>R0310</t>
  </si>
  <si>
    <t>SAN ANTONIO OESTE</t>
  </si>
  <si>
    <t>R8520ZAA</t>
  </si>
  <si>
    <t>R0312</t>
  </si>
  <si>
    <t>R8503ZAA</t>
  </si>
  <si>
    <t>R0314</t>
  </si>
  <si>
    <t>RIO COLORADO</t>
  </si>
  <si>
    <t>R8138ZAA</t>
  </si>
  <si>
    <t>R0316</t>
  </si>
  <si>
    <t>SIERRA GRANDE</t>
  </si>
  <si>
    <t>R8532ZAA</t>
  </si>
  <si>
    <t>R0318</t>
  </si>
  <si>
    <t>VALCHETA</t>
  </si>
  <si>
    <t>R8536ZAA</t>
  </si>
  <si>
    <t>R1028</t>
  </si>
  <si>
    <t>VALLE AZUL</t>
  </si>
  <si>
    <t>R8336ZAB</t>
  </si>
  <si>
    <t>R1308</t>
  </si>
  <si>
    <t>MTRO. RAMOS MEXIA</t>
  </si>
  <si>
    <t>MINISTRO RAMOS MEXIA</t>
  </si>
  <si>
    <t>R8534ZAA</t>
  </si>
  <si>
    <t>R1310</t>
  </si>
  <si>
    <t>SIERRA COLORADA</t>
  </si>
  <si>
    <t>R8535ZAA</t>
  </si>
  <si>
    <t>R1312</t>
  </si>
  <si>
    <t>LAS GRUTAS</t>
  </si>
  <si>
    <t>BALNEARIO LAS GRUTAS</t>
  </si>
  <si>
    <t>R8521ZAA</t>
  </si>
  <si>
    <t>R1316</t>
  </si>
  <si>
    <t>CNEL. BELISLE</t>
  </si>
  <si>
    <t>BELISLE CORONEL</t>
  </si>
  <si>
    <t>R8368ZAA</t>
  </si>
  <si>
    <t>R1320</t>
  </si>
  <si>
    <t>GUARDIA MITRE</t>
  </si>
  <si>
    <t>R8505ZAA</t>
  </si>
  <si>
    <t>R3068</t>
  </si>
  <si>
    <t>CIPOLLETI SUCURSAL 1</t>
  </si>
  <si>
    <t>R8324ZAH</t>
  </si>
  <si>
    <t>R3257</t>
  </si>
  <si>
    <t>BARILOCHE SUCURSAL 1</t>
  </si>
  <si>
    <t>R8400ZBC</t>
  </si>
  <si>
    <t>A0000</t>
  </si>
  <si>
    <t>SALTA</t>
  </si>
  <si>
    <t>A4400ZAA</t>
  </si>
  <si>
    <t>A0006</t>
  </si>
  <si>
    <t>AGUARAY</t>
  </si>
  <si>
    <t>A4566ZAA</t>
  </si>
  <si>
    <t>A0007</t>
  </si>
  <si>
    <t>APOLINARIO SARAVIA</t>
  </si>
  <si>
    <t>GRAL JUAN B PEYROTTI</t>
  </si>
  <si>
    <t>A4449ZAA</t>
  </si>
  <si>
    <t>A0008</t>
  </si>
  <si>
    <t>CACHI</t>
  </si>
  <si>
    <t>A4417ZAA</t>
  </si>
  <si>
    <t>A0009</t>
  </si>
  <si>
    <t>CAFAYATE</t>
  </si>
  <si>
    <t>AV GUEMES</t>
  </si>
  <si>
    <t>A4427ZAA</t>
  </si>
  <si>
    <t>A0011</t>
  </si>
  <si>
    <t>AGENCIA CAMPO QUIJANO</t>
  </si>
  <si>
    <t>CAMPO QUIJANO</t>
  </si>
  <si>
    <t>A4407ZAA</t>
  </si>
  <si>
    <t>A0013</t>
  </si>
  <si>
    <t>CERRILLOS</t>
  </si>
  <si>
    <t>A4403ZAA</t>
  </si>
  <si>
    <t>A0014</t>
  </si>
  <si>
    <t>CHICOANA</t>
  </si>
  <si>
    <t>DR ADOLFO MORILLO</t>
  </si>
  <si>
    <t>A4423ZAA</t>
  </si>
  <si>
    <t>A0015</t>
  </si>
  <si>
    <t>COLONIA SANTA ROSA</t>
  </si>
  <si>
    <t>A4531ZAA</t>
  </si>
  <si>
    <t>A0016</t>
  </si>
  <si>
    <t>EL CARRIL</t>
  </si>
  <si>
    <t>LUCIO D ANDREA</t>
  </si>
  <si>
    <t>A4421ZAA</t>
  </si>
  <si>
    <t>A0017</t>
  </si>
  <si>
    <t>EL GALPON</t>
  </si>
  <si>
    <t>A4444ZAA</t>
  </si>
  <si>
    <t>A0019</t>
  </si>
  <si>
    <t>EMBARCACION</t>
  </si>
  <si>
    <t>24 DE SEPTIEMBRE</t>
  </si>
  <si>
    <t>A4550ZAA</t>
  </si>
  <si>
    <t>A0020</t>
  </si>
  <si>
    <t>GRAL E.  MOSCONI</t>
  </si>
  <si>
    <t>AV 20 DE FEBRERO</t>
  </si>
  <si>
    <t>GENERAL ENRIQUE MOSCONI</t>
  </si>
  <si>
    <t>A4562ZAA</t>
  </si>
  <si>
    <t>A0021</t>
  </si>
  <si>
    <t>GENERAL GUEMES</t>
  </si>
  <si>
    <t>DR DOMINGO CABRED</t>
  </si>
  <si>
    <t>A4430ZAA</t>
  </si>
  <si>
    <t>A0023</t>
  </si>
  <si>
    <t>A4532ZAB</t>
  </si>
  <si>
    <t>A0024</t>
  </si>
  <si>
    <t>JOAQUIN  V GONZALEZ</t>
  </si>
  <si>
    <t>A4448ZAA</t>
  </si>
  <si>
    <t>A0025</t>
  </si>
  <si>
    <t>METAN</t>
  </si>
  <si>
    <t>CAP JOSE I SIERRA</t>
  </si>
  <si>
    <t>A4440ZAA</t>
  </si>
  <si>
    <t>A0026</t>
  </si>
  <si>
    <t>PICHANAL</t>
  </si>
  <si>
    <t>A4534ZAA</t>
  </si>
  <si>
    <t>A0027</t>
  </si>
  <si>
    <t>POCITOS</t>
  </si>
  <si>
    <t>SALVADOR MAZZA</t>
  </si>
  <si>
    <t>A4568ZAA</t>
  </si>
  <si>
    <t>A0028</t>
  </si>
  <si>
    <t>JUAN D PERON</t>
  </si>
  <si>
    <t>A4535ZAA</t>
  </si>
  <si>
    <t>A0029</t>
  </si>
  <si>
    <t>ROSARIO DE LA FRONTERA</t>
  </si>
  <si>
    <t>PROVINCIA DE SALTA</t>
  </si>
  <si>
    <t>A4190ZAA</t>
  </si>
  <si>
    <t>A0030</t>
  </si>
  <si>
    <t>ROSARIO DE  LERMA</t>
  </si>
  <si>
    <t>ROSARIO DE LERMA</t>
  </si>
  <si>
    <t>A4405ZAA</t>
  </si>
  <si>
    <t>A0031</t>
  </si>
  <si>
    <t>SAN A . DE LOS COBRES</t>
  </si>
  <si>
    <t>AV GRAL M BELGRANO</t>
  </si>
  <si>
    <t>SAN ANTONIO DE LOS COBRES</t>
  </si>
  <si>
    <t>A4411ZAA</t>
  </si>
  <si>
    <t>A0032</t>
  </si>
  <si>
    <t>A4428ZAA</t>
  </si>
  <si>
    <t>A0033</t>
  </si>
  <si>
    <t>SAN RAMON DE LA NUEVA ORAN</t>
  </si>
  <si>
    <t>AV VICENTE LOPEZ Y PLANES</t>
  </si>
  <si>
    <t>A4530ZAC</t>
  </si>
  <si>
    <t>A0035</t>
  </si>
  <si>
    <t>SECLANTAS</t>
  </si>
  <si>
    <t>GDOR ABRAHAM CORNEJO</t>
  </si>
  <si>
    <t>A4419ZAA</t>
  </si>
  <si>
    <t>A0036</t>
  </si>
  <si>
    <t>TALA</t>
  </si>
  <si>
    <t>EL TALA</t>
  </si>
  <si>
    <t>A4126ZAA</t>
  </si>
  <si>
    <t>A0037</t>
  </si>
  <si>
    <t>TARTAGAL</t>
  </si>
  <si>
    <t>A4560ZAA</t>
  </si>
  <si>
    <t>A0045</t>
  </si>
  <si>
    <t>IRUYA</t>
  </si>
  <si>
    <t>A4633ZAA</t>
  </si>
  <si>
    <t>A1056</t>
  </si>
  <si>
    <t>LA UNION</t>
  </si>
  <si>
    <t>A4535ZAB</t>
  </si>
  <si>
    <t>A1058</t>
  </si>
  <si>
    <t>LAS CAPILLAS</t>
  </si>
  <si>
    <t>A4409ZAA</t>
  </si>
  <si>
    <t>A1138</t>
  </si>
  <si>
    <t>SALTA  2</t>
  </si>
  <si>
    <t>A4402ZAA</t>
  </si>
  <si>
    <t>A1168</t>
  </si>
  <si>
    <t>LA POMA</t>
  </si>
  <si>
    <t>A4416ZAA</t>
  </si>
  <si>
    <t>A1199</t>
  </si>
  <si>
    <t>SANTA VICTORIA ESTE</t>
  </si>
  <si>
    <t>AVENIDA SALTA S/N</t>
  </si>
  <si>
    <t>A4561ZAA</t>
  </si>
  <si>
    <t>A1208</t>
  </si>
  <si>
    <t>HITO  1</t>
  </si>
  <si>
    <t>CALLE S/N</t>
  </si>
  <si>
    <t>HITO 1</t>
  </si>
  <si>
    <t>A4561ZAB</t>
  </si>
  <si>
    <t>A1217</t>
  </si>
  <si>
    <t>SALTA 4</t>
  </si>
  <si>
    <t>A4406ZAB</t>
  </si>
  <si>
    <t>A3253</t>
  </si>
  <si>
    <t>CIUDAD JUDICIAL SALTA</t>
  </si>
  <si>
    <t>AV DR BERNARDO HOUSSAY</t>
  </si>
  <si>
    <t>A4408ZAL</t>
  </si>
  <si>
    <t>A3273</t>
  </si>
  <si>
    <t>LAS LAJITAS</t>
  </si>
  <si>
    <t>A4450ZAE</t>
  </si>
  <si>
    <t>A3300</t>
  </si>
  <si>
    <t>CAYE SALTA</t>
  </si>
  <si>
    <t>R NAC 51</t>
  </si>
  <si>
    <t>A4406ZAF</t>
  </si>
  <si>
    <t>J0000</t>
  </si>
  <si>
    <t>J5402ZAA</t>
  </si>
  <si>
    <t>J0004</t>
  </si>
  <si>
    <t>SAN JUAN 4</t>
  </si>
  <si>
    <t>J5400ZAD</t>
  </si>
  <si>
    <t>J0005</t>
  </si>
  <si>
    <t>ALBARDON</t>
  </si>
  <si>
    <t>EST ALBARDON</t>
  </si>
  <si>
    <t>J5419ZAB</t>
  </si>
  <si>
    <t>J0006</t>
  </si>
  <si>
    <t>ALTO DE SIERRA</t>
  </si>
  <si>
    <t>J5438ZAA</t>
  </si>
  <si>
    <t>J0008</t>
  </si>
  <si>
    <t>ANGUALASTO</t>
  </si>
  <si>
    <t>J5467ZAA</t>
  </si>
  <si>
    <t>J0010</t>
  </si>
  <si>
    <t>BARREAL</t>
  </si>
  <si>
    <t>J5405ZAA</t>
  </si>
  <si>
    <t>J0012</t>
  </si>
  <si>
    <t>CALINGASTA</t>
  </si>
  <si>
    <t>J5403ZAA</t>
  </si>
  <si>
    <t>J0014</t>
  </si>
  <si>
    <t>CAPITAN LAZO</t>
  </si>
  <si>
    <t>J5423ZAA</t>
  </si>
  <si>
    <t>J0016</t>
  </si>
  <si>
    <t>CAUCETE</t>
  </si>
  <si>
    <t>J5442ZAA</t>
  </si>
  <si>
    <t>J0018</t>
  </si>
  <si>
    <t>CHIMBAS</t>
  </si>
  <si>
    <t>J5413ZAA</t>
  </si>
  <si>
    <t>J0020</t>
  </si>
  <si>
    <t>IGLESIA</t>
  </si>
  <si>
    <t>J5684ZAA</t>
  </si>
  <si>
    <t>J0022</t>
  </si>
  <si>
    <t>JACHAL</t>
  </si>
  <si>
    <t>J5460ZAA</t>
  </si>
  <si>
    <t>J0024</t>
  </si>
  <si>
    <t>J5458ZAA</t>
  </si>
  <si>
    <t>J0026</t>
  </si>
  <si>
    <t>MARQUESADO</t>
  </si>
  <si>
    <t>J5407ZAB</t>
  </si>
  <si>
    <t>J0028</t>
  </si>
  <si>
    <t>MEDIA AGUA</t>
  </si>
  <si>
    <t>J5435ZAA</t>
  </si>
  <si>
    <t>J0034</t>
  </si>
  <si>
    <t>RODEO</t>
  </si>
  <si>
    <t>J5465ZAA</t>
  </si>
  <si>
    <t>J0038</t>
  </si>
  <si>
    <t>J5411ZAB</t>
  </si>
  <si>
    <t>J0042</t>
  </si>
  <si>
    <t>VALLE FERTIL</t>
  </si>
  <si>
    <t>SAN AGUSTIN DEL VALLE FERTIL</t>
  </si>
  <si>
    <t>J5449ZAA</t>
  </si>
  <si>
    <t>J0044</t>
  </si>
  <si>
    <t>VILLA ABERASTAIN</t>
  </si>
  <si>
    <t>J5427ZAA</t>
  </si>
  <si>
    <t>J0046</t>
  </si>
  <si>
    <t>VILLA DEL SALVADOR</t>
  </si>
  <si>
    <t>J5415ZAA</t>
  </si>
  <si>
    <t>J0048</t>
  </si>
  <si>
    <t>VILLA KRAUSE</t>
  </si>
  <si>
    <t>J5425ZAA</t>
  </si>
  <si>
    <t>J0050</t>
  </si>
  <si>
    <t>VILLA SANTA ROSA</t>
  </si>
  <si>
    <t>J5452ZAA</t>
  </si>
  <si>
    <t>J1036</t>
  </si>
  <si>
    <t>SAN MARTÃN</t>
  </si>
  <si>
    <t>J5418ZAA</t>
  </si>
  <si>
    <t>J1058</t>
  </si>
  <si>
    <t>VILLA MERCEDES</t>
  </si>
  <si>
    <t>J5461ZAB</t>
  </si>
  <si>
    <t>J1120</t>
  </si>
  <si>
    <t>ASTICA</t>
  </si>
  <si>
    <t>J5681ZAA</t>
  </si>
  <si>
    <t>D0000</t>
  </si>
  <si>
    <t>D5702ZAA</t>
  </si>
  <si>
    <t>D0001</t>
  </si>
  <si>
    <t>SAN LUIS 1</t>
  </si>
  <si>
    <t>D5702ZAB</t>
  </si>
  <si>
    <t>D0003</t>
  </si>
  <si>
    <t>ARIZONA</t>
  </si>
  <si>
    <t>SANTA MARINA</t>
  </si>
  <si>
    <t>D6389ZAA</t>
  </si>
  <si>
    <t>D0004</t>
  </si>
  <si>
    <t>BUENA ESPERANZA</t>
  </si>
  <si>
    <t>D6277ZAA</t>
  </si>
  <si>
    <t>D0006</t>
  </si>
  <si>
    <t>D5713ZAA</t>
  </si>
  <si>
    <t>D0008</t>
  </si>
  <si>
    <t>CONCARAN</t>
  </si>
  <si>
    <t>D5770ZAA</t>
  </si>
  <si>
    <t>D0014</t>
  </si>
  <si>
    <t>JUSTO DARACT</t>
  </si>
  <si>
    <t>D5738ZAA</t>
  </si>
  <si>
    <t>D0016</t>
  </si>
  <si>
    <t>LA TOMA</t>
  </si>
  <si>
    <t>GARCIARENA</t>
  </si>
  <si>
    <t>D5750ZAA</t>
  </si>
  <si>
    <t>D0018</t>
  </si>
  <si>
    <t>D5709ZAA</t>
  </si>
  <si>
    <t>D0020</t>
  </si>
  <si>
    <t>LEON GUILLET</t>
  </si>
  <si>
    <t>D5732ZAA</t>
  </si>
  <si>
    <t>D0022</t>
  </si>
  <si>
    <t>D5732ZAB</t>
  </si>
  <si>
    <t>D0024</t>
  </si>
  <si>
    <t>CNEL NICASIO MERCAU</t>
  </si>
  <si>
    <t>D5881ZAA</t>
  </si>
  <si>
    <t>D0026</t>
  </si>
  <si>
    <t>NASCHEL</t>
  </si>
  <si>
    <t>D5759ZAA</t>
  </si>
  <si>
    <t>D0028</t>
  </si>
  <si>
    <t>NUEVA GALIA</t>
  </si>
  <si>
    <t>D6217ZAA</t>
  </si>
  <si>
    <t>D0030</t>
  </si>
  <si>
    <t>QUINES</t>
  </si>
  <si>
    <t>D5711ZAA</t>
  </si>
  <si>
    <t>D0032</t>
  </si>
  <si>
    <t>SAN FCO. DEL MONTE DE ORO</t>
  </si>
  <si>
    <t>SAN FRANCISCO DEL MONTE DE ORO</t>
  </si>
  <si>
    <t>D5705ZAA</t>
  </si>
  <si>
    <t>D0038</t>
  </si>
  <si>
    <t>LAFINUR</t>
  </si>
  <si>
    <t>D5755ZAA</t>
  </si>
  <si>
    <t>D0040</t>
  </si>
  <si>
    <t>SANTA ROSA DE CONLARA</t>
  </si>
  <si>
    <t>D5777ZAA</t>
  </si>
  <si>
    <t>D0042</t>
  </si>
  <si>
    <t>TILISARAO</t>
  </si>
  <si>
    <t>D5773ZAA</t>
  </si>
  <si>
    <t>D0044</t>
  </si>
  <si>
    <t>UNION</t>
  </si>
  <si>
    <t>AV ANTONIO DASSA</t>
  </si>
  <si>
    <t>D6219ZAA</t>
  </si>
  <si>
    <t>D0048</t>
  </si>
  <si>
    <t>VILLA REYNOLDS</t>
  </si>
  <si>
    <t>TENIENTE JORGE VAZQUEZ</t>
  </si>
  <si>
    <t>D5733ZAA</t>
  </si>
  <si>
    <t>D1032</t>
  </si>
  <si>
    <t>ESTACION ZANJITA</t>
  </si>
  <si>
    <t>ESTACION ZANJITAS</t>
  </si>
  <si>
    <t>D5721ZAA</t>
  </si>
  <si>
    <t>D1044</t>
  </si>
  <si>
    <t>LAS BARRANCAS</t>
  </si>
  <si>
    <t>D5871ZAA</t>
  </si>
  <si>
    <t>D1066</t>
  </si>
  <si>
    <t>PUERTA COLORADA</t>
  </si>
  <si>
    <t>D5771ZAA</t>
  </si>
  <si>
    <t>D1092</t>
  </si>
  <si>
    <t>VILLA GRAL ROCA</t>
  </si>
  <si>
    <t>VILLA GENERAL ROCA</t>
  </si>
  <si>
    <t>D5722ZAA</t>
  </si>
  <si>
    <t>D3090</t>
  </si>
  <si>
    <t>SAN LUIS MINI-POST</t>
  </si>
  <si>
    <t>D5700ZAB</t>
  </si>
  <si>
    <t>D3152</t>
  </si>
  <si>
    <t>CIUDAD DE LA PUNTA</t>
  </si>
  <si>
    <t>LA PUNTA</t>
  </si>
  <si>
    <t>D5710ZAA</t>
  </si>
  <si>
    <t>Z0000</t>
  </si>
  <si>
    <t>RIO GALLEGOS</t>
  </si>
  <si>
    <t>Z9400ZAA</t>
  </si>
  <si>
    <t>Z0001</t>
  </si>
  <si>
    <t>RIO GALLEGOS SUCURSAL 1</t>
  </si>
  <si>
    <t>Z9400ZAB</t>
  </si>
  <si>
    <t>Z0002</t>
  </si>
  <si>
    <t>EL CALAFATE</t>
  </si>
  <si>
    <t>Z9405ZAA</t>
  </si>
  <si>
    <t>Z0004</t>
  </si>
  <si>
    <t>CMTE. LUIS PIEDRABUENA</t>
  </si>
  <si>
    <t>COMANDANTE LUIS PIEDRABUENA</t>
  </si>
  <si>
    <t>Z9303ZAA</t>
  </si>
  <si>
    <t>Z0006</t>
  </si>
  <si>
    <t>GOBERNADOR GREGORES</t>
  </si>
  <si>
    <t>Z9311ZAA</t>
  </si>
  <si>
    <t>Z0008</t>
  </si>
  <si>
    <t>PTO. SAN JULIAN</t>
  </si>
  <si>
    <t>PUERTO SAN JULIAN</t>
  </si>
  <si>
    <t>Z9310ZAA</t>
  </si>
  <si>
    <t>Z0009</t>
  </si>
  <si>
    <t>BARRANCAS</t>
  </si>
  <si>
    <t>Z9013ZAA</t>
  </si>
  <si>
    <t>Z0010</t>
  </si>
  <si>
    <t>PUERTO SANTA CRUZ</t>
  </si>
  <si>
    <t>Z9300ZAA</t>
  </si>
  <si>
    <t>Z0013</t>
  </si>
  <si>
    <t>CALETA OLIVIA</t>
  </si>
  <si>
    <t>Z9011ZAA</t>
  </si>
  <si>
    <t>Z0016</t>
  </si>
  <si>
    <t>TRES LAGOS</t>
  </si>
  <si>
    <t>Z9301ZAA</t>
  </si>
  <si>
    <t>Z0020</t>
  </si>
  <si>
    <t>RIO TURBIO</t>
  </si>
  <si>
    <t>Z9407ZAA</t>
  </si>
  <si>
    <t>Z0022</t>
  </si>
  <si>
    <t>28 DE NOVIEMBRE</t>
  </si>
  <si>
    <t>Z9408ZAA</t>
  </si>
  <si>
    <t>Z0024</t>
  </si>
  <si>
    <t>ROSPENTEK</t>
  </si>
  <si>
    <t>Z9398ZAA</t>
  </si>
  <si>
    <t>Z0041</t>
  </si>
  <si>
    <t>Z9017ZAA</t>
  </si>
  <si>
    <t>Z0047</t>
  </si>
  <si>
    <t>LOS ANTIGUOS</t>
  </si>
  <si>
    <t>Z9041ZAA</t>
  </si>
  <si>
    <t>Z0049</t>
  </si>
  <si>
    <t>PERITO MORENO</t>
  </si>
  <si>
    <t>Z9040ZAA</t>
  </si>
  <si>
    <t>Z0051</t>
  </si>
  <si>
    <t>PICO TRUNCADO</t>
  </si>
  <si>
    <t>Z9015ZAA</t>
  </si>
  <si>
    <t>Z0053</t>
  </si>
  <si>
    <t>PUERTO DESEADO</t>
  </si>
  <si>
    <t>Z9050ZAA</t>
  </si>
  <si>
    <t>Z1112</t>
  </si>
  <si>
    <t>EL CHALTEN</t>
  </si>
  <si>
    <t>Z9301ZAB</t>
  </si>
  <si>
    <t>Z3110</t>
  </si>
  <si>
    <t>LAGO POSADAS</t>
  </si>
  <si>
    <t>H YRIGOYEN LAGO POSADAS</t>
  </si>
  <si>
    <t>Z9315ZAF</t>
  </si>
  <si>
    <t>S0000</t>
  </si>
  <si>
    <t>S3000ZAE</t>
  </si>
  <si>
    <t>S0001</t>
  </si>
  <si>
    <t>S3000ZAF</t>
  </si>
  <si>
    <t>S0002</t>
  </si>
  <si>
    <t>S3002ZAA</t>
  </si>
  <si>
    <t>S0003</t>
  </si>
  <si>
    <t>S3002ZAC</t>
  </si>
  <si>
    <t>S0004</t>
  </si>
  <si>
    <t>S3000ZAC</t>
  </si>
  <si>
    <t>S0005</t>
  </si>
  <si>
    <t>SUCURSAL 5</t>
  </si>
  <si>
    <t>S3004ZAA</t>
  </si>
  <si>
    <t>S0006</t>
  </si>
  <si>
    <t>SUCURSAL 6</t>
  </si>
  <si>
    <t>S3002ZAD</t>
  </si>
  <si>
    <t>S0007</t>
  </si>
  <si>
    <t>SUCURSAL 7</t>
  </si>
  <si>
    <t>S3004ZAB</t>
  </si>
  <si>
    <t>S0008</t>
  </si>
  <si>
    <t>SUCURSAL 8</t>
  </si>
  <si>
    <t>S3006ZAA</t>
  </si>
  <si>
    <t>S0010</t>
  </si>
  <si>
    <t>ALEJANDRA</t>
  </si>
  <si>
    <t>S3051ZAA</t>
  </si>
  <si>
    <t>S0011</t>
  </si>
  <si>
    <t>ANGELICA</t>
  </si>
  <si>
    <t>S2303ZAA</t>
  </si>
  <si>
    <t>S0012</t>
  </si>
  <si>
    <t>AROCENA</t>
  </si>
  <si>
    <t>S2242ZAA</t>
  </si>
  <si>
    <t>S0013</t>
  </si>
  <si>
    <t>ARRUFO</t>
  </si>
  <si>
    <t>S2344ZAA</t>
  </si>
  <si>
    <t>S0014</t>
  </si>
  <si>
    <t>ATALIVA</t>
  </si>
  <si>
    <t>S2307ZAB</t>
  </si>
  <si>
    <t>S0015</t>
  </si>
  <si>
    <t>S3561ZAA</t>
  </si>
  <si>
    <t>S0016</t>
  </si>
  <si>
    <t>S2246ZAA</t>
  </si>
  <si>
    <t>S0017</t>
  </si>
  <si>
    <t>BDO. DE IRIGOYEN</t>
  </si>
  <si>
    <t>ROSARIO</t>
  </si>
  <si>
    <t>S2248ZAA</t>
  </si>
  <si>
    <t>S0018</t>
  </si>
  <si>
    <t>CENTENO</t>
  </si>
  <si>
    <t>S2148ZAA</t>
  </si>
  <si>
    <t>S0020</t>
  </si>
  <si>
    <t>CALCHAQUI</t>
  </si>
  <si>
    <t>S3050ZAA</t>
  </si>
  <si>
    <t>S0022</t>
  </si>
  <si>
    <t>CAYASTA</t>
  </si>
  <si>
    <t>S3001ZAA</t>
  </si>
  <si>
    <t>S0024</t>
  </si>
  <si>
    <t>CERES</t>
  </si>
  <si>
    <t>S2340ZAA</t>
  </si>
  <si>
    <t>S0026</t>
  </si>
  <si>
    <t>CLUCELLAS</t>
  </si>
  <si>
    <t>PLAZA CLUCELLAS</t>
  </si>
  <si>
    <t>S2407ZAA</t>
  </si>
  <si>
    <t>S0028</t>
  </si>
  <si>
    <t>COLONIA BELGRANO</t>
  </si>
  <si>
    <t>S2257ZAA</t>
  </si>
  <si>
    <t>S0030</t>
  </si>
  <si>
    <t>CORONDA</t>
  </si>
  <si>
    <t>S2240ZAA</t>
  </si>
  <si>
    <t>S0032</t>
  </si>
  <si>
    <t>S2454ZAA</t>
  </si>
  <si>
    <t>S0034</t>
  </si>
  <si>
    <t>S2453ZAA</t>
  </si>
  <si>
    <t>S0036</t>
  </si>
  <si>
    <t>DIAZ</t>
  </si>
  <si>
    <t>S2222ZAA</t>
  </si>
  <si>
    <t>S0038</t>
  </si>
  <si>
    <t>ELISA</t>
  </si>
  <si>
    <t>S3029ZAA</t>
  </si>
  <si>
    <t>S0042</t>
  </si>
  <si>
    <t>ESPERANZA</t>
  </si>
  <si>
    <t>S3080ZAA</t>
  </si>
  <si>
    <t>S0044</t>
  </si>
  <si>
    <t>EL TREBOL</t>
  </si>
  <si>
    <t>S2535ZAA</t>
  </si>
  <si>
    <t>S0046</t>
  </si>
  <si>
    <t>FELICIA</t>
  </si>
  <si>
    <t>S3087ZAA</t>
  </si>
  <si>
    <t>S0048</t>
  </si>
  <si>
    <t>FLORENCIA</t>
  </si>
  <si>
    <t>S3516ZAA</t>
  </si>
  <si>
    <t>S0050</t>
  </si>
  <si>
    <t>FRANCK</t>
  </si>
  <si>
    <t>S3009ZAA</t>
  </si>
  <si>
    <t>S0052</t>
  </si>
  <si>
    <t>FRONTERA</t>
  </si>
  <si>
    <t>S2438ZAA</t>
  </si>
  <si>
    <t>S0056</t>
  </si>
  <si>
    <t>GALVEZ</t>
  </si>
  <si>
    <t>S2252ZAA</t>
  </si>
  <si>
    <t>S0058</t>
  </si>
  <si>
    <t>GESSLER</t>
  </si>
  <si>
    <t>S2253ZAA</t>
  </si>
  <si>
    <t>S0060</t>
  </si>
  <si>
    <t>GDOR. CRESPO</t>
  </si>
  <si>
    <t>GOBERNADOR CRESPO</t>
  </si>
  <si>
    <t>S3044ZAA</t>
  </si>
  <si>
    <t>S0062</t>
  </si>
  <si>
    <t>HELVECIA</t>
  </si>
  <si>
    <t>S3003ZAA</t>
  </si>
  <si>
    <t>S0064</t>
  </si>
  <si>
    <t>HERSILIA</t>
  </si>
  <si>
    <t>S2352ZAA</t>
  </si>
  <si>
    <t>S0068</t>
  </si>
  <si>
    <t>HUMBERTO PRIMO</t>
  </si>
  <si>
    <t>HUMBERTO PRIMERO</t>
  </si>
  <si>
    <t>S2309ZAA</t>
  </si>
  <si>
    <t>S0070</t>
  </si>
  <si>
    <t>HUMBOLDT</t>
  </si>
  <si>
    <t>S3081ZAA</t>
  </si>
  <si>
    <t>S0072</t>
  </si>
  <si>
    <t>S2249ZAA</t>
  </si>
  <si>
    <t>S0074</t>
  </si>
  <si>
    <t>LANDETA</t>
  </si>
  <si>
    <t>S2531ZAA</t>
  </si>
  <si>
    <t>S0076</t>
  </si>
  <si>
    <t>LA CRIOLLA</t>
  </si>
  <si>
    <t>S3052ZAA</t>
  </si>
  <si>
    <t>S0078</t>
  </si>
  <si>
    <t>LA GALLARETA</t>
  </si>
  <si>
    <t>S3057ZAA</t>
  </si>
  <si>
    <t>S0082</t>
  </si>
  <si>
    <t>LAGUNA PAIVA</t>
  </si>
  <si>
    <t>S3020ZAA</t>
  </si>
  <si>
    <t>S0084</t>
  </si>
  <si>
    <t>LAS TOSCAS</t>
  </si>
  <si>
    <t>S3586ZAA</t>
  </si>
  <si>
    <t>S0086</t>
  </si>
  <si>
    <t>LEHMANN</t>
  </si>
  <si>
    <t>S2305ZAA</t>
  </si>
  <si>
    <t>S0088</t>
  </si>
  <si>
    <t>LLAMBI CAMPBELL</t>
  </si>
  <si>
    <t>S3036ZAA</t>
  </si>
  <si>
    <t>S0090</t>
  </si>
  <si>
    <t>LOPEZ</t>
  </si>
  <si>
    <t>S2255ZAA</t>
  </si>
  <si>
    <t>S0092</t>
  </si>
  <si>
    <t>LAS PETACAS</t>
  </si>
  <si>
    <t>S2451ZAA</t>
  </si>
  <si>
    <t>S0094</t>
  </si>
  <si>
    <t>LOS CARDOS</t>
  </si>
  <si>
    <t>S2533ZAA</t>
  </si>
  <si>
    <t>S0096</t>
  </si>
  <si>
    <t>MACIEL</t>
  </si>
  <si>
    <t>S2209ZAA</t>
  </si>
  <si>
    <t>S0098</t>
  </si>
  <si>
    <t>MALABRIGO</t>
  </si>
  <si>
    <t>S3572ZAA</t>
  </si>
  <si>
    <t>S0100</t>
  </si>
  <si>
    <t>MARCELINO ESCALADA</t>
  </si>
  <si>
    <t>S3042ZAA</t>
  </si>
  <si>
    <t>S0102</t>
  </si>
  <si>
    <t>MARGARITA</t>
  </si>
  <si>
    <t>S3056ZAA</t>
  </si>
  <si>
    <t>S0104</t>
  </si>
  <si>
    <t>MARIA JUANA</t>
  </si>
  <si>
    <t>S2445ZAA</t>
  </si>
  <si>
    <t>S0106</t>
  </si>
  <si>
    <t>MOISES VILLE</t>
  </si>
  <si>
    <t>S2313ZAA</t>
  </si>
  <si>
    <t>S0108</t>
  </si>
  <si>
    <t>MARIA SUSANA</t>
  </si>
  <si>
    <t>S2527ZAA</t>
  </si>
  <si>
    <t>S0110</t>
  </si>
  <si>
    <t>MONJE</t>
  </si>
  <si>
    <t>S2212ZAA</t>
  </si>
  <si>
    <t>S0112</t>
  </si>
  <si>
    <t>NELSON</t>
  </si>
  <si>
    <t>S3032ZAA</t>
  </si>
  <si>
    <t>S0114</t>
  </si>
  <si>
    <t>PIAMONTE</t>
  </si>
  <si>
    <t>S2529ZAA</t>
  </si>
  <si>
    <t>S0116</t>
  </si>
  <si>
    <t>S3085ZAA</t>
  </si>
  <si>
    <t>S0118</t>
  </si>
  <si>
    <t>PROGRESO</t>
  </si>
  <si>
    <t>S3023ZAA</t>
  </si>
  <si>
    <t>S0122</t>
  </si>
  <si>
    <t>PUEBLO RAMONA</t>
  </si>
  <si>
    <t>RAMONA</t>
  </si>
  <si>
    <t>S2301ZAA</t>
  </si>
  <si>
    <t>S0124</t>
  </si>
  <si>
    <t>S3018ZAA</t>
  </si>
  <si>
    <t>S0126</t>
  </si>
  <si>
    <t>RAFAELA</t>
  </si>
  <si>
    <t>S2300ZAA</t>
  </si>
  <si>
    <t>S0128</t>
  </si>
  <si>
    <t>S3560ZAA</t>
  </si>
  <si>
    <t>S0130</t>
  </si>
  <si>
    <t>ROMANG</t>
  </si>
  <si>
    <t>S3555ZAA</t>
  </si>
  <si>
    <t>S0132</t>
  </si>
  <si>
    <t>SA PEREIRA</t>
  </si>
  <si>
    <t>SA PEREYRA</t>
  </si>
  <si>
    <t>S3011ZAA</t>
  </si>
  <si>
    <t>S0134</t>
  </si>
  <si>
    <t>SAN CARLOS CENTRO</t>
  </si>
  <si>
    <t>S3013ZAA</t>
  </si>
  <si>
    <t>S0136</t>
  </si>
  <si>
    <t>SAN CARLOS SUD</t>
  </si>
  <si>
    <t>S3017ZAA</t>
  </si>
  <si>
    <t>S0138</t>
  </si>
  <si>
    <t>S3070ZAA</t>
  </si>
  <si>
    <t>S0140</t>
  </si>
  <si>
    <t>SAN GUILLERMO</t>
  </si>
  <si>
    <t>S2347ZAA</t>
  </si>
  <si>
    <t>S0142</t>
  </si>
  <si>
    <t>S3005ZAA</t>
  </si>
  <si>
    <t>S0144</t>
  </si>
  <si>
    <t>SAN JERONIMO NORTE</t>
  </si>
  <si>
    <t>S3015ZAA</t>
  </si>
  <si>
    <t>S0146</t>
  </si>
  <si>
    <t>SAN JORGE</t>
  </si>
  <si>
    <t>S2452ZAA</t>
  </si>
  <si>
    <t>S0148</t>
  </si>
  <si>
    <t>SAN JOSE DEL RINCON</t>
  </si>
  <si>
    <t>S3089ZAA</t>
  </si>
  <si>
    <t>S0150</t>
  </si>
  <si>
    <t>S3040ZAA</t>
  </si>
  <si>
    <t>S0152</t>
  </si>
  <si>
    <t>SAN MARTIN DE LAS ESCOBAS</t>
  </si>
  <si>
    <t>S2449ZAA</t>
  </si>
  <si>
    <t>S0154</t>
  </si>
  <si>
    <t>S2447ZAA</t>
  </si>
  <si>
    <t>S0156</t>
  </si>
  <si>
    <t>SANTA CLARA DE LA BUENA VISTA</t>
  </si>
  <si>
    <t>SANTA CLARA DE BUENA VISTA</t>
  </si>
  <si>
    <t>S2258ZAA</t>
  </si>
  <si>
    <t>S0158</t>
  </si>
  <si>
    <t>SANTA CLARA DE SAGUIER</t>
  </si>
  <si>
    <t>S2405ZAA</t>
  </si>
  <si>
    <t>S0176</t>
  </si>
  <si>
    <t>SANTA ROSA DE CALCHINES</t>
  </si>
  <si>
    <t>S3022ZAA</t>
  </si>
  <si>
    <t>S0178</t>
  </si>
  <si>
    <t>S3016ZAA</t>
  </si>
  <si>
    <t>S0180</t>
  </si>
  <si>
    <t>S3024ZAA</t>
  </si>
  <si>
    <t>S0182</t>
  </si>
  <si>
    <t>SASTRE</t>
  </si>
  <si>
    <t>S2440ZAA</t>
  </si>
  <si>
    <t>S0184</t>
  </si>
  <si>
    <t>SUARDI</t>
  </si>
  <si>
    <t>S2349ZAA</t>
  </si>
  <si>
    <t>S0186</t>
  </si>
  <si>
    <t>SUNCHALES</t>
  </si>
  <si>
    <t>S2322ZAA</t>
  </si>
  <si>
    <t>S0188</t>
  </si>
  <si>
    <t>SAN GENARO</t>
  </si>
  <si>
    <t>S2146ZAA</t>
  </si>
  <si>
    <t>S0190</t>
  </si>
  <si>
    <t>SAN GENARO NORTE</t>
  </si>
  <si>
    <t>S2147ZAA</t>
  </si>
  <si>
    <t>S0192</t>
  </si>
  <si>
    <t>TACURAL</t>
  </si>
  <si>
    <t>S2324ZAA</t>
  </si>
  <si>
    <t>S0194</t>
  </si>
  <si>
    <t>TOSTADO</t>
  </si>
  <si>
    <t>S3060ZAA</t>
  </si>
  <si>
    <t>S0196</t>
  </si>
  <si>
    <t>VERA</t>
  </si>
  <si>
    <t>S3550ZAA</t>
  </si>
  <si>
    <t>S0198</t>
  </si>
  <si>
    <t>VERA Y PINTADO</t>
  </si>
  <si>
    <t>S3054ZAA</t>
  </si>
  <si>
    <t>S0200</t>
  </si>
  <si>
    <t>VIDELA</t>
  </si>
  <si>
    <t>S3048ZAA</t>
  </si>
  <si>
    <t>S0202</t>
  </si>
  <si>
    <t>VILA</t>
  </si>
  <si>
    <t>S2306ZAA</t>
  </si>
  <si>
    <t>S0204</t>
  </si>
  <si>
    <t>VILLA ANA</t>
  </si>
  <si>
    <t>S3583ZAA</t>
  </si>
  <si>
    <t>S0206</t>
  </si>
  <si>
    <t>VILLA GUILLERMINA</t>
  </si>
  <si>
    <t>S3589ZAA</t>
  </si>
  <si>
    <t>S0208</t>
  </si>
  <si>
    <t>VILLA OCAMPO</t>
  </si>
  <si>
    <t>S3580ZAA</t>
  </si>
  <si>
    <t>S0210</t>
  </si>
  <si>
    <t>VILLA TRINIDAD</t>
  </si>
  <si>
    <t>S2345ZAA</t>
  </si>
  <si>
    <t>S0212</t>
  </si>
  <si>
    <t>VILLA MINETTI</t>
  </si>
  <si>
    <t>S3061ZAA</t>
  </si>
  <si>
    <t>S0214</t>
  </si>
  <si>
    <t>ZENON PEREYRA</t>
  </si>
  <si>
    <t>S2409ZAA</t>
  </si>
  <si>
    <t>S0216</t>
  </si>
  <si>
    <t>PEATONAL</t>
  </si>
  <si>
    <t>S3000ZAD</t>
  </si>
  <si>
    <t>S0300</t>
  </si>
  <si>
    <t>CORREO CENTRAL ROSARIO</t>
  </si>
  <si>
    <t>S2000ZAC</t>
  </si>
  <si>
    <t>S0301</t>
  </si>
  <si>
    <t>SUCURSAL 1 ROSARIO</t>
  </si>
  <si>
    <t>S2000ZAD</t>
  </si>
  <si>
    <t>S0302</t>
  </si>
  <si>
    <t>SUCURSAL 2 ROSARIO</t>
  </si>
  <si>
    <t>S2002ZAC</t>
  </si>
  <si>
    <t>S0303</t>
  </si>
  <si>
    <t>SUCURSAL 3 ROSARIO</t>
  </si>
  <si>
    <t>S2000ZAH</t>
  </si>
  <si>
    <t>S0304</t>
  </si>
  <si>
    <t>SUCURSAL 4 ROSARIO</t>
  </si>
  <si>
    <t>S2002ZAD</t>
  </si>
  <si>
    <t>S0305</t>
  </si>
  <si>
    <t>SUCURSAL 5 ROSARIO</t>
  </si>
  <si>
    <t>S2002ZAE</t>
  </si>
  <si>
    <t>S0306</t>
  </si>
  <si>
    <t>SUCURSAL 6 ROSARIO</t>
  </si>
  <si>
    <t>S2002ZAF</t>
  </si>
  <si>
    <t>S0308</t>
  </si>
  <si>
    <t>SUCURSAL 8 ROSARIO</t>
  </si>
  <si>
    <t>S2005ZAA</t>
  </si>
  <si>
    <t>S0309</t>
  </si>
  <si>
    <t>SUCURSAL 9 ROSARIO</t>
  </si>
  <si>
    <t>S2011ZAA</t>
  </si>
  <si>
    <t>S0310</t>
  </si>
  <si>
    <t>SUCURSAL 10 ROSARIO</t>
  </si>
  <si>
    <t>S2008ZAA</t>
  </si>
  <si>
    <t>S0311</t>
  </si>
  <si>
    <t>SUCURSAL 11 ROSARIO</t>
  </si>
  <si>
    <t>S2000ZAE</t>
  </si>
  <si>
    <t>S0312</t>
  </si>
  <si>
    <t>SUCURSAL 12 ROSARIO</t>
  </si>
  <si>
    <t>S2002ZAB</t>
  </si>
  <si>
    <t>S0313</t>
  </si>
  <si>
    <t>SUCURSAL 13 ROSARIO</t>
  </si>
  <si>
    <t>S2000ZAF</t>
  </si>
  <si>
    <t>S0314</t>
  </si>
  <si>
    <t>SUCURSAL 14 ROSARIO</t>
  </si>
  <si>
    <t>S2001ZAA</t>
  </si>
  <si>
    <t>S0315</t>
  </si>
  <si>
    <t>SUCURSAL 15 ROSARIO</t>
  </si>
  <si>
    <t>S2000ZAG</t>
  </si>
  <si>
    <t>S0316</t>
  </si>
  <si>
    <t>SUCURSAL 16 ROSARIO</t>
  </si>
  <si>
    <t>S2003ZAA</t>
  </si>
  <si>
    <t>S0317</t>
  </si>
  <si>
    <t>.SUCURSAL 17 ROSARIO</t>
  </si>
  <si>
    <t>S2007ZAB</t>
  </si>
  <si>
    <t>S0318</t>
  </si>
  <si>
    <t>SUCURSAL 18 ROSARIO</t>
  </si>
  <si>
    <t>S2004ZAA</t>
  </si>
  <si>
    <t>S0319</t>
  </si>
  <si>
    <t>ACEBAL</t>
  </si>
  <si>
    <t>S2109ZAA</t>
  </si>
  <si>
    <t>S0320</t>
  </si>
  <si>
    <t>ALCORTA</t>
  </si>
  <si>
    <t>S2117ZAA</t>
  </si>
  <si>
    <t>S0321</t>
  </si>
  <si>
    <t>ALVAREZ</t>
  </si>
  <si>
    <t>S2107ZAA</t>
  </si>
  <si>
    <t>S0322</t>
  </si>
  <si>
    <t>AMENABAR</t>
  </si>
  <si>
    <t>S6103ZAA</t>
  </si>
  <si>
    <t>S0323</t>
  </si>
  <si>
    <t>AREQUITO</t>
  </si>
  <si>
    <t>S2183ZAB</t>
  </si>
  <si>
    <t>S0324</t>
  </si>
  <si>
    <t>ARMSTRONG</t>
  </si>
  <si>
    <t>S2508ZAA</t>
  </si>
  <si>
    <t>S0325</t>
  </si>
  <si>
    <t>ARROYO SECO</t>
  </si>
  <si>
    <t>S2128ZAA</t>
  </si>
  <si>
    <t>S0326</t>
  </si>
  <si>
    <t>ARTEAGA</t>
  </si>
  <si>
    <t>S2187ZAA</t>
  </si>
  <si>
    <t>S0327</t>
  </si>
  <si>
    <t>BERABEVU</t>
  </si>
  <si>
    <t>S2639ZAA</t>
  </si>
  <si>
    <t>S0328</t>
  </si>
  <si>
    <t>BIGAND</t>
  </si>
  <si>
    <t>S2177ZAA</t>
  </si>
  <si>
    <t>S0329</t>
  </si>
  <si>
    <t>BOMBAL</t>
  </si>
  <si>
    <t>S2179ZAA</t>
  </si>
  <si>
    <t>S0330</t>
  </si>
  <si>
    <t>BOUQUET</t>
  </si>
  <si>
    <t>S2523ZAA</t>
  </si>
  <si>
    <t>S0331</t>
  </si>
  <si>
    <t>S2500ZAA</t>
  </si>
  <si>
    <t>S0332</t>
  </si>
  <si>
    <t>S2635ZAA</t>
  </si>
  <si>
    <t>S0333</t>
  </si>
  <si>
    <t>CAFFERATA</t>
  </si>
  <si>
    <t>S2643ZAA</t>
  </si>
  <si>
    <t>S0334</t>
  </si>
  <si>
    <t>CAPITAN BERMUDEZ</t>
  </si>
  <si>
    <t>S2154ZAA</t>
  </si>
  <si>
    <t>S0336</t>
  </si>
  <si>
    <t>S2138ZAA</t>
  </si>
  <si>
    <t>S0338</t>
  </si>
  <si>
    <t>CARMEN</t>
  </si>
  <si>
    <t>S2618ZAA</t>
  </si>
  <si>
    <t>S0340</t>
  </si>
  <si>
    <t>CARRERAS</t>
  </si>
  <si>
    <t>S2729ZAA</t>
  </si>
  <si>
    <t>S0342</t>
  </si>
  <si>
    <t>CASILDA</t>
  </si>
  <si>
    <t>S2170ZAA</t>
  </si>
  <si>
    <t>S0344</t>
  </si>
  <si>
    <t>S2139ZAA</t>
  </si>
  <si>
    <t>S0346</t>
  </si>
  <si>
    <t>CHABAS</t>
  </si>
  <si>
    <t>S2173ZAA</t>
  </si>
  <si>
    <t>S0348</t>
  </si>
  <si>
    <t>CHOVET</t>
  </si>
  <si>
    <t>S2633ZAA</t>
  </si>
  <si>
    <t>S0352</t>
  </si>
  <si>
    <t>CORONEL BOGADO</t>
  </si>
  <si>
    <t>S2103ZAA</t>
  </si>
  <si>
    <t>S0354</t>
  </si>
  <si>
    <t>CORREA</t>
  </si>
  <si>
    <t>S2506ZAA</t>
  </si>
  <si>
    <t>S0356</t>
  </si>
  <si>
    <t>DIEGO DE ALVEAR</t>
  </si>
  <si>
    <t>S6036ZAA</t>
  </si>
  <si>
    <t>S0358</t>
  </si>
  <si>
    <t>ELORTONDO</t>
  </si>
  <si>
    <t>S2732ZAA</t>
  </si>
  <si>
    <t>S0360</t>
  </si>
  <si>
    <t>EMP. V. CONSTITUCION</t>
  </si>
  <si>
    <t>EMPALME VILLA CONSTITUCION</t>
  </si>
  <si>
    <t>S2918ZAB</t>
  </si>
  <si>
    <t>S0362</t>
  </si>
  <si>
    <t>FIGHIERA</t>
  </si>
  <si>
    <t>S2126ZAA</t>
  </si>
  <si>
    <t>S0364</t>
  </si>
  <si>
    <t>FIRMAT</t>
  </si>
  <si>
    <t>S2630ZAA</t>
  </si>
  <si>
    <t>S0366</t>
  </si>
  <si>
    <t>FRAY L. BELTRAN</t>
  </si>
  <si>
    <t>S2156ZAA</t>
  </si>
  <si>
    <t>S0368</t>
  </si>
  <si>
    <t>FUENTES</t>
  </si>
  <si>
    <t>S2123ZAA</t>
  </si>
  <si>
    <t>S0370</t>
  </si>
  <si>
    <t>FUNES</t>
  </si>
  <si>
    <t>S2132ZAA</t>
  </si>
  <si>
    <t>S0372</t>
  </si>
  <si>
    <t>GODEKEN</t>
  </si>
  <si>
    <t>S2640ZAA</t>
  </si>
  <si>
    <t>S0374</t>
  </si>
  <si>
    <t>GODOY</t>
  </si>
  <si>
    <t>S2921ZAA</t>
  </si>
  <si>
    <t>S0376</t>
  </si>
  <si>
    <t>GRANADERO BAIGORRIA</t>
  </si>
  <si>
    <t>S2152ZAA</t>
  </si>
  <si>
    <t>S0378</t>
  </si>
  <si>
    <t>HUGHES</t>
  </si>
  <si>
    <t>S2725ZAA</t>
  </si>
  <si>
    <t>S0380</t>
  </si>
  <si>
    <t>J. B. MOLINA</t>
  </si>
  <si>
    <t>JUAN B MOLINA</t>
  </si>
  <si>
    <t>S2104ZAA</t>
  </si>
  <si>
    <t>S0382</t>
  </si>
  <si>
    <t>JUNCAL</t>
  </si>
  <si>
    <t>S2723ZAA</t>
  </si>
  <si>
    <t>S0384</t>
  </si>
  <si>
    <t>LABORDEBOY</t>
  </si>
  <si>
    <t>S2726ZAA</t>
  </si>
  <si>
    <t>S0386</t>
  </si>
  <si>
    <t>LAS PAREJAS</t>
  </si>
  <si>
    <t>S2505ZAA</t>
  </si>
  <si>
    <t>S0388</t>
  </si>
  <si>
    <t>LAS ROSAS</t>
  </si>
  <si>
    <t>S2520ZAA</t>
  </si>
  <si>
    <t>S0390</t>
  </si>
  <si>
    <t>LOS MOLINOS</t>
  </si>
  <si>
    <t>S2181ZAA</t>
  </si>
  <si>
    <t>S0392</t>
  </si>
  <si>
    <t>LOS QUIRQUINCHOS</t>
  </si>
  <si>
    <t>S2637ZAA</t>
  </si>
  <si>
    <t>S0394</t>
  </si>
  <si>
    <t>MAGGIOLO</t>
  </si>
  <si>
    <t>S2622ZAA</t>
  </si>
  <si>
    <t>S0396</t>
  </si>
  <si>
    <t>MARIA TERESA</t>
  </si>
  <si>
    <t>S2609ZAA</t>
  </si>
  <si>
    <t>S0398</t>
  </si>
  <si>
    <t>MELINCUE</t>
  </si>
  <si>
    <t>S2728ZAA</t>
  </si>
  <si>
    <t>S0400</t>
  </si>
  <si>
    <t>MONTES DE OCA</t>
  </si>
  <si>
    <t>S2521ZAA</t>
  </si>
  <si>
    <t>S0402</t>
  </si>
  <si>
    <t>MURPHY</t>
  </si>
  <si>
    <t>S2601ZAA</t>
  </si>
  <si>
    <t>S0404</t>
  </si>
  <si>
    <t>OLIVEROS</t>
  </si>
  <si>
    <t>S2206ZAA</t>
  </si>
  <si>
    <t>S0406</t>
  </si>
  <si>
    <t>PAVON ARRIBA</t>
  </si>
  <si>
    <t>S2110ZAA</t>
  </si>
  <si>
    <t>S0408</t>
  </si>
  <si>
    <t>PAZ</t>
  </si>
  <si>
    <t>MAXIMO PAZ</t>
  </si>
  <si>
    <t>S2115ZAA</t>
  </si>
  <si>
    <t>S0410</t>
  </si>
  <si>
    <t>PEREZ</t>
  </si>
  <si>
    <t>S2121ZAA</t>
  </si>
  <si>
    <t>S0412</t>
  </si>
  <si>
    <t>PEYRANO</t>
  </si>
  <si>
    <t>S2113ZAA</t>
  </si>
  <si>
    <t>S0414</t>
  </si>
  <si>
    <t>PUERTO GRAL. SAN MARTIN</t>
  </si>
  <si>
    <t>PUERTO GRAL SAN MARTIN</t>
  </si>
  <si>
    <t>S2202ZAA</t>
  </si>
  <si>
    <t>S0416</t>
  </si>
  <si>
    <t>PUJATO</t>
  </si>
  <si>
    <t>S2122ZAA</t>
  </si>
  <si>
    <t>S0418</t>
  </si>
  <si>
    <t>ROLDAN</t>
  </si>
  <si>
    <t>S2134ZAA</t>
  </si>
  <si>
    <t>S0452</t>
  </si>
  <si>
    <t>RUEDA</t>
  </si>
  <si>
    <t>S2923ZAA</t>
  </si>
  <si>
    <t>S0454</t>
  </si>
  <si>
    <t>RUFINO</t>
  </si>
  <si>
    <t>S6100ZAA</t>
  </si>
  <si>
    <t>S0456</t>
  </si>
  <si>
    <t>SALTO GRANDE</t>
  </si>
  <si>
    <t>S2142ZAA</t>
  </si>
  <si>
    <t>S0458</t>
  </si>
  <si>
    <t>SAN EDUARDO</t>
  </si>
  <si>
    <t>S2615ZAA</t>
  </si>
  <si>
    <t>S0460</t>
  </si>
  <si>
    <t>SANFORD</t>
  </si>
  <si>
    <t>S2174ZAA</t>
  </si>
  <si>
    <t>S0462</t>
  </si>
  <si>
    <t>SAN GREGORIO</t>
  </si>
  <si>
    <t>S2613ZAA</t>
  </si>
  <si>
    <t>S0464</t>
  </si>
  <si>
    <t>SAN JERONIMO SUD</t>
  </si>
  <si>
    <t>S2136ZAA</t>
  </si>
  <si>
    <t>S0466</t>
  </si>
  <si>
    <t>SAN JOSE DE LA ESQUINA</t>
  </si>
  <si>
    <t>S2185ZAA</t>
  </si>
  <si>
    <t>S0468</t>
  </si>
  <si>
    <t>S2200ZAA</t>
  </si>
  <si>
    <t>S0470</t>
  </si>
  <si>
    <t>SANCTI SPIRITU</t>
  </si>
  <si>
    <t>S2617ZAA</t>
  </si>
  <si>
    <t>S0472</t>
  </si>
  <si>
    <t>SANTA ISABEL</t>
  </si>
  <si>
    <t>S2605ZAA</t>
  </si>
  <si>
    <t>S0474</t>
  </si>
  <si>
    <t>SANTA TERESA</t>
  </si>
  <si>
    <t>S2111ZAA</t>
  </si>
  <si>
    <t>S0476</t>
  </si>
  <si>
    <t>SERODINO</t>
  </si>
  <si>
    <t>S2216ZAA</t>
  </si>
  <si>
    <t>S0478</t>
  </si>
  <si>
    <t>TEODELINA</t>
  </si>
  <si>
    <t>S6009ZAA</t>
  </si>
  <si>
    <t>S0480</t>
  </si>
  <si>
    <t>TIMBUES</t>
  </si>
  <si>
    <t>S2204ZAA</t>
  </si>
  <si>
    <t>S0482</t>
  </si>
  <si>
    <t>TORTUGAS</t>
  </si>
  <si>
    <t>S2512ZAA</t>
  </si>
  <si>
    <t>S0484</t>
  </si>
  <si>
    <t>TOTORAS</t>
  </si>
  <si>
    <t>S2144ZAA</t>
  </si>
  <si>
    <t>S0486</t>
  </si>
  <si>
    <t>VENADO TUERTO</t>
  </si>
  <si>
    <t>S2600ZAA</t>
  </si>
  <si>
    <t>S0488</t>
  </si>
  <si>
    <t>S2607ZAA</t>
  </si>
  <si>
    <t>S0490</t>
  </si>
  <si>
    <t>VILLA CONSTITUCION</t>
  </si>
  <si>
    <t>S2919ZAA</t>
  </si>
  <si>
    <t>S0492</t>
  </si>
  <si>
    <t>VILLA ELOISA</t>
  </si>
  <si>
    <t>S2503ZAA</t>
  </si>
  <si>
    <t>S0494</t>
  </si>
  <si>
    <t>VILLA G. GALVEZ</t>
  </si>
  <si>
    <t>VILLA GOBERNADOR GALVEZ</t>
  </si>
  <si>
    <t>S2124ZAA</t>
  </si>
  <si>
    <t>S0496</t>
  </si>
  <si>
    <t>VILLA MUGUETA</t>
  </si>
  <si>
    <t>S2175ZAA</t>
  </si>
  <si>
    <t>S0498</t>
  </si>
  <si>
    <t>WHEELWRIGHT</t>
  </si>
  <si>
    <t>S2722ZAA</t>
  </si>
  <si>
    <t>S0500</t>
  </si>
  <si>
    <t>ZAVALLA</t>
  </si>
  <si>
    <t>S2125ZAA</t>
  </si>
  <si>
    <t>S1028</t>
  </si>
  <si>
    <t>COLONIA DOLORES</t>
  </si>
  <si>
    <t>S3045ZAA</t>
  </si>
  <si>
    <t>S1034</t>
  </si>
  <si>
    <t>COLONIA LA PENCA</t>
  </si>
  <si>
    <t>S3045ZAB</t>
  </si>
  <si>
    <t>S1056</t>
  </si>
  <si>
    <t>EMPALME SAN CARLOS</t>
  </si>
  <si>
    <t>S3007ZAA</t>
  </si>
  <si>
    <t>S1094</t>
  </si>
  <si>
    <t>LANTERI</t>
  </si>
  <si>
    <t>S3576ZAA</t>
  </si>
  <si>
    <t>S1114</t>
  </si>
  <si>
    <t>SAGUIER</t>
  </si>
  <si>
    <t>S2321ZAA</t>
  </si>
  <si>
    <t>S1134</t>
  </si>
  <si>
    <t>SAUCE VIEJO</t>
  </si>
  <si>
    <t>S3034ZAB</t>
  </si>
  <si>
    <t>S1608</t>
  </si>
  <si>
    <t>ANDINO</t>
  </si>
  <si>
    <t>S2215ZAA</t>
  </si>
  <si>
    <t>S3496</t>
  </si>
  <si>
    <t>S3000ZAA</t>
  </si>
  <si>
    <t>S3497</t>
  </si>
  <si>
    <t>S3000ZAB</t>
  </si>
  <si>
    <t>S3673</t>
  </si>
  <si>
    <t>S3000ZCH</t>
  </si>
  <si>
    <t>G0000</t>
  </si>
  <si>
    <t>SGO. DEL ESTERO</t>
  </si>
  <si>
    <t>G4200ZAA</t>
  </si>
  <si>
    <t>G0001</t>
  </si>
  <si>
    <t>G3760ZAA</t>
  </si>
  <si>
    <t>G0003</t>
  </si>
  <si>
    <t>SANTIAGO DEL ESRERO 3</t>
  </si>
  <si>
    <t>G4204ZAA</t>
  </si>
  <si>
    <t>G0004</t>
  </si>
  <si>
    <t>BANDERA</t>
  </si>
  <si>
    <t>G3064ZAA</t>
  </si>
  <si>
    <t>G0006</t>
  </si>
  <si>
    <t>BELTRAN</t>
  </si>
  <si>
    <t>G4308ZAA</t>
  </si>
  <si>
    <t>G0008</t>
  </si>
  <si>
    <t>BREA POZO</t>
  </si>
  <si>
    <t>G4313ZAA</t>
  </si>
  <si>
    <t>G0010</t>
  </si>
  <si>
    <t>CAMPO GALLO</t>
  </si>
  <si>
    <t>G3747ZAA</t>
  </si>
  <si>
    <t>G0012</t>
  </si>
  <si>
    <t>CHOYA</t>
  </si>
  <si>
    <t>G4233ZAA</t>
  </si>
  <si>
    <t>G0014</t>
  </si>
  <si>
    <t>CLODOMIRA</t>
  </si>
  <si>
    <t>G4338ZAA</t>
  </si>
  <si>
    <t>G0016</t>
  </si>
  <si>
    <t>COLONIA DORA</t>
  </si>
  <si>
    <t>G4332ZAA</t>
  </si>
  <si>
    <t>G0018</t>
  </si>
  <si>
    <t>EL CHARCO</t>
  </si>
  <si>
    <t>G4306ZAA</t>
  </si>
  <si>
    <t>G0020</t>
  </si>
  <si>
    <t>G4322ZAA</t>
  </si>
  <si>
    <t>G0022</t>
  </si>
  <si>
    <t>FRIAS</t>
  </si>
  <si>
    <t>G4230ZAA</t>
  </si>
  <si>
    <t>G0024</t>
  </si>
  <si>
    <t>FORRES</t>
  </si>
  <si>
    <t>INGENIERO FORRES</t>
  </si>
  <si>
    <t>G4312ZAA</t>
  </si>
  <si>
    <t>G0026</t>
  </si>
  <si>
    <t>GARZA</t>
  </si>
  <si>
    <t>G4324ZAA</t>
  </si>
  <si>
    <t>G0028</t>
  </si>
  <si>
    <t>GUARDIA ESCOLTA</t>
  </si>
  <si>
    <t>G3062ZAA</t>
  </si>
  <si>
    <t>G0030</t>
  </si>
  <si>
    <t>HERRERA</t>
  </si>
  <si>
    <t>G4328ZAA</t>
  </si>
  <si>
    <t>G0032</t>
  </si>
  <si>
    <t>G4334ZAA</t>
  </si>
  <si>
    <t>G0034</t>
  </si>
  <si>
    <t>LA BANDA</t>
  </si>
  <si>
    <t>G4300ZAA</t>
  </si>
  <si>
    <t>G0036</t>
  </si>
  <si>
    <t>G4205ZAA</t>
  </si>
  <si>
    <t>G0038</t>
  </si>
  <si>
    <t>G4208ZAA</t>
  </si>
  <si>
    <t>G0040</t>
  </si>
  <si>
    <t>LOS JURIES</t>
  </si>
  <si>
    <t>G3763ZAA</t>
  </si>
  <si>
    <t>G0042</t>
  </si>
  <si>
    <t>LOS TELARES</t>
  </si>
  <si>
    <t>G4321ZAA</t>
  </si>
  <si>
    <t>G0044</t>
  </si>
  <si>
    <t>MONTE QUEMADO</t>
  </si>
  <si>
    <t>G3714ZAA</t>
  </si>
  <si>
    <t>G0046</t>
  </si>
  <si>
    <t>NUEVA ESPERANZA</t>
  </si>
  <si>
    <t>G4197ZAA</t>
  </si>
  <si>
    <t>G0048</t>
  </si>
  <si>
    <t>OJO DE AGUA</t>
  </si>
  <si>
    <t>G5255ZAA</t>
  </si>
  <si>
    <t>G0050</t>
  </si>
  <si>
    <t>PAMPA DE LOS GUANACOS</t>
  </si>
  <si>
    <t>G3712ZAA</t>
  </si>
  <si>
    <t>G0052</t>
  </si>
  <si>
    <t>PINTO</t>
  </si>
  <si>
    <t>PINTO  VILLA GENERAL MITRE</t>
  </si>
  <si>
    <t>G2356ZAA</t>
  </si>
  <si>
    <t>G0054</t>
  </si>
  <si>
    <t>POZO HONDO</t>
  </si>
  <si>
    <t>G4184ZAA</t>
  </si>
  <si>
    <t>G0056</t>
  </si>
  <si>
    <t>QUIMILI</t>
  </si>
  <si>
    <t>G3740ZAA</t>
  </si>
  <si>
    <t>G0058</t>
  </si>
  <si>
    <t>G4238ZAA</t>
  </si>
  <si>
    <t>G0064</t>
  </si>
  <si>
    <t>SELVA</t>
  </si>
  <si>
    <t>G2354ZAA</t>
  </si>
  <si>
    <t>G0066</t>
  </si>
  <si>
    <t>SOL DE JULIO</t>
  </si>
  <si>
    <t>G5255ZAB</t>
  </si>
  <si>
    <t>G0068</t>
  </si>
  <si>
    <t>SUMAMPA</t>
  </si>
  <si>
    <t>G5253ZAA</t>
  </si>
  <si>
    <t>G0070</t>
  </si>
  <si>
    <t>SUNCHO CORRAL</t>
  </si>
  <si>
    <t>G4350ZAA</t>
  </si>
  <si>
    <t>G0074</t>
  </si>
  <si>
    <t>TERMAS DE RIO HONDO</t>
  </si>
  <si>
    <t>G4220ZAA</t>
  </si>
  <si>
    <t>G0076</t>
  </si>
  <si>
    <t>TINTINA</t>
  </si>
  <si>
    <t>G3743ZAA</t>
  </si>
  <si>
    <t>G0078</t>
  </si>
  <si>
    <t>VILLA ATAMISQUI</t>
  </si>
  <si>
    <t>G4317ZAA</t>
  </si>
  <si>
    <t>G0082</t>
  </si>
  <si>
    <t>VINARÃ</t>
  </si>
  <si>
    <t>VINARA</t>
  </si>
  <si>
    <t>G4223ZAA</t>
  </si>
  <si>
    <t>G1038</t>
  </si>
  <si>
    <t>BANDERA BAJADA</t>
  </si>
  <si>
    <t>G4301ZAA</t>
  </si>
  <si>
    <t>G1040</t>
  </si>
  <si>
    <t>BARRANCA COLORADA</t>
  </si>
  <si>
    <t>G4313ZAB</t>
  </si>
  <si>
    <t>G1138</t>
  </si>
  <si>
    <t>LA COSTOSA</t>
  </si>
  <si>
    <t>G4187ZAB</t>
  </si>
  <si>
    <t>G1158</t>
  </si>
  <si>
    <t>LAS LOMAS</t>
  </si>
  <si>
    <t>G4189ZAA</t>
  </si>
  <si>
    <t>G1274</t>
  </si>
  <si>
    <t>G4300ZAB</t>
  </si>
  <si>
    <t>G1336</t>
  </si>
  <si>
    <t>SALAVINA</t>
  </si>
  <si>
    <t>VILLA SALAVINA</t>
  </si>
  <si>
    <t>G4319ZAB</t>
  </si>
  <si>
    <t>G3056</t>
  </si>
  <si>
    <t>TRIBUNALES</t>
  </si>
  <si>
    <t>G4200ZAC</t>
  </si>
  <si>
    <t>V0002</t>
  </si>
  <si>
    <t>RIO GRANDE</t>
  </si>
  <si>
    <t>TIERRA DEL FUEGO</t>
  </si>
  <si>
    <t>V9420ZAA</t>
  </si>
  <si>
    <t>V0004</t>
  </si>
  <si>
    <t>USHUAIA</t>
  </si>
  <si>
    <t>V9410ZAA</t>
  </si>
  <si>
    <t>V3089</t>
  </si>
  <si>
    <t>TOLHUIN</t>
  </si>
  <si>
    <t>V9412ZAB</t>
  </si>
  <si>
    <t>T0000</t>
  </si>
  <si>
    <t>SAN MIGUEL DE TUCUMAN</t>
  </si>
  <si>
    <t>T4000ZAF</t>
  </si>
  <si>
    <t>T0001</t>
  </si>
  <si>
    <t>TUCUMAN 1</t>
  </si>
  <si>
    <t>T4000ZAB</t>
  </si>
  <si>
    <t>T0002</t>
  </si>
  <si>
    <t>TUCUMAN 2</t>
  </si>
  <si>
    <t>T4002ZAA</t>
  </si>
  <si>
    <t>T0003</t>
  </si>
  <si>
    <t>TUCUMAN 3</t>
  </si>
  <si>
    <t>T4002ZAB</t>
  </si>
  <si>
    <t>T0004</t>
  </si>
  <si>
    <t>AGUILARES</t>
  </si>
  <si>
    <t>T4152ZAA</t>
  </si>
  <si>
    <t>T0005</t>
  </si>
  <si>
    <t>ALDERETES</t>
  </si>
  <si>
    <t>T4178ZAA</t>
  </si>
  <si>
    <t>T0006</t>
  </si>
  <si>
    <t>AMAICHA DEL VALLE</t>
  </si>
  <si>
    <t>T4137ZAA</t>
  </si>
  <si>
    <t>T0008</t>
  </si>
  <si>
    <t>BDA. DE RIO SALI</t>
  </si>
  <si>
    <t>BANDA DEL RIO SALI</t>
  </si>
  <si>
    <t>T4109ZAA</t>
  </si>
  <si>
    <t>T0010</t>
  </si>
  <si>
    <t>T4168ZAA</t>
  </si>
  <si>
    <t>T0014</t>
  </si>
  <si>
    <t>BURRUYACU</t>
  </si>
  <si>
    <t>T4119ZAA</t>
  </si>
  <si>
    <t>T0016</t>
  </si>
  <si>
    <t>C. DEL VALLE</t>
  </si>
  <si>
    <t>COLALAO DEL VALLE</t>
  </si>
  <si>
    <t>T4141ZAA</t>
  </si>
  <si>
    <t>T0018</t>
  </si>
  <si>
    <t>T4146ZAA</t>
  </si>
  <si>
    <t>T0020</t>
  </si>
  <si>
    <t>FAMAILLA</t>
  </si>
  <si>
    <t>T4132ZAA</t>
  </si>
  <si>
    <t>T0022</t>
  </si>
  <si>
    <t>GRANEROS</t>
  </si>
  <si>
    <t>T4159ZAA</t>
  </si>
  <si>
    <t>T0024</t>
  </si>
  <si>
    <t>ING. SANTA ANA</t>
  </si>
  <si>
    <t>T4155ZAA</t>
  </si>
  <si>
    <t>T0026</t>
  </si>
  <si>
    <t>ING. SANTA LUCIA</t>
  </si>
  <si>
    <t>T4135ZAA</t>
  </si>
  <si>
    <t>T0028</t>
  </si>
  <si>
    <t>T4161ZAA</t>
  </si>
  <si>
    <t>T0030</t>
  </si>
  <si>
    <t>LA COCHA</t>
  </si>
  <si>
    <t>T4162ZAA</t>
  </si>
  <si>
    <t>T0032</t>
  </si>
  <si>
    <t>LAMADRID</t>
  </si>
  <si>
    <t>T4176ZAA</t>
  </si>
  <si>
    <t>T0034</t>
  </si>
  <si>
    <t>LA RAMADA</t>
  </si>
  <si>
    <t>T4123ZAA</t>
  </si>
  <si>
    <t>T0036</t>
  </si>
  <si>
    <t>LAS CEJAS</t>
  </si>
  <si>
    <t>T4186ZAA</t>
  </si>
  <si>
    <t>T0038</t>
  </si>
  <si>
    <t>LEALES</t>
  </si>
  <si>
    <t>T4113ZAB</t>
  </si>
  <si>
    <t>T0040</t>
  </si>
  <si>
    <t>LOS RALOS</t>
  </si>
  <si>
    <t>T4182ZAA</t>
  </si>
  <si>
    <t>T0042</t>
  </si>
  <si>
    <t>LULES</t>
  </si>
  <si>
    <t>T4128ZAA</t>
  </si>
  <si>
    <t>T0044</t>
  </si>
  <si>
    <t>LAS TALITAS</t>
  </si>
  <si>
    <t>T4101ZAA</t>
  </si>
  <si>
    <t>T0046</t>
  </si>
  <si>
    <t>MANANTIAL</t>
  </si>
  <si>
    <t>EL MANANTIAL</t>
  </si>
  <si>
    <t>T4104ZAA</t>
  </si>
  <si>
    <t>T0048</t>
  </si>
  <si>
    <t>MONTEAGUDO</t>
  </si>
  <si>
    <t>T4174ZAA</t>
  </si>
  <si>
    <t>T0050</t>
  </si>
  <si>
    <t>MONTEROS</t>
  </si>
  <si>
    <t>T4142ZAA</t>
  </si>
  <si>
    <t>T0052</t>
  </si>
  <si>
    <t>LA FLORIDA</t>
  </si>
  <si>
    <t>T4117ZAA</t>
  </si>
  <si>
    <t>T0060</t>
  </si>
  <si>
    <t>SAN PABLO</t>
  </si>
  <si>
    <t>T4129ZAA</t>
  </si>
  <si>
    <t>T0062</t>
  </si>
  <si>
    <t>SAN P.DE COLALAO</t>
  </si>
  <si>
    <t>SAN PEDRO DE COLALAO</t>
  </si>
  <si>
    <t>T4124ZAA</t>
  </si>
  <si>
    <t>T0064</t>
  </si>
  <si>
    <t>SIMOCA</t>
  </si>
  <si>
    <t>T4172ZAA</t>
  </si>
  <si>
    <t>T0066</t>
  </si>
  <si>
    <t>TACO RALO</t>
  </si>
  <si>
    <t>T4242ZAA</t>
  </si>
  <si>
    <t>T0068</t>
  </si>
  <si>
    <t>TAFI DEL VALLE</t>
  </si>
  <si>
    <t>T4140ZAA</t>
  </si>
  <si>
    <t>T0070</t>
  </si>
  <si>
    <t>TAFI VIEJO</t>
  </si>
  <si>
    <t>T4103ZAA</t>
  </si>
  <si>
    <t>T0072</t>
  </si>
  <si>
    <t>TRANCAS</t>
  </si>
  <si>
    <t>T4124ZAB</t>
  </si>
  <si>
    <t>T0074</t>
  </si>
  <si>
    <t>V. LA TRINIDAD</t>
  </si>
  <si>
    <t>VILLA LA TRINIDAD</t>
  </si>
  <si>
    <t>T4151ZAA</t>
  </si>
  <si>
    <t>T0076</t>
  </si>
  <si>
    <t>V. QUINTEROS</t>
  </si>
  <si>
    <t>VILLA QUINTEROS</t>
  </si>
  <si>
    <t>T4144ZAA</t>
  </si>
  <si>
    <t>T0078</t>
  </si>
  <si>
    <t>YERBA BUENA</t>
  </si>
  <si>
    <t>T4107ZAA</t>
  </si>
  <si>
    <t>T1018</t>
  </si>
  <si>
    <t>RANCHILLOS</t>
  </si>
  <si>
    <t>T4179ZAA</t>
  </si>
  <si>
    <t>T1149</t>
  </si>
  <si>
    <t>AGUA DULCE</t>
  </si>
  <si>
    <t>T4115ZAA</t>
  </si>
  <si>
    <t>T1159</t>
  </si>
  <si>
    <t>EL SIAMBON</t>
  </si>
  <si>
    <t>T4105ZAB</t>
  </si>
  <si>
    <t>T1208</t>
  </si>
  <si>
    <t>NUEVA TRINIDAD</t>
  </si>
  <si>
    <t>T4157ZAB</t>
  </si>
  <si>
    <t>T1282</t>
  </si>
  <si>
    <t>TUCUMAN TRIBUNALES</t>
  </si>
  <si>
    <t>T4002ZAC</t>
  </si>
  <si>
    <t>Remitente</t>
  </si>
  <si>
    <t xml:space="preserve">CUIT: </t>
  </si>
  <si>
    <t xml:space="preserve">CUENTA: </t>
  </si>
  <si>
    <t>Venta:</t>
  </si>
  <si>
    <t>Encomienda con entrega A DOMICILIO</t>
  </si>
  <si>
    <t>DESTINATARIO</t>
  </si>
  <si>
    <t>DNI - CUIT:</t>
  </si>
  <si>
    <t>CP:</t>
  </si>
  <si>
    <t xml:space="preserve">TELEFONO: </t>
  </si>
  <si>
    <t>Concepto</t>
  </si>
  <si>
    <t>Detalle</t>
  </si>
  <si>
    <t>CUENTA</t>
  </si>
  <si>
    <t>DENOMINACION O RAZON SOCIAL</t>
  </si>
  <si>
    <t>RERDA S.A.</t>
  </si>
  <si>
    <t>CUIT</t>
  </si>
  <si>
    <t>San Martín</t>
  </si>
  <si>
    <t>NUMERO</t>
  </si>
  <si>
    <t>CIUDAD</t>
  </si>
  <si>
    <t>CP</t>
  </si>
  <si>
    <t>E-MAIL</t>
  </si>
  <si>
    <t>ventas@rerda.com</t>
  </si>
  <si>
    <t>TELEFONO</t>
  </si>
  <si>
    <t>0261-4256567 | +549 2615117948</t>
  </si>
  <si>
    <t>Encomienda A SUCURSAL</t>
  </si>
  <si>
    <t>SE RETIRA EN SUCURSAL</t>
  </si>
  <si>
    <t>NO se debe cobrar POSTE RESTANTE</t>
  </si>
  <si>
    <t>POSTE</t>
  </si>
  <si>
    <t>RESTANTE</t>
  </si>
  <si>
    <t>TELEFONO:</t>
  </si>
  <si>
    <t>SUCURSAL 1 MENDOZA - M0001</t>
  </si>
  <si>
    <t>Encomienda A SUCURSAL con PAGO EN DESTINO</t>
  </si>
  <si>
    <t>SE RETIRA Y ABONA EN SUCURSAL</t>
  </si>
  <si>
    <t>SUC</t>
  </si>
  <si>
    <t>C.A.B.A.</t>
  </si>
  <si>
    <t>CATEGORIA</t>
  </si>
  <si>
    <t>PARTIDO</t>
  </si>
  <si>
    <t>CAPITAL</t>
  </si>
  <si>
    <t>ANTA</t>
  </si>
  <si>
    <t>ORAN</t>
  </si>
  <si>
    <t>LOS ANDES</t>
  </si>
  <si>
    <t>MOLINOS</t>
  </si>
  <si>
    <t>LA CANDELARIA</t>
  </si>
  <si>
    <t>TRES DE FEBRERO</t>
  </si>
  <si>
    <t>LA MATANZA</t>
  </si>
  <si>
    <t>ESTEBAN ECHEVERRIA</t>
  </si>
  <si>
    <t>TORDILLO</t>
  </si>
  <si>
    <t>PRESIDENTE PERON</t>
  </si>
  <si>
    <t>LA COSTA</t>
  </si>
  <si>
    <t>MONTE</t>
  </si>
  <si>
    <t>GENERAL VIAMONTE</t>
  </si>
  <si>
    <t>EXALTACION DE LA CRUZ</t>
  </si>
  <si>
    <t>PATAGONES</t>
  </si>
  <si>
    <t>VILLARINO</t>
  </si>
  <si>
    <t>CORONEL ROSALES</t>
  </si>
  <si>
    <t>ADOLFO ALSINA</t>
  </si>
  <si>
    <t>GENERAL PUEYRREDON</t>
  </si>
  <si>
    <t>GENERAL ALVARADO</t>
  </si>
  <si>
    <t>MAR CHIQUITA</t>
  </si>
  <si>
    <t>GENERAL PAZ</t>
  </si>
  <si>
    <t>JUAN MARTIN DE PUEYRREDON</t>
  </si>
  <si>
    <t>GOBERNADOR DUPUY</t>
  </si>
  <si>
    <t>GENERAL PEDERNERA</t>
  </si>
  <si>
    <t>LIBERTADOR GENERAL SAN MARTIN</t>
  </si>
  <si>
    <t>ISLAS DEL IBICUY</t>
  </si>
  <si>
    <t>FELICIANO</t>
  </si>
  <si>
    <t>ARAUCO</t>
  </si>
  <si>
    <t>CORONEL FELIPE VARELA</t>
  </si>
  <si>
    <t>GENERAL JUAN FACUNDO QUIROGA</t>
  </si>
  <si>
    <t>GENERAL OCAMPO</t>
  </si>
  <si>
    <t>SAN BLAS DE LOS SAUCES</t>
  </si>
  <si>
    <t>SANAGASTA</t>
  </si>
  <si>
    <t>TABOADA</t>
  </si>
  <si>
    <t>ROBLES</t>
  </si>
  <si>
    <t>BANDA</t>
  </si>
  <si>
    <t>JIMENEZ</t>
  </si>
  <si>
    <t>COPO</t>
  </si>
  <si>
    <t>AGUIRRE</t>
  </si>
  <si>
    <t>QUEBRACHOS</t>
  </si>
  <si>
    <t>JUAN F IBARRA</t>
  </si>
  <si>
    <t>RIO HONDO</t>
  </si>
  <si>
    <t>ATAMISQUI</t>
  </si>
  <si>
    <t>FIGUEROA</t>
  </si>
  <si>
    <t>SARGENTO CABRAL</t>
  </si>
  <si>
    <t>MAYOR LUIS J FONTANA</t>
  </si>
  <si>
    <t>LIBERTADOR GRAL SAN MARTIN</t>
  </si>
  <si>
    <t>GENERAL DONOVAN</t>
  </si>
  <si>
    <t>COMANDANTE FERNANDEZ</t>
  </si>
  <si>
    <t>FRAY JUSTO SANTA MARIA DE ORO</t>
  </si>
  <si>
    <t>TAPENAGA</t>
  </si>
  <si>
    <t>POCITO</t>
  </si>
  <si>
    <t>ANGACO</t>
  </si>
  <si>
    <t>CAPAYAN</t>
  </si>
  <si>
    <t>AMBATO</t>
  </si>
  <si>
    <t>PACLIN</t>
  </si>
  <si>
    <t>FRAY MAMERTO ESQUIU</t>
  </si>
  <si>
    <t>CHAPALEUFU</t>
  </si>
  <si>
    <t>HUCAL</t>
  </si>
  <si>
    <t>ATREUCO</t>
  </si>
  <si>
    <t>CONHELO</t>
  </si>
  <si>
    <t>UTRACAN</t>
  </si>
  <si>
    <t>MARACO</t>
  </si>
  <si>
    <t>LOVENTUE</t>
  </si>
  <si>
    <t>PUELEN</t>
  </si>
  <si>
    <t>GUAYMALLEN</t>
  </si>
  <si>
    <t>CAINGUAS</t>
  </si>
  <si>
    <t>GENERAL MANUEL BELGRANO</t>
  </si>
  <si>
    <t>GUARANI</t>
  </si>
  <si>
    <t>PILCOMAYO</t>
  </si>
  <si>
    <t>PILAGAS</t>
  </si>
  <si>
    <t>LAISHI</t>
  </si>
  <si>
    <t>MATACOS</t>
  </si>
  <si>
    <t>CONFLUENCIA</t>
  </si>
  <si>
    <t>MINAS</t>
  </si>
  <si>
    <t>PICUNCHES</t>
  </si>
  <si>
    <t>PEHUENCHES</t>
  </si>
  <si>
    <t>HUILICHES</t>
  </si>
  <si>
    <t>LACAR</t>
  </si>
  <si>
    <t>LOS LAGOS</t>
  </si>
  <si>
    <t>COLLON CURA</t>
  </si>
  <si>
    <t>BARILOCHE</t>
  </si>
  <si>
    <t>SAN ANTONIO</t>
  </si>
  <si>
    <t>PICHI MAHUIDA</t>
  </si>
  <si>
    <t>EL CUY</t>
  </si>
  <si>
    <t>LA CAPITAL</t>
  </si>
  <si>
    <t>CASTELLANOS</t>
  </si>
  <si>
    <t>SAN JERONIMO</t>
  </si>
  <si>
    <t>GENERAL OBLIGADO</t>
  </si>
  <si>
    <t>GARAY</t>
  </si>
  <si>
    <t>LAS COLONIAS</t>
  </si>
  <si>
    <t>GENERAL LOPEZ</t>
  </si>
  <si>
    <t>IRIONDO</t>
  </si>
  <si>
    <t>RIO CHICO</t>
  </si>
  <si>
    <t>CHICLIGASTA</t>
  </si>
  <si>
    <t>ESCALANTE</t>
  </si>
  <si>
    <t>RIO SENGUER</t>
  </si>
  <si>
    <t>FUTALEUFU</t>
  </si>
  <si>
    <t>TEHUELCHES</t>
  </si>
  <si>
    <t>CUSHAMEN</t>
  </si>
  <si>
    <t>BIEDMA</t>
  </si>
  <si>
    <t>PUNILLA</t>
  </si>
  <si>
    <t>ISCHILIN</t>
  </si>
  <si>
    <t>TOTORAL</t>
  </si>
  <si>
    <t>CALAMUCHITA</t>
  </si>
  <si>
    <t>SAN ALBERTO</t>
  </si>
  <si>
    <t>POCHO</t>
  </si>
  <si>
    <t>TULUMBA</t>
  </si>
  <si>
    <t>RIO SECO</t>
  </si>
  <si>
    <t>SOBREMONTE</t>
  </si>
  <si>
    <t>JUAREZ CELMAN</t>
  </si>
  <si>
    <t>TERCERO ARRIBA</t>
  </si>
  <si>
    <t>COCHINOCA</t>
  </si>
  <si>
    <t>LEDESMA</t>
  </si>
  <si>
    <t>YAVI</t>
  </si>
  <si>
    <t>SANTA BARBARA</t>
  </si>
  <si>
    <t>SUSQUES</t>
  </si>
  <si>
    <t>GUER AIKE</t>
  </si>
  <si>
    <t>LAGO ARGENTINO</t>
  </si>
  <si>
    <t>CORPEN AIKE</t>
  </si>
  <si>
    <t>MAGALLANES</t>
  </si>
  <si>
    <t>DESEADO</t>
  </si>
  <si>
    <t>LAGO BUENOS AIRES</t>
  </si>
  <si>
    <t>AGEN CORBATA SPECIAL SEG</t>
  </si>
  <si>
    <t>1120294</t>
  </si>
  <si>
    <t>BOMB CLAS GAB NEGRA STAR</t>
  </si>
  <si>
    <t>1120774</t>
  </si>
  <si>
    <t>PANT NEGRO CON VIVO BLANCO STAR</t>
  </si>
  <si>
    <t>REMERA MC SIN CIERRE NEGR CHUBUT 3XL/5XL</t>
  </si>
  <si>
    <t>2103091</t>
  </si>
  <si>
    <t>CHOMBA STAR</t>
  </si>
  <si>
    <t>2103530</t>
  </si>
  <si>
    <t>TRICOTA STAR</t>
  </si>
  <si>
    <t>2849549</t>
  </si>
  <si>
    <t>HEBILLA PLASTICA URBANA GRANDE 5494-3</t>
  </si>
  <si>
    <t>3101949</t>
  </si>
  <si>
    <t>CONJUNTO 1RA PIEL NEG/VER ART 0948532016</t>
  </si>
  <si>
    <t>4120500</t>
  </si>
  <si>
    <t>CAMISA ML BAT BLANCA STAR 34/44</t>
  </si>
  <si>
    <t>4120501</t>
  </si>
  <si>
    <t>CAMISA ML BAT BLANCA STAR 46/50</t>
  </si>
  <si>
    <t>4120505</t>
  </si>
  <si>
    <t>CAMISA MC BAT BLANCA STAR 34/44</t>
  </si>
  <si>
    <t>4120506</t>
  </si>
  <si>
    <t>CAMISA MC BAT BLANCA STAR 46/50</t>
  </si>
  <si>
    <t>GARIBALDINA MAO RIP DIG SELVA 3XS/2XL</t>
  </si>
  <si>
    <t>5101012</t>
  </si>
  <si>
    <t>GARIBALDINA MAO RIP DIG SELVA 3XL/5XL</t>
  </si>
  <si>
    <t>CAMP POLAR AZ/NJ LIDERAR RER</t>
  </si>
  <si>
    <t>5101571</t>
  </si>
  <si>
    <t>CAMP TERMICO STAR SEGURIDAD</t>
  </si>
  <si>
    <t>7700702</t>
  </si>
  <si>
    <t>INSIG BLANCA CABO P/COLGAR RER</t>
  </si>
  <si>
    <t>7700703</t>
  </si>
  <si>
    <t>INSIG BLANCA CABO 1RO  P/COLGAR RER</t>
  </si>
  <si>
    <t>7700704</t>
  </si>
  <si>
    <t>INSIG BLANCA SARGENTO 1RO P/COLGAR RER</t>
  </si>
  <si>
    <t>7700705</t>
  </si>
  <si>
    <t>INSIG BLANCA SARGENTO AYTE P/COLGAR RER</t>
  </si>
  <si>
    <t>7703250</t>
  </si>
  <si>
    <t>HOMB ROJA CABO RER</t>
  </si>
  <si>
    <t>7703251</t>
  </si>
  <si>
    <t>HOMB ROJA CABO 1RO RER</t>
  </si>
  <si>
    <t>7703252</t>
  </si>
  <si>
    <t>HOMB ROJA SARGENTO RER</t>
  </si>
  <si>
    <t>7703253</t>
  </si>
  <si>
    <t>HOMB ROJA SARGENTO 1RO RER</t>
  </si>
  <si>
    <t>7703254</t>
  </si>
  <si>
    <t>HOMB ROJA SARGENTO AYTE RER</t>
  </si>
  <si>
    <t>7703255</t>
  </si>
  <si>
    <t>HOMB ROJA SUB OF PPAL RER</t>
  </si>
  <si>
    <t>7703256</t>
  </si>
  <si>
    <t>HOMB ROJA SUB OF MAYOR RER</t>
  </si>
  <si>
    <t>7707715</t>
  </si>
  <si>
    <t>METAL ROSETON Y/O EST MAYOR AZUL</t>
  </si>
  <si>
    <t>7709060</t>
  </si>
  <si>
    <t>APLIQUE ESPALDA BORD EMOP GRANDE</t>
  </si>
  <si>
    <t>7709438</t>
  </si>
  <si>
    <t>ESC BORD JUJUY POLICIA BAJA V</t>
  </si>
  <si>
    <t>BORCEGUI TACTICO AK 2297</t>
  </si>
  <si>
    <t>BOINA DE LANA TERMOFORMADA</t>
  </si>
  <si>
    <t>8400005</t>
  </si>
  <si>
    <t>GORRITA STAR</t>
  </si>
  <si>
    <t>GORRITA BEISBOL CAMUFLADAS 2280</t>
  </si>
  <si>
    <t>8400051</t>
  </si>
  <si>
    <t>GORRITA RIO NEGRO CUERPO DE BOMBEROS</t>
  </si>
  <si>
    <t>8503092</t>
  </si>
  <si>
    <t>ESCUDO BRAZO ABAT</t>
  </si>
  <si>
    <t>8503332</t>
  </si>
  <si>
    <t>KIT RODILLERAS Y CODERAS BEIGE 2332</t>
  </si>
  <si>
    <t>LINTERNA RECARG USB CON CLIP 5621-1</t>
  </si>
  <si>
    <t>NAVAJA KARAMBIT TACTICA DA46</t>
  </si>
  <si>
    <t>LINTERNA CON BALIZA RECARG. 0658</t>
  </si>
  <si>
    <t>NAVAJA GRIS INOX 2110 16CM</t>
  </si>
  <si>
    <t>MOSQUETON POLIM PLASTICO 2072</t>
  </si>
  <si>
    <t>NAVAJA JEEP GRIS 21CM DA132</t>
  </si>
  <si>
    <t>NAVAJA 2100 GRIS/MADERA BROWNING</t>
  </si>
  <si>
    <t>8520986</t>
  </si>
  <si>
    <t>LAPICERA TACTICA KUBOTAN B3</t>
  </si>
  <si>
    <t>CUCHILLO DA1 FUNDA NEGRA</t>
  </si>
  <si>
    <t>NAVAJA BROWNING DA73-1 IMP 01</t>
  </si>
  <si>
    <t>8521307</t>
  </si>
  <si>
    <t>NAVAJA CHONGMING IMP 2022</t>
  </si>
  <si>
    <t>CARPA 3 PERS 16986-1</t>
  </si>
  <si>
    <t>CARPA 16986-3</t>
  </si>
  <si>
    <t>CARPA CAMPING A03</t>
  </si>
  <si>
    <t>8612122</t>
  </si>
  <si>
    <t>GAZEBO PLEGABLE 3X3 AUTOMATICO</t>
  </si>
  <si>
    <t>COLCHON INFLABLE AVENLI 1 PLAZA 20411</t>
  </si>
  <si>
    <t>8614016</t>
  </si>
  <si>
    <t>COLCHON INFLABLE AVENLI 2 PLAZA 20256</t>
  </si>
  <si>
    <t>CAMPING CARPA DE EMERGENCIA 4319</t>
  </si>
  <si>
    <t>CAMPING INFLADOR 68612</t>
  </si>
  <si>
    <t>BOLSA DORMIR KC-003-2</t>
  </si>
  <si>
    <t>8692231</t>
  </si>
  <si>
    <t>BOLSA DE DORMIR KC-008-4</t>
  </si>
  <si>
    <t>8692232</t>
  </si>
  <si>
    <t>BOLSA DE DORMIR KC-002-1</t>
  </si>
  <si>
    <t>8692233</t>
  </si>
  <si>
    <t>BOLSA DE DORMIR KC016</t>
  </si>
  <si>
    <t>PIST. NIVEL 2 MULTIMARCA 2070-1</t>
  </si>
  <si>
    <t>PORTA HANDY MOLLE EZ</t>
  </si>
  <si>
    <t>PORTA CARGADOR DOBLE TERMO MOLLE EZ</t>
  </si>
  <si>
    <t>PORTA CARG SIMPLE MOLLE EZ</t>
  </si>
  <si>
    <t>PORTA ESPOSAS TACTICO POLIMERO REGUL2079</t>
  </si>
  <si>
    <t>PORTA ESPOSAS SIST MOLLE EZ</t>
  </si>
  <si>
    <t>MOCHILA MOLLE MZ-RJ-A12</t>
  </si>
  <si>
    <t>8708304</t>
  </si>
  <si>
    <t>MOCHILA MOLLE MEDIANA 2304A</t>
  </si>
  <si>
    <t>8708310</t>
  </si>
  <si>
    <t>MOCHILA TACTICA MOLLE 2310</t>
  </si>
  <si>
    <t>8708323</t>
  </si>
  <si>
    <t>MORRAL TACTICO CIERRE CRUZADO 2323</t>
  </si>
  <si>
    <t>8708774</t>
  </si>
  <si>
    <t>MORRAL TACTICO MOLLE C/ELASTICO 0774-78</t>
  </si>
  <si>
    <t>8857004</t>
  </si>
  <si>
    <t>SECAPLATO ESCURRIDOR AC INOX 004-2</t>
  </si>
  <si>
    <t>Firma:_________________________</t>
  </si>
  <si>
    <t>FECHA:</t>
  </si>
  <si>
    <r>
      <rPr>
        <sz val="38"/>
        <rFont val="Arial"/>
        <family val="2"/>
      </rPr>
      <t>Retira en</t>
    </r>
    <r>
      <rPr>
        <b/>
        <sz val="38"/>
        <rFont val="Arial"/>
        <family val="2"/>
      </rPr>
      <t xml:space="preserve"> ENTREPISO</t>
    </r>
  </si>
  <si>
    <t>Cuenta Corriente (CBU)</t>
  </si>
  <si>
    <t>Transferencia Bancaria</t>
  </si>
  <si>
    <t>MercadoPago</t>
  </si>
  <si>
    <t>ABR</t>
  </si>
  <si>
    <t>1120281</t>
  </si>
  <si>
    <t>PANT AZUL TROPICAL 34/48 RER</t>
  </si>
  <si>
    <t>1120507</t>
  </si>
  <si>
    <t>BOMB JAZAK RIP NEGRO 62/66 RER</t>
  </si>
  <si>
    <t>1120630</t>
  </si>
  <si>
    <t>BOMB JAZAK GAB PITON 34/48</t>
  </si>
  <si>
    <t>1120631</t>
  </si>
  <si>
    <t>BOMB JAZAK GAB PITON 50/54</t>
  </si>
  <si>
    <t>1120632</t>
  </si>
  <si>
    <t>BOMB JAZAK GAB PITON 56/60</t>
  </si>
  <si>
    <t>1120920</t>
  </si>
  <si>
    <t>BOMB CLAS RIP NEGRA SARPOL REFLECTIVA 34/48 RER</t>
  </si>
  <si>
    <t>1120921</t>
  </si>
  <si>
    <t>BOMB CLAS RIP NEGRA SARPOL REFLECTIVA 50/54 RER</t>
  </si>
  <si>
    <t>1120922</t>
  </si>
  <si>
    <t>BOMB CLAS RIP NEGRA SARPOL REFLECTIVA 56/60 RER</t>
  </si>
  <si>
    <t>REMERA ML POLICIA DE LA RIOJA</t>
  </si>
  <si>
    <t>2101498</t>
  </si>
  <si>
    <t>CHOMBA MC C/CIERRE NJ/AZ LIDERAR RER</t>
  </si>
  <si>
    <t>CHOMBA MC POLO AZ + BAND 3XL/5XL RER</t>
  </si>
  <si>
    <t>2103222</t>
  </si>
  <si>
    <t>REMERA ML COMBATE REQUISA</t>
  </si>
  <si>
    <t>2103223</t>
  </si>
  <si>
    <t>CHOMBA ML COMBAT DIGITAL BEIGE RER</t>
  </si>
  <si>
    <t>2220252</t>
  </si>
  <si>
    <t>REMERA MC INFOPE GRIS FER AUXILIAR</t>
  </si>
  <si>
    <t>REMERA MC INFOPE GRIS RER AGENTE</t>
  </si>
  <si>
    <t>2220257</t>
  </si>
  <si>
    <t>REMERA MC TECNICATURA PENIT IUSP GRIS</t>
  </si>
  <si>
    <t>REMERA MC POLICIA LA RIOJA</t>
  </si>
  <si>
    <t>2401024</t>
  </si>
  <si>
    <t>CHALECO VERDE FLUOR BOLSILLO NEGRO</t>
  </si>
  <si>
    <t>2601006</t>
  </si>
  <si>
    <t>TRICOPOLAR STAR</t>
  </si>
  <si>
    <t>4120502</t>
  </si>
  <si>
    <t>CAMISA ML BAT BLANCA STAR 52/56</t>
  </si>
  <si>
    <t>5101021</t>
  </si>
  <si>
    <t>GARIBALDINA ARMY RIP DIG GRIS</t>
  </si>
  <si>
    <t>CAMP CORTA AZUL IUSP</t>
  </si>
  <si>
    <t>5101189</t>
  </si>
  <si>
    <t>CAMP SOFTSHELL PALMAJ AZUL 2XS/2XL RER</t>
  </si>
  <si>
    <t>CAMP ALPHA  MA-1G300</t>
  </si>
  <si>
    <t>CAMP ALPHA MA1 690</t>
  </si>
  <si>
    <t>CAMP ALPHA CWJ450</t>
  </si>
  <si>
    <t>GARIBALDINA ARMY RIP VERDE RER</t>
  </si>
  <si>
    <t>CAMP ALPHA MB3690</t>
  </si>
  <si>
    <t>CAMP ALPHA MJB500</t>
  </si>
  <si>
    <t>CAMP ALPHA FEROCITY 500</t>
  </si>
  <si>
    <t>CAMP ALPHA MJ1690 RER</t>
  </si>
  <si>
    <t>CAMP ALPHA  SONIC 600</t>
  </si>
  <si>
    <t>5101650</t>
  </si>
  <si>
    <t>CAMP CORTA CUELLO DESMONT BORDEAUX</t>
  </si>
  <si>
    <t>5101775</t>
  </si>
  <si>
    <t>CAMP PALMAJ GRIS FEDERAL 2XS/2XL RER</t>
  </si>
  <si>
    <t>5101776</t>
  </si>
  <si>
    <t>CAMP PALMAJ GRIS FEDERAL 3XL/4XL RER</t>
  </si>
  <si>
    <t>5101854</t>
  </si>
  <si>
    <t>GARIBALDINA RIP VIAL TUC</t>
  </si>
  <si>
    <t>6001948</t>
  </si>
  <si>
    <t>PACK CIN DUCT X 6 (8601050)</t>
  </si>
  <si>
    <t>7703000</t>
  </si>
  <si>
    <t>HOMB PENIT LISA GRIS SIN BOTON MET</t>
  </si>
  <si>
    <t>7703073</t>
  </si>
  <si>
    <t>HOMB PFA BORDADA ORO  3 SOLES SERRETA Y LAUREL BOTON</t>
  </si>
  <si>
    <t>7707023</t>
  </si>
  <si>
    <t>METAL PAR PASADOR LABRADO FEM</t>
  </si>
  <si>
    <t>7707026</t>
  </si>
  <si>
    <t>METAL ESTRELLA SERV. PENIT. OFIC 18MM C/PATA NIQ</t>
  </si>
  <si>
    <t>7707027</t>
  </si>
  <si>
    <t>METAL ESTRELLA SERV. PENIT. OFIC 18MM C/PATA DOR</t>
  </si>
  <si>
    <t>7707829</t>
  </si>
  <si>
    <t>ESTAMPADO SOLO LETRAS</t>
  </si>
  <si>
    <t>7707830</t>
  </si>
  <si>
    <t>ESC INFANTERIA FEMENINA POL TUC</t>
  </si>
  <si>
    <t>7707836</t>
  </si>
  <si>
    <t>ESCUDO DE SEGURIDAD SH</t>
  </si>
  <si>
    <t>7707837</t>
  </si>
  <si>
    <t>7707901</t>
  </si>
  <si>
    <t>METAL PIN CHAQUETILLA DE GALA CADETE SC</t>
  </si>
  <si>
    <t>7709011</t>
  </si>
  <si>
    <t>ESC BORD COMUNICACIONES BOINA</t>
  </si>
  <si>
    <t>7709012</t>
  </si>
  <si>
    <t>ESC BORD MZA BOINA SEGURIDAD RURAL</t>
  </si>
  <si>
    <t>ESC BORD MZA UEP MAIPU</t>
  </si>
  <si>
    <t>7709163</t>
  </si>
  <si>
    <t>ESC BORD SERV PENIT STA CRUZ DIRECTOR</t>
  </si>
  <si>
    <t>7709164</t>
  </si>
  <si>
    <t>ESC BORD SERV PENIT STA CRUZ SUBDIRECTOR</t>
  </si>
  <si>
    <t>ESC BORD JUJUY CUERPO DE INFANTERIA</t>
  </si>
  <si>
    <t>7709353</t>
  </si>
  <si>
    <t>ESC BORD TMAN INF BV SUR</t>
  </si>
  <si>
    <t>7709354</t>
  </si>
  <si>
    <t>ESC BORD TMAN INF BV ESTE</t>
  </si>
  <si>
    <t>ESC BORD TMAN INF BV CAP</t>
  </si>
  <si>
    <t>7709356</t>
  </si>
  <si>
    <t>ESC BORD TMAN ATHE BV CAP</t>
  </si>
  <si>
    <t>7709357</t>
  </si>
  <si>
    <t>ESC BORD TMAN ATHE BV SUR</t>
  </si>
  <si>
    <t>7709359</t>
  </si>
  <si>
    <t>ESC BORD TMAN ATHE BV ESTE</t>
  </si>
  <si>
    <t>7709427</t>
  </si>
  <si>
    <t>7709428</t>
  </si>
  <si>
    <t>7709891</t>
  </si>
  <si>
    <t>ESC ISLAS MALVINAS ENGOMADO</t>
  </si>
  <si>
    <t>7709892</t>
  </si>
  <si>
    <t>ESC AEMSA AERONAUTICA MZA</t>
  </si>
  <si>
    <t>7709903</t>
  </si>
  <si>
    <t>ESC BORD STA CRUZ SUPERINTENDENCIA BOMBEROS</t>
  </si>
  <si>
    <t>ESC GOMA POLICIA DE MENDOZA COLOR</t>
  </si>
  <si>
    <t>7710002</t>
  </si>
  <si>
    <t>7710003</t>
  </si>
  <si>
    <t>ESC GOMA POLICIA MENDOZA BV</t>
  </si>
  <si>
    <t>7710004</t>
  </si>
  <si>
    <t>ESC GOMA CHUBUT BV</t>
  </si>
  <si>
    <t>7710040</t>
  </si>
  <si>
    <t>PVC COLOR BANDERAS VS</t>
  </si>
  <si>
    <t>7710041</t>
  </si>
  <si>
    <t>PVC BV BANDERAS VS</t>
  </si>
  <si>
    <t>7710042</t>
  </si>
  <si>
    <t>PVC COLOR GRADOS VS</t>
  </si>
  <si>
    <t>7710043</t>
  </si>
  <si>
    <t>PVC BV GRADOS VS</t>
  </si>
  <si>
    <t>7710044</t>
  </si>
  <si>
    <t>PVC COLOR APLIQUES 25X40 VS</t>
  </si>
  <si>
    <t>7710045</t>
  </si>
  <si>
    <t>PVC BV APLIQUES 25X40 VS</t>
  </si>
  <si>
    <t>7710046</t>
  </si>
  <si>
    <t>PVC COLOR ESCUDOS VS</t>
  </si>
  <si>
    <t>7710047</t>
  </si>
  <si>
    <t>PVC BV ESCUDOS VS</t>
  </si>
  <si>
    <t>7710048</t>
  </si>
  <si>
    <t>COLOR APLIQUES 4X3 VS</t>
  </si>
  <si>
    <t>7710049</t>
  </si>
  <si>
    <t>BV APLIQUES 4X3 VS</t>
  </si>
  <si>
    <t>7710221</t>
  </si>
  <si>
    <t>ESC GOMA POLICIA NQN BAJA VISIBILIDAD</t>
  </si>
  <si>
    <t>7710230</t>
  </si>
  <si>
    <t>ESC GOMA POLICIA DE RIO NEGRO BAJA VISIBILIDAD</t>
  </si>
  <si>
    <t>7710231</t>
  </si>
  <si>
    <t>ESC GOMA POLICIA DE RIO NEGRO COLOR</t>
  </si>
  <si>
    <t>8303001</t>
  </si>
  <si>
    <t>CASQ RIP NEGRO C/ABROJO PSA VISERA BORD</t>
  </si>
  <si>
    <t>CASQ AMER RIP PITON</t>
  </si>
  <si>
    <t>8303020</t>
  </si>
  <si>
    <t>CASQ GAB AZUL CON ABROJO POLICIA CATAMARCA</t>
  </si>
  <si>
    <t>8303136</t>
  </si>
  <si>
    <t>CASQ REVER RIP PINTON/NEGRO</t>
  </si>
  <si>
    <t>GORRITA SEGURIDAD NEGRA  BORD AMA/BLA BI</t>
  </si>
  <si>
    <t>8400331</t>
  </si>
  <si>
    <t>GORRITA NEGRA ELITE FORCE</t>
  </si>
  <si>
    <t>8401133</t>
  </si>
  <si>
    <t>GORRITA F1 DDI AZUL RER</t>
  </si>
  <si>
    <t>8401134</t>
  </si>
  <si>
    <t>GORRITA F1 DDI NEGRA RER</t>
  </si>
  <si>
    <t>8503225</t>
  </si>
  <si>
    <t>PROTECTOR AUDITIVO LIBUS L300</t>
  </si>
  <si>
    <t>8505174</t>
  </si>
  <si>
    <t>BASE ACRIL. AUXILIAR SEGUNDO</t>
  </si>
  <si>
    <t>8505401</t>
  </si>
  <si>
    <t>PECT. BI CRIO  INSPECTOR SANTA CRUZ</t>
  </si>
  <si>
    <t>8505402</t>
  </si>
  <si>
    <t>PECT. BI CRIO INSPECTOR BAJA VISIBILIDAD</t>
  </si>
  <si>
    <t>8505403</t>
  </si>
  <si>
    <t>PECT. BI CRIO MAYOR</t>
  </si>
  <si>
    <t>8505404</t>
  </si>
  <si>
    <t>PECT. BI CRIO  MAYOR BAJA VISIBILIDAD</t>
  </si>
  <si>
    <t>8505405</t>
  </si>
  <si>
    <t>PECT. BI CRIO GENERAL</t>
  </si>
  <si>
    <t>8505406</t>
  </si>
  <si>
    <t>PECT. BI CRIO GENERAL BAJA VISIBILIDAD</t>
  </si>
  <si>
    <t>8505800</t>
  </si>
  <si>
    <t>PECT GOMA GRUPO SANGUINEO BAJA VISIBILIDAD</t>
  </si>
  <si>
    <t>8505801</t>
  </si>
  <si>
    <t>PECT GOMA PALABRA POLICIA PECHO</t>
  </si>
  <si>
    <t>KIT DE LIMPIEZA ARMA CORTA-BAQUETA-CEPILLO-ACEITE-PAÑO</t>
  </si>
  <si>
    <t>8515740</t>
  </si>
  <si>
    <t>CORBATA UNIFORME VERDE JLC</t>
  </si>
  <si>
    <t>8517903</t>
  </si>
  <si>
    <t>GUANTES TACTICO MITON BEIGE XL</t>
  </si>
  <si>
    <t>NAVAJA STEEL KNIFE DA15</t>
  </si>
  <si>
    <t>CUCHILLO 2175 27CM</t>
  </si>
  <si>
    <t>8601050</t>
  </si>
  <si>
    <t>CINTA DUCT TAPE DOBLE TELA SILVER PLATEA</t>
  </si>
  <si>
    <t>8701253</t>
  </si>
  <si>
    <t>CINTURON TACTICO 3253 TG012</t>
  </si>
  <si>
    <t>8701255</t>
  </si>
  <si>
    <t>CINTURON TACTICO 3255 TG017</t>
  </si>
  <si>
    <t>8701325</t>
  </si>
  <si>
    <t>CINTURON TACTICO 3254 TG014</t>
  </si>
  <si>
    <t>MUSLERA P/CARG DOBLE Y P/ESPOSAS T609</t>
  </si>
  <si>
    <t>RIÑONERA DELTA RRD40</t>
  </si>
  <si>
    <t>RIÑONERAS SAQUE RAPIDO RRD39 BLK</t>
  </si>
  <si>
    <t>RIÑONERA WOODPACK BLK</t>
  </si>
  <si>
    <t>RIÑONERA WOODPACK CPBL BLK</t>
  </si>
  <si>
    <t>8703257</t>
  </si>
  <si>
    <t>RIÑONERA MORRAL BOLSILLO DOBLE P/BOTELLA 3257</t>
  </si>
  <si>
    <t>8703325</t>
  </si>
  <si>
    <t>RIÑONERA TACTICA SIST MOLLE 3252</t>
  </si>
  <si>
    <t>PIST. NIVEL 2 BERSA THUNDER JA.BAR TB P010</t>
  </si>
  <si>
    <t>PIST. NIVEL 2 BERSA TPR9 JA.BAR TB P011</t>
  </si>
  <si>
    <t>PIST. TERMOFOR. PANQUEQ CTA T513 TB</t>
  </si>
  <si>
    <t>PIST. TERMOFOR. SAQUE RAPIDO T500 TB</t>
  </si>
  <si>
    <t>PIST TERMOF TACTICA C/TAPA VERDE G001</t>
  </si>
  <si>
    <t>PIST. TERMO. SAQUE RAPIDO UNIV. T508 TB</t>
  </si>
  <si>
    <t>PIST. TERMO. TACTICA CTAPA NEGRA G001 TB</t>
  </si>
  <si>
    <t>PORTA CARG DOBLE VERDE MOLLE RER</t>
  </si>
  <si>
    <t>PORTA CARG POLIA FAL VERDE GN</t>
  </si>
  <si>
    <t>PORTA CARG FAL VERDE MAZ</t>
  </si>
  <si>
    <t>PORTA CARG. DOBLE POLIM C/TAPA P016 TB</t>
  </si>
  <si>
    <t>PORTA ESPOSAS POLIA VERDE C/TIRA GN T552</t>
  </si>
  <si>
    <t>ADAPTADOR MOLLE TB M015</t>
  </si>
  <si>
    <t>8708299</t>
  </si>
  <si>
    <t>PORTA BOTELLA SISTEMA MOLLE 2995</t>
  </si>
  <si>
    <t>8708536</t>
  </si>
  <si>
    <t>POUCH BOTIQUIN SIST MOLLE 536</t>
  </si>
  <si>
    <t>RIÑONERA MZ-RJ-B04 8.5L FRONT-3</t>
  </si>
  <si>
    <t>8708996</t>
  </si>
  <si>
    <t>MORRAL TACTICO PORTA ELEMENTOS 2996</t>
  </si>
  <si>
    <t>8708997</t>
  </si>
  <si>
    <t>RIÑONERA BOLSIN TACTICO 2997</t>
  </si>
  <si>
    <t>8708998</t>
  </si>
  <si>
    <t>MOCHILA TIPO CAMELBACK CON SILBATO Y CIERRE FRONTAL 2998</t>
  </si>
  <si>
    <t>8709697</t>
  </si>
  <si>
    <t>Bandolera Municipio de Centenario c/reflectivo</t>
  </si>
  <si>
    <t>9999000</t>
  </si>
  <si>
    <t>CINTA PELIGRO</t>
  </si>
  <si>
    <t>AJNC</t>
  </si>
  <si>
    <t>Ajuste Notas de Credito Bancarias</t>
  </si>
  <si>
    <t>GASTO ENVIO DE MERCADERIA</t>
  </si>
  <si>
    <t>ENVIOMELI</t>
  </si>
  <si>
    <t>FLETE MERCADOLIBRE</t>
  </si>
  <si>
    <t>GEORCAMPERA</t>
  </si>
  <si>
    <t>CAMPERAS GEOR</t>
  </si>
  <si>
    <t>SEÑA</t>
  </si>
  <si>
    <t>{SE¥A}</t>
  </si>
  <si>
    <t>SE¥AS RECIBIDAS</t>
  </si>
  <si>
    <t>GUAMINÃ</t>
  </si>
  <si>
    <t>MÃ‰DANOS</t>
  </si>
  <si>
    <t>PIGUÃ‰</t>
  </si>
  <si>
    <t>PUÃN</t>
  </si>
  <si>
    <t>TRÃNSITO</t>
  </si>
  <si>
    <t>AÑATUYA</t>
  </si>
  <si>
    <t>QUIMILÃ</t>
  </si>
  <si>
    <t xml:space="preserve"> 8520745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</si>
  <si>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</si>
  <si>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</si>
  <si>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</si>
  <si>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</si>
  <si>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</si>
  <si>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</si>
  <si>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</si>
  <si>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</si>
  <si>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</si>
  <si>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</si>
  <si>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</si>
  <si>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</si>
  <si>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</si>
  <si>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</si>
  <si>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</si>
  <si>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</si>
  <si>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</si>
  <si>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</si>
  <si>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</si>
  <si>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100GASTOS DE</t>
  </si>
  <si>
    <t>10BOMBACHA CL</t>
  </si>
  <si>
    <t>10CAPACAPA D</t>
  </si>
  <si>
    <t>10CINTOAMCIN</t>
  </si>
  <si>
    <t>10TICOTTRICO</t>
  </si>
  <si>
    <t>1120001BOMB</t>
  </si>
  <si>
    <t>1120112BOMB</t>
  </si>
  <si>
    <t>1120130BOMB</t>
  </si>
  <si>
    <t>1120182BOMB</t>
  </si>
  <si>
    <t>1120183BOMB</t>
  </si>
  <si>
    <t>1120184BOMB</t>
  </si>
  <si>
    <t>1120185BOMB</t>
  </si>
  <si>
    <t>1120204BOMB</t>
  </si>
  <si>
    <t>1120300BOMB</t>
  </si>
  <si>
    <t>1120301BOMB</t>
  </si>
  <si>
    <t>1120302BOMB</t>
  </si>
  <si>
    <t>1120310BOMB</t>
  </si>
  <si>
    <t>1120311BOMB</t>
  </si>
  <si>
    <t>1120312BOMB</t>
  </si>
  <si>
    <t>1120330BOMB</t>
  </si>
  <si>
    <t>1120331BOMB</t>
  </si>
  <si>
    <t>1120332BOMB</t>
  </si>
  <si>
    <t>1120400BOMB</t>
  </si>
  <si>
    <t>1120401BOMB</t>
  </si>
  <si>
    <t>1120402BOMB</t>
  </si>
  <si>
    <t>1120417BOMB</t>
  </si>
  <si>
    <t>1120442BOMB</t>
  </si>
  <si>
    <t>1120443BOMB</t>
  </si>
  <si>
    <t>1120444BOMB</t>
  </si>
  <si>
    <t>1120490</t>
  </si>
  <si>
    <t>BOMB BOMER RIP STOP BEIGE 34/48</t>
  </si>
  <si>
    <t>1120491</t>
  </si>
  <si>
    <t>BOMB BOMER RIP STOP BEIGE 50/54</t>
  </si>
  <si>
    <t>1120492</t>
  </si>
  <si>
    <t>BOMB BOMER RIP STOP BEIGE 56/60</t>
  </si>
  <si>
    <t>1120496BOMB</t>
  </si>
  <si>
    <t>1120497BOMB</t>
  </si>
  <si>
    <t>1120498BOMB</t>
  </si>
  <si>
    <t>1120499BOMB</t>
  </si>
  <si>
    <t>1120621BOMB</t>
  </si>
  <si>
    <t>1120741BOMB</t>
  </si>
  <si>
    <t>1120751BOMB</t>
  </si>
  <si>
    <t>1120752BOMB</t>
  </si>
  <si>
    <t>1120800BOMB</t>
  </si>
  <si>
    <t>1120801BOMB</t>
  </si>
  <si>
    <t>1120802BOMB</t>
  </si>
  <si>
    <t>1120803BOMB</t>
  </si>
  <si>
    <t>1120901BOMB</t>
  </si>
  <si>
    <t>1120902BOMB</t>
  </si>
  <si>
    <t>1120923</t>
  </si>
  <si>
    <t>BOMB CLAS RIP NEGRA SARPOL REFLECTIVA 62/66 RER</t>
  </si>
  <si>
    <t>1120946BOMB</t>
  </si>
  <si>
    <t>1120947BOMB</t>
  </si>
  <si>
    <t>1120948BOMB</t>
  </si>
  <si>
    <t>1130284MAMEL</t>
  </si>
  <si>
    <t>1140001PANT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</si>
  <si>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</si>
  <si>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</si>
  <si>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</si>
  <si>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</si>
  <si>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</si>
  <si>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</si>
  <si>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</si>
  <si>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</si>
  <si>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</si>
  <si>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</si>
  <si>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</si>
  <si>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</si>
  <si>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</si>
  <si>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1524057CAJA</t>
  </si>
  <si>
    <t>1CHOMBACHOMB</t>
  </si>
  <si>
    <t>2101000CHOMB</t>
  </si>
  <si>
    <t>2101026</t>
  </si>
  <si>
    <t>CHALECO PROTECCION CIVIL STA CRUZ NARANJA</t>
  </si>
  <si>
    <t>2101510</t>
  </si>
  <si>
    <t>REMERA MC SIN CIERRE C/VIVO SPECIAL SEGURIDAD</t>
  </si>
  <si>
    <t>2101569</t>
  </si>
  <si>
    <t>REMERA MC STEEL PITON 2XS/2XL</t>
  </si>
  <si>
    <t>2101570</t>
  </si>
  <si>
    <t>REMERA MC STEEL PITON 3XL/5XL</t>
  </si>
  <si>
    <t>2101889CHOMB</t>
  </si>
  <si>
    <t>2103051</t>
  </si>
  <si>
    <t>REMERA MC COMBAT PITON</t>
  </si>
  <si>
    <t>2401026</t>
  </si>
  <si>
    <t>2401803CHALE</t>
  </si>
  <si>
    <t>2GASTO ADMIN</t>
  </si>
  <si>
    <t>4027105BOLSA</t>
  </si>
  <si>
    <t>4027142BOLSA</t>
  </si>
  <si>
    <t>4027710BOLSA</t>
  </si>
  <si>
    <t>4027813BOLSA</t>
  </si>
  <si>
    <t>4120047CAMIS</t>
  </si>
  <si>
    <t>4120464CAMIS</t>
  </si>
  <si>
    <t>4120507</t>
  </si>
  <si>
    <t>CAMISA MC BAT BLANCA STAR 52/56</t>
  </si>
  <si>
    <t>4GASTOS ADMI</t>
  </si>
  <si>
    <t>5101017CAMPE</t>
  </si>
  <si>
    <t>5101092</t>
  </si>
  <si>
    <t>CAMP PALMAJ SEGURIDAD VIAL SANTA CRUZ</t>
  </si>
  <si>
    <t>5919026LINTE</t>
  </si>
  <si>
    <t>6402000PAÑUE</t>
  </si>
  <si>
    <t>7700302INSIG</t>
  </si>
  <si>
    <t>INSIG GOMA BV NEGRA SARG 1RO COLGAR GOA</t>
  </si>
  <si>
    <t>INSIG GOMA BV SARG AYTE COLGAR GOA</t>
  </si>
  <si>
    <t>7701095</t>
  </si>
  <si>
    <t>INSIG GOMA PSA BV 1 ESTR GOA</t>
  </si>
  <si>
    <t>7701096</t>
  </si>
  <si>
    <t>INSIG GOMA PSA BV 2 ESTR GOA</t>
  </si>
  <si>
    <t>7701097</t>
  </si>
  <si>
    <t>INSIG GOMA PSA BV 3 ESTR GOA</t>
  </si>
  <si>
    <t>7701098</t>
  </si>
  <si>
    <t>INSIG GOMA PSA BV 4 ESTR GOA</t>
  </si>
  <si>
    <t>7701099</t>
  </si>
  <si>
    <t>INSIG GOMA PSA BV 1+BARRA GOA</t>
  </si>
  <si>
    <t>INSIG GOMA PSA BV 2+BARRA GOA</t>
  </si>
  <si>
    <t>INSIG GOMA NEGRA CABO 1RO COLGAR GOA</t>
  </si>
  <si>
    <t>INSIG GOMA NEGRA SARG COLGAR GOA</t>
  </si>
  <si>
    <t>INSIG GOMA BV CABO COLGAR GOA</t>
  </si>
  <si>
    <t>INSIG GOMA BV PPAL COLGAR GOA</t>
  </si>
  <si>
    <t>7701106</t>
  </si>
  <si>
    <t>INSIG GOMA BV SMAYOR COLGAR GOA</t>
  </si>
  <si>
    <t>7703074</t>
  </si>
  <si>
    <t>HOMB BORD SERV PENIT STA CRUZ DIR/SUBD</t>
  </si>
  <si>
    <t>7703144</t>
  </si>
  <si>
    <t>HOMB BORD BV CRIO INSPECTOR 1 SOL PALMA Y SERRETA</t>
  </si>
  <si>
    <t>7703916</t>
  </si>
  <si>
    <t>HOMBREDA PILOTO AZUL</t>
  </si>
  <si>
    <t>7707716METAL</t>
  </si>
  <si>
    <t>7707828</t>
  </si>
  <si>
    <t>ESTAMPADO SPECIAL SEGURIDAD</t>
  </si>
  <si>
    <t>7709005ESC B</t>
  </si>
  <si>
    <t>7709006ESC B</t>
  </si>
  <si>
    <t>7709038ESC B</t>
  </si>
  <si>
    <t>7709115ESC G</t>
  </si>
  <si>
    <t>7709122ESC G</t>
  </si>
  <si>
    <t>7709135PECT.</t>
  </si>
  <si>
    <t>7709159ESC B</t>
  </si>
  <si>
    <t>7709169ESC N</t>
  </si>
  <si>
    <t>7709236</t>
  </si>
  <si>
    <t>ESC BORD SEGURIDAD VIAL RG APSV</t>
  </si>
  <si>
    <t>7709272ESC B</t>
  </si>
  <si>
    <t>7709339ESC B</t>
  </si>
  <si>
    <t>7709351ESC B</t>
  </si>
  <si>
    <t>7709499ESC T</t>
  </si>
  <si>
    <t>7709810ESC B</t>
  </si>
  <si>
    <t>77098818ESC</t>
  </si>
  <si>
    <t>7709998ESC E</t>
  </si>
  <si>
    <t>ESC GOMA POLICIA JUJUY BV GOA</t>
  </si>
  <si>
    <t>7710005</t>
  </si>
  <si>
    <t>ESC GOMA POLICIA JUJUY OFICIAL GOA</t>
  </si>
  <si>
    <t>7710006</t>
  </si>
  <si>
    <t>ESC GOMA POLICIA JUJUY SUBOFICIAL GOA</t>
  </si>
  <si>
    <t>7710007</t>
  </si>
  <si>
    <t>ESC GOMA POLICIA SALTA BV GOA</t>
  </si>
  <si>
    <t>7710008</t>
  </si>
  <si>
    <t>ESC GOMA PSA BRAZO BV GOA</t>
  </si>
  <si>
    <t>7710009</t>
  </si>
  <si>
    <t>ESC GOMA PSA CASQUETE GOA</t>
  </si>
  <si>
    <t>BANDERA GOMA ARG COLOR 8X4.5 GOA</t>
  </si>
  <si>
    <t>BANDERA GOMA ARG BV 8X4.5 GOA</t>
  </si>
  <si>
    <t>7710033</t>
  </si>
  <si>
    <t>BANDERA GOMA BV 6X4 GOA</t>
  </si>
  <si>
    <t>8205042BORCE</t>
  </si>
  <si>
    <t>8307001BONNY</t>
  </si>
  <si>
    <t>8503091ESCUD</t>
  </si>
  <si>
    <t>8505264PECT</t>
  </si>
  <si>
    <t>8505590</t>
  </si>
  <si>
    <t>AUXILIAR TERCERO</t>
  </si>
  <si>
    <t>8520042BINOC</t>
  </si>
  <si>
    <t>8521593CUCHI</t>
  </si>
  <si>
    <t>8703349REPLI</t>
  </si>
  <si>
    <t>8708553</t>
  </si>
  <si>
    <t>CORREA DE DOS PUNTOS RRD053 BLK</t>
  </si>
  <si>
    <t>8800001CAMUF</t>
  </si>
  <si>
    <t>9003710MEDIA</t>
  </si>
  <si>
    <t>900397601MED</t>
  </si>
  <si>
    <t>900397602MED</t>
  </si>
  <si>
    <t>900397801MED</t>
  </si>
  <si>
    <t>900397802MED</t>
  </si>
  <si>
    <t>900398501MED</t>
  </si>
  <si>
    <t>900398502MED</t>
  </si>
  <si>
    <t>9003985MEDIA</t>
  </si>
  <si>
    <t>900697601MED</t>
  </si>
  <si>
    <t>9010000TELA</t>
  </si>
  <si>
    <t>9010001TELA</t>
  </si>
  <si>
    <t>9010002TELA</t>
  </si>
  <si>
    <t>9010003TELA</t>
  </si>
  <si>
    <t>9010004TELA</t>
  </si>
  <si>
    <t>9010005TELA</t>
  </si>
  <si>
    <t>9010840TELA</t>
  </si>
  <si>
    <t>9010841ALPAC</t>
  </si>
  <si>
    <t>9709018CAMPI</t>
  </si>
  <si>
    <t>9716020CAMPI</t>
  </si>
  <si>
    <t>9716021CAMPI</t>
  </si>
  <si>
    <t>9859017BOLSA</t>
  </si>
  <si>
    <t>9999022PERCH</t>
  </si>
  <si>
    <t>9999026FUNDA</t>
  </si>
  <si>
    <t>9999050ABROJ</t>
  </si>
  <si>
    <t>9999075ABROJ</t>
  </si>
  <si>
    <t>BOR</t>
  </si>
  <si>
    <t>BORCEGUIES</t>
  </si>
  <si>
    <t>CAMMC</t>
  </si>
  <si>
    <t>CAMISA MANGA CORTA</t>
  </si>
  <si>
    <t>CAMML</t>
  </si>
  <si>
    <t>CAMISA MANGA LARGA</t>
  </si>
  <si>
    <t>CHOMMC</t>
  </si>
  <si>
    <t>CHOMBA MANGA CORTA</t>
  </si>
  <si>
    <t>CHOMML</t>
  </si>
  <si>
    <t>CHOMBA MANGA LARGA</t>
  </si>
  <si>
    <t>CINT</t>
  </si>
  <si>
    <t>CINTURONES</t>
  </si>
  <si>
    <t>PANTALON</t>
  </si>
  <si>
    <t>PANTG</t>
  </si>
  <si>
    <t>PANTALON TACTICO GABARDINA</t>
  </si>
  <si>
    <t>PANTR</t>
  </si>
  <si>
    <t>PANTALON TACTICO RIP ANTIDESGARRO</t>
  </si>
  <si>
    <t>REMMC</t>
  </si>
  <si>
    <t>REMERA MANGA CORTA</t>
  </si>
  <si>
    <t>REMML</t>
  </si>
  <si>
    <t>REMERA MANGA LARGA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</si>
  <si>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</si>
  <si>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</si>
  <si>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</si>
  <si>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</si>
  <si>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</si>
  <si>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</si>
  <si>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</si>
  <si>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</si>
  <si>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</si>
  <si>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</si>
  <si>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ZAP</t>
  </si>
  <si>
    <t>ZAPATO</t>
  </si>
  <si>
    <t>ZAPD</t>
  </si>
  <si>
    <t>ZAPATO DAMA</t>
  </si>
  <si>
    <t>ZZ</t>
  </si>
  <si>
    <t>{SEÂ¥A}</t>
  </si>
  <si>
    <t>ESTAMP</t>
  </si>
  <si>
    <t>FACTURA PROFORMA - (PROFORM INVOICE)</t>
  </si>
  <si>
    <t>Número Guía (Awe N°):</t>
  </si>
  <si>
    <t>Fecha (Date):</t>
  </si>
  <si>
    <t>REMITENTE (SENDER)</t>
  </si>
  <si>
    <t>DESTINATARIO (CONSIGNEE)</t>
  </si>
  <si>
    <t>Nom. y Ap. / Razón Social</t>
  </si>
  <si>
    <t>(Name and last name)</t>
  </si>
  <si>
    <t>Dirección</t>
  </si>
  <si>
    <t>(Stret Adress)</t>
  </si>
  <si>
    <t>Provincia</t>
  </si>
  <si>
    <t>(Province/State)</t>
  </si>
  <si>
    <t>País</t>
  </si>
  <si>
    <t xml:space="preserve">Argentina </t>
  </si>
  <si>
    <t>(Country)</t>
  </si>
  <si>
    <t>Telefono</t>
  </si>
  <si>
    <t>(Phone Number)</t>
  </si>
  <si>
    <t>Unidades
(Units)</t>
  </si>
  <si>
    <t>Código</t>
  </si>
  <si>
    <t>Descripción detallada de los artículos
(Complete description of goods)</t>
  </si>
  <si>
    <t>Total de piezas (total pieces)</t>
  </si>
  <si>
    <t>Firma (Signature):</t>
  </si>
  <si>
    <t>Aclaración (Explanation):</t>
  </si>
  <si>
    <t xml:space="preserve">DNI – PSS: </t>
  </si>
  <si>
    <t>Ciudad (City)</t>
  </si>
  <si>
    <t>C.P. (Postal Code)</t>
  </si>
  <si>
    <t>Color</t>
  </si>
  <si>
    <t>Talle</t>
  </si>
  <si>
    <t>PAIS</t>
  </si>
  <si>
    <t>Argentina</t>
  </si>
  <si>
    <t>ESTHER LLANOS</t>
  </si>
  <si>
    <t>VENDEDOR</t>
  </si>
  <si>
    <t>CAÃ‘UELAS</t>
  </si>
  <si>
    <t>ARRIBEÃ‘OS</t>
  </si>
  <si>
    <t>CAÃ‘ADA SECA</t>
  </si>
  <si>
    <t>CAPILLA DEL SEÃ‘OR</t>
  </si>
  <si>
    <t>NUÃ‘EZ</t>
  </si>
  <si>
    <t>PLAZA RODRIGUEZ PEÃ‘A</t>
  </si>
  <si>
    <t>ICAÃ‘O</t>
  </si>
  <si>
    <t>LAS BREÃ‘AS</t>
  </si>
  <si>
    <t>P.R.S.PEÃ‘A</t>
  </si>
  <si>
    <t>BAÃ‘ADO DE OVANTA</t>
  </si>
  <si>
    <t>V. DE LAS LEÃ‘AS</t>
  </si>
  <si>
    <t>M. E. VILLAFAÃ‘E</t>
  </si>
  <si>
    <t>AÃ‘ELO</t>
  </si>
  <si>
    <t>SAN PATRICIO DEL CHAÃ‘AR</t>
  </si>
  <si>
    <t>Ã‘ORQUINCO</t>
  </si>
  <si>
    <t>CAÃ‘ADA ROSQUIN</t>
  </si>
  <si>
    <t>CAÃ‘ADA DE GOMEZ</t>
  </si>
  <si>
    <t>CAÃ‘ADA DEL UCLE</t>
  </si>
  <si>
    <t>CARCARAÃ‘A</t>
  </si>
  <si>
    <t>CHAÃ‘AR LADEADO</t>
  </si>
  <si>
    <t>VILLA CAÃ‘AS</t>
  </si>
  <si>
    <t>NUESTRA SEÃ‘ORA DE CAA CATI</t>
  </si>
  <si>
    <t>DESPEÃ‘ADEROS (AG. 30)</t>
  </si>
  <si>
    <t>EL ARAÃ‘ADO</t>
  </si>
  <si>
    <t>LAS PEÃ‘AS</t>
  </si>
  <si>
    <t>PORTEÃ‘A</t>
  </si>
  <si>
    <t>MALAGUEÃ‘O</t>
  </si>
  <si>
    <t>ORDOÃ‘EZ</t>
  </si>
  <si>
    <t>VICUÃ‘A MACKENNA</t>
  </si>
  <si>
    <t>CAÃ‘ADON SECO</t>
  </si>
  <si>
    <t>ROQUE SAENZ PEÃ‘A</t>
  </si>
  <si>
    <t>ESPAÃ‘A</t>
  </si>
  <si>
    <t>RODRIGUEZ PEÃ‘A</t>
  </si>
  <si>
    <t>ESPAÃ‘A 550</t>
  </si>
  <si>
    <t>ANTONIO GOÃ‘I MORENO</t>
  </si>
  <si>
    <t>ELISEO MAÃ‘AY</t>
  </si>
  <si>
    <t>PIÃ‘EYRO</t>
  </si>
  <si>
    <t>PRESIDENCIA ROQUE SAENZ PEÃ‘A</t>
  </si>
  <si>
    <t>VALLE DE LAS LEÃ‘AS</t>
  </si>
  <si>
    <t>COLONIA CAMPO VILLAFAÃ‘E</t>
  </si>
  <si>
    <t>DESPEÃ‘ADEROS</t>
  </si>
  <si>
    <t>SAN FRANCISCO DEL CHAÃ‘AR</t>
  </si>
  <si>
    <t>ROSARIO VERA PEÃ‘ALOZA</t>
  </si>
  <si>
    <t>GENERAL ANGEL VICENTE PEÃ‘ALOZA</t>
  </si>
  <si>
    <t>PATIÃ‘O</t>
  </si>
  <si>
    <t>Ã‘ORQUIN</t>
  </si>
  <si>
    <t>LANGUIÃ‘EO</t>
  </si>
  <si>
    <t>PRESIDENTE ROQUE SAENZ PEÃ‘A</t>
  </si>
  <si>
    <t>N.º 1 VILLA MERCEDES</t>
  </si>
  <si>
    <t>AGENCIA N.º 1</t>
  </si>
  <si>
    <t>MALARGÜE</t>
  </si>
  <si>
    <t>N.º 7 EL RETAMO</t>
  </si>
  <si>
    <t>ESTAF. N°  1 CLORINDA</t>
  </si>
  <si>
    <t>CORDOBA N.º 21</t>
  </si>
  <si>
    <t>Cliente</t>
  </si>
  <si>
    <t>Descripción</t>
  </si>
  <si>
    <t>Cantidad</t>
  </si>
  <si>
    <t>Ubicación</t>
  </si>
  <si>
    <t>TOTALES:</t>
  </si>
  <si>
    <t>ROTULOS:</t>
  </si>
  <si>
    <t>1000812</t>
  </si>
  <si>
    <t>APLIQUE ESPALDA SERMEN</t>
  </si>
  <si>
    <t>1120760</t>
  </si>
  <si>
    <t>BOMB KADIMA VIAL TUCUMAN 34/48 RER</t>
  </si>
  <si>
    <t>1120761</t>
  </si>
  <si>
    <t>BOMB KADIMA VIAL TUCUMAN 50/54 RER</t>
  </si>
  <si>
    <t>1120762</t>
  </si>
  <si>
    <t>BOMB KADIMA VIAL TUCUMAN 56/60 RER</t>
  </si>
  <si>
    <t>2101400</t>
  </si>
  <si>
    <t>REMERA MC SIN CIERRE AZUL BOMBEROS 3XS/2XL</t>
  </si>
  <si>
    <t>2101401</t>
  </si>
  <si>
    <t>REMERA MC SIN CIERRE AZUL BOMBEROS 3XL/6XL</t>
  </si>
  <si>
    <t>2101520</t>
  </si>
  <si>
    <t>REMERA MC SIN CIERRE BEIGE 3XS/2XL RER</t>
  </si>
  <si>
    <t>2101521</t>
  </si>
  <si>
    <t>REMERA MC SIN CIERRE BEIGE 3XL/5XL RER</t>
  </si>
  <si>
    <t>2101530</t>
  </si>
  <si>
    <t>REMERA MC SIN CIERRE BEIGE C/VIVO NE 3XS/2XL RER</t>
  </si>
  <si>
    <t>2101531</t>
  </si>
  <si>
    <t>REMERA MC SIN CIERRE BEIGE C/VIVO NE 3XL/6XL RER</t>
  </si>
  <si>
    <t>2101895</t>
  </si>
  <si>
    <t>CHOMBA MC POLO AZ POL STA CRUZ 3XS/2XL</t>
  </si>
  <si>
    <t>2101896</t>
  </si>
  <si>
    <t>CHOMBA MC POLO AZ POL STA CRUZ 3XL/8XL</t>
  </si>
  <si>
    <t>2220422</t>
  </si>
  <si>
    <t>REMERA MC LISA ALGODON 3XS/2XL</t>
  </si>
  <si>
    <t>2301003</t>
  </si>
  <si>
    <t>TRICOTA GRUPO RL NEGRA CUELLO V</t>
  </si>
  <si>
    <t>2401110</t>
  </si>
  <si>
    <t>CHALECO FLUOR C/VIVO STAR</t>
  </si>
  <si>
    <t>2401111</t>
  </si>
  <si>
    <t>CHALECO FLUOR C/VIVO RL</t>
  </si>
  <si>
    <t>CHALECO C/REFLEC NARANJA POLICIA</t>
  </si>
  <si>
    <t>2601007</t>
  </si>
  <si>
    <t>TRICOPOLAR BEIGE SPEC SEGURIDAD</t>
  </si>
  <si>
    <t>CONJUNTO 1RA PIEL RER</t>
  </si>
  <si>
    <t>4120140</t>
  </si>
  <si>
    <t>CAMISA ML COMBINADO GRIS MUNI ESPERANZA RER</t>
  </si>
  <si>
    <t>4120210</t>
  </si>
  <si>
    <t>CAMISA MC COMBINADO GRIS MUNI ESPERANZA RER</t>
  </si>
  <si>
    <t>4120999</t>
  </si>
  <si>
    <t>CAMISA ML BAT BLANCA SIN TAPA</t>
  </si>
  <si>
    <t>5101151</t>
  </si>
  <si>
    <t>CAMP ROMPEVIENTO URBANA MANG DESM 2XS/2XL RER</t>
  </si>
  <si>
    <t>5101400</t>
  </si>
  <si>
    <t>CAMP. CHALECO TERMICO C/CARGADOR</t>
  </si>
  <si>
    <t>CAMP POLICIA SANTA CRUZ 2COL 3XL/7XL RER</t>
  </si>
  <si>
    <t>5101903</t>
  </si>
  <si>
    <t>CAMP INVEST NEGRA T.E. 5XL/6XL RER</t>
  </si>
  <si>
    <t>5103777</t>
  </si>
  <si>
    <t>CHALECO GAB. NEGRA DGE RER</t>
  </si>
  <si>
    <t>5320152</t>
  </si>
  <si>
    <t>CHAQUETILLA BLANCA DAMA RER</t>
  </si>
  <si>
    <t>5320788</t>
  </si>
  <si>
    <t>CHAQUETILLA POLICIA/PENIT DAMA 176N0110 FC</t>
  </si>
  <si>
    <t>7703010</t>
  </si>
  <si>
    <t>HOMB NEGRA LISA AGENTE INFOPE RER</t>
  </si>
  <si>
    <t>7707501</t>
  </si>
  <si>
    <t>METAL BARRA DE CURSO CADETE LMGE PLAT FEM</t>
  </si>
  <si>
    <t>7707579</t>
  </si>
  <si>
    <t>METAL TORREON PENIT PLATEADO RER</t>
  </si>
  <si>
    <t>7707585</t>
  </si>
  <si>
    <t>METAL LIBRITOS ESC DE CADETE PLAT FEM</t>
  </si>
  <si>
    <t>ESC BORD LA PRIMERA SEGURIDAD</t>
  </si>
  <si>
    <t>ESC BORD SEGURIDAD CHICO</t>
  </si>
  <si>
    <t>ESC BORD STAR</t>
  </si>
  <si>
    <t>7709123</t>
  </si>
  <si>
    <t>ESC BORD CPB POLICIA</t>
  </si>
  <si>
    <t>7709155</t>
  </si>
  <si>
    <t>ESC BORD MZA INFAN AZURDUY</t>
  </si>
  <si>
    <t>7709305</t>
  </si>
  <si>
    <t>ESC BORD POLICIA DEL NQN DIV MOTORIZADA DE.MO.SE</t>
  </si>
  <si>
    <t>ESC BORD TMAN SS. PENITENCIARIO + BARG</t>
  </si>
  <si>
    <t>ESC BORD TMAN + BAND BV</t>
  </si>
  <si>
    <t>7709444</t>
  </si>
  <si>
    <t>ESC BORD POL LA RIOJA ESC DE CADETES</t>
  </si>
  <si>
    <t>7709799</t>
  </si>
  <si>
    <t>ESC BORDADO ESCUELA ISRAELITA</t>
  </si>
  <si>
    <t>7709904</t>
  </si>
  <si>
    <t>ESC BORD PROTECCION CIVIL PC SANTA CRUZ</t>
  </si>
  <si>
    <t>7711004</t>
  </si>
  <si>
    <t>SOL BORD ORO CRIO DG</t>
  </si>
  <si>
    <t>8205006</t>
  </si>
  <si>
    <t>BORCEGUI TACTICO DL006</t>
  </si>
  <si>
    <t>8205037</t>
  </si>
  <si>
    <t>BORCEGUI TACTICO FULL GRAIN LEATHER</t>
  </si>
  <si>
    <t>8205038</t>
  </si>
  <si>
    <t>BORCEGUI TACTICO FULL GRAIN LEATHER T.ESPECIAL</t>
  </si>
  <si>
    <t>BORCEGUI COMANDO RERDA BEIGE CIERRE CAR ART61</t>
  </si>
  <si>
    <t>8205600</t>
  </si>
  <si>
    <t>BORCEGUI TACTICO DEL600</t>
  </si>
  <si>
    <t>8205818</t>
  </si>
  <si>
    <t>BORCEGUI TACTICO BEIGE GL818</t>
  </si>
  <si>
    <t>8303360</t>
  </si>
  <si>
    <t>CASQ RIP NEGRO OFICIAL SUP POL STA CRUZ</t>
  </si>
  <si>
    <t>8400007</t>
  </si>
  <si>
    <t>GORRITA AZUL FAF</t>
  </si>
  <si>
    <t>GORRITA MZA PENITENCIARIA INFOPE</t>
  </si>
  <si>
    <t>SUDADERA RED MILITAR NEGRA ORF</t>
  </si>
  <si>
    <t>BASTON EXTENSIBLE CROM.5736</t>
  </si>
  <si>
    <t>GRIFA INFANTERIA RER</t>
  </si>
  <si>
    <t>GRIFA CABALLERIA RER</t>
  </si>
  <si>
    <t>8505034</t>
  </si>
  <si>
    <t>PECT ESC CADETES 2 BARRAS BLANCO BI</t>
  </si>
  <si>
    <t>8505050</t>
  </si>
  <si>
    <t>PECT GOMA 2 ROMBOS OF INSPECTOR BV GOA</t>
  </si>
  <si>
    <t>8505051</t>
  </si>
  <si>
    <t>PEC GOMA 2 ROMBOS SUB INSPECTOR COLOR GOA</t>
  </si>
  <si>
    <t>8505052</t>
  </si>
  <si>
    <t>PEC GOMA 2 ROMBOS SUB INSPECTOR BV GOA</t>
  </si>
  <si>
    <t>8505053</t>
  </si>
  <si>
    <t>PECT GOMA 1 ROMBO PLATEADO GOA</t>
  </si>
  <si>
    <t>8505054</t>
  </si>
  <si>
    <t>PECT GOMA 1 ROMBO DORADO GOA</t>
  </si>
  <si>
    <t>8505055</t>
  </si>
  <si>
    <t>PEC GOMA 3 ROMBOS OF PPAL GOA</t>
  </si>
  <si>
    <t>8515750</t>
  </si>
  <si>
    <t>CORBATA GRUPO RL NEGRA</t>
  </si>
  <si>
    <t>8515770</t>
  </si>
  <si>
    <t>CORBATA STAR</t>
  </si>
  <si>
    <t>BRAZALETE PARACOR BRUJ+ TERMOMETRO 4321</t>
  </si>
  <si>
    <t>CUCHILLO NEGRO C/FUNDA Y AFILADOR 0812-14 IMP</t>
  </si>
  <si>
    <t>8701010</t>
  </si>
  <si>
    <t>CINTO RIGIDO DOBLE MOLLE</t>
  </si>
  <si>
    <t>CINTURON COBRA HEB METALICA 5576 IMP</t>
  </si>
  <si>
    <t>CINT GALA AZUL POLICIA CINTA DORADA S/HEBILLA</t>
  </si>
  <si>
    <t>CINT GALA AZUL POLICIA CINTA NEGRA S/HEBILLA</t>
  </si>
  <si>
    <t>CINT GALA NEGRO PENITENCIARIA CINTA DORADA S/HEBILLA</t>
  </si>
  <si>
    <t>RIÑONERA WOODPACK CAMUFLADA BLK</t>
  </si>
  <si>
    <t>RIÑONERA WOODPACK VERDE BLK</t>
  </si>
  <si>
    <t>8703239</t>
  </si>
  <si>
    <t>PIST NIVEL 2 BERSA THUNDER/PRO/TPR B07 + PASACINTO</t>
  </si>
  <si>
    <t>8705088</t>
  </si>
  <si>
    <t>PORTA CARG KYDEX SIMPLE FCARBONO 9/4</t>
  </si>
  <si>
    <t>8705114</t>
  </si>
  <si>
    <t>PORTA CARGADOR DOBLE UNIVERSAL C/TAPA POLIMERO BO4DT</t>
  </si>
  <si>
    <t>8707966</t>
  </si>
  <si>
    <t>PORTA ESPOSAS TACTICO UNIVERSAL DE POLIMERO BO5</t>
  </si>
  <si>
    <t>8708140</t>
  </si>
  <si>
    <t>CHALECO PORTA PLACAS MOLLE</t>
  </si>
  <si>
    <t>MUÑEQUERA PORTA RELOJ RRD81 BLK</t>
  </si>
  <si>
    <t>8888035</t>
  </si>
  <si>
    <t>BORD EN PRENDA ELITE FORCE</t>
  </si>
  <si>
    <t>8888036</t>
  </si>
  <si>
    <t>BORD EN PRENDA KINETA</t>
  </si>
  <si>
    <t>CODIGO</t>
  </si>
  <si>
    <t>COD. Nº</t>
  </si>
  <si>
    <t>CLIENTE</t>
  </si>
  <si>
    <t>DIRECCION</t>
  </si>
  <si>
    <t>DESPACHO</t>
  </si>
  <si>
    <t>MERCEDES GALARZA</t>
  </si>
  <si>
    <t>VIRGINIA GONZÁLEZ ORFILA</t>
  </si>
  <si>
    <t>Vieytes 2621</t>
  </si>
  <si>
    <t xml:space="preserve">MENDOZA ALEJANDR0 </t>
  </si>
  <si>
    <t>GIMENEZ LORELEY</t>
  </si>
  <si>
    <t>ESPINOSA ARIEL</t>
  </si>
  <si>
    <t xml:space="preserve">OCAMPO JOSE LUIS </t>
  </si>
  <si>
    <t>PALACIO KEVIN</t>
  </si>
  <si>
    <t>SALINAS RUBEN</t>
  </si>
  <si>
    <t>VARELA CLAUDIO</t>
  </si>
  <si>
    <t>SILVA LAUTARO</t>
  </si>
  <si>
    <t>AREVALO VIRGILIO</t>
  </si>
  <si>
    <t>PACHECO ELSA</t>
  </si>
  <si>
    <t xml:space="preserve">MARTINEZ CLAUDIO </t>
  </si>
  <si>
    <t xml:space="preserve">SALTA </t>
  </si>
  <si>
    <t>SALTA CAPITAL</t>
  </si>
  <si>
    <t>PASAJE LETT 4059 ,BARRIO ALVEAR</t>
  </si>
  <si>
    <t xml:space="preserve">SANTA FE </t>
  </si>
  <si>
    <t>09. Negro</t>
  </si>
  <si>
    <t>MANUEL BELGRANO 495 (SUCURSAL CORREO )</t>
  </si>
  <si>
    <t xml:space="preserve">ALDERETES </t>
  </si>
  <si>
    <t>GO CUOTAS</t>
  </si>
  <si>
    <t xml:space="preserve">SAN MARTIN DE LOS ANDES </t>
  </si>
  <si>
    <t xml:space="preserve">NEUQUEN </t>
  </si>
  <si>
    <t>ELE</t>
  </si>
  <si>
    <t>GoCuotas</t>
  </si>
  <si>
    <t>PagoNube</t>
  </si>
  <si>
    <t>Bordo</t>
  </si>
  <si>
    <t>Camel</t>
  </si>
  <si>
    <t>Digital Gris</t>
  </si>
  <si>
    <t>Amarillo</t>
  </si>
  <si>
    <t>Multicam Black</t>
  </si>
  <si>
    <t>Vial Tucuman</t>
  </si>
  <si>
    <t>Violeta</t>
  </si>
  <si>
    <t>Star Seg</t>
  </si>
  <si>
    <t>Dama</t>
  </si>
  <si>
    <t>Abrojo</t>
  </si>
  <si>
    <t>Estampado</t>
  </si>
  <si>
    <t>Valor Unitario u$s
(Unit Value)</t>
  </si>
  <si>
    <t>Valor Subtotal u$s
(Subtotal Value)</t>
  </si>
  <si>
    <t>TOTAL u$s</t>
  </si>
  <si>
    <t>654657987624313213213</t>
  </si>
  <si>
    <t>6549879645</t>
  </si>
  <si>
    <t>0293578953795345</t>
  </si>
  <si>
    <t>2934879234792439284759</t>
  </si>
  <si>
    <t>49582759847087598435</t>
  </si>
  <si>
    <t>543535-4544</t>
  </si>
  <si>
    <t>023870-345-345</t>
  </si>
  <si>
    <t>69287322414643433454345</t>
  </si>
  <si>
    <t>TALLE</t>
  </si>
  <si>
    <t>CANT</t>
  </si>
  <si>
    <t>TOTAL</t>
  </si>
  <si>
    <t>PRECIO</t>
  </si>
  <si>
    <t>DETALLE</t>
  </si>
  <si>
    <t>ACLARACION</t>
  </si>
  <si>
    <t>FACTURA</t>
  </si>
  <si>
    <t>DNI-CUIT</t>
  </si>
  <si>
    <t>PAGO</t>
  </si>
  <si>
    <t>ABR. Abrojo</t>
  </si>
  <si>
    <t>ESTAMP. Estampado</t>
  </si>
  <si>
    <t>CBU</t>
  </si>
  <si>
    <t>N° CUENTA</t>
  </si>
  <si>
    <t>CUOTAS</t>
  </si>
  <si>
    <t>30-44455</t>
  </si>
  <si>
    <t>30-7895</t>
  </si>
  <si>
    <t>30-44456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</si>
</sst>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_-[$$-2C0A]\ * #,##0_-;\-[$$-2C0A]\ * #,##0_-;_-[$$-2C0A]\ * &quot;-&quot;??_-;_-@_-"/>
    <numFmt numFmtId="165" formatCode="_-[$$-2C0A]\ * #,##0.00_-;\-[$$-2C0A]\ * #,##0.00_-;_-[$$-2C0A]\ * &quot;-&quot;??_-;_-@_-"/>
  </numFmts>
  <fonts count="5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1"/>
      <name val="Arial"/>
      <family val="2"/>
    </font>
    <font>
      <b/>
      <sz val="10"/>
      <name val="Arial"/>
      <family val="2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b/>
      <sz val="14"/>
      <color indexed="12"/>
      <name val="Calibri"/>
      <family val="2"/>
    </font>
    <font>
      <sz val="11"/>
      <name val="Calibri"/>
      <family val="2"/>
    </font>
    <font>
      <sz val="11"/>
      <color indexed="12"/>
      <name val="Calibri"/>
      <family val="2"/>
    </font>
    <font>
      <b/>
      <sz val="11"/>
      <color indexed="9"/>
      <name val="Calibri"/>
      <family val="2"/>
    </font>
    <font>
      <sz val="11"/>
      <color indexed="9"/>
      <name val="Calibri"/>
      <family val="2"/>
    </font>
    <font>
      <i/>
      <sz val="11"/>
      <name val="Calibri"/>
      <family val="2"/>
    </font>
    <font>
      <sz val="11"/>
      <name val="Arial"/>
      <family val="2"/>
    </font>
    <font>
      <b/>
      <sz val="9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7"/>
      <name val="Arial"/>
      <family val="2"/>
    </font>
    <font>
      <b/>
      <sz val="7"/>
      <name val="Arial"/>
      <family val="2"/>
    </font>
    <font>
      <b/>
      <i/>
      <sz val="8"/>
      <name val="Arial"/>
      <family val="2"/>
    </font>
    <font>
      <b/>
      <i/>
      <sz val="8"/>
      <color theme="4"/>
      <name val="Arial"/>
      <family val="2"/>
    </font>
    <font>
      <b/>
      <sz val="21"/>
      <name val="Arial"/>
      <family val="2"/>
    </font>
    <font>
      <b/>
      <sz val="10"/>
      <color rgb="FF0070C0"/>
      <name val="Arial"/>
      <family val="2"/>
    </font>
    <font>
      <b/>
      <sz val="10"/>
      <color theme="4"/>
      <name val="Arial"/>
      <family val="2"/>
    </font>
    <font>
      <b/>
      <sz val="14"/>
      <color theme="4"/>
      <name val="Arial"/>
      <family val="2"/>
    </font>
    <font>
      <b/>
      <sz val="12"/>
      <color theme="4"/>
      <name val="Arial"/>
      <family val="2"/>
    </font>
    <font>
      <b/>
      <sz val="12"/>
      <name val="Arial"/>
      <family val="2"/>
    </font>
    <font>
      <b/>
      <sz val="13"/>
      <color theme="4"/>
      <name val="Arial"/>
      <family val="2"/>
    </font>
    <font>
      <b/>
      <sz val="13"/>
      <name val="Arial"/>
      <family val="2"/>
    </font>
    <font>
      <b/>
      <sz val="30"/>
      <name val="Arial"/>
      <family val="2"/>
    </font>
    <font>
      <b/>
      <sz val="15"/>
      <name val="Arial"/>
      <family val="2"/>
    </font>
    <font>
      <b/>
      <sz val="9"/>
      <color theme="0"/>
      <name val="Arial"/>
      <family val="2"/>
    </font>
    <font>
      <b/>
      <i/>
      <sz val="9"/>
      <color theme="0"/>
      <name val="Arial"/>
      <family val="2"/>
    </font>
    <font>
      <b/>
      <sz val="14"/>
      <color rgb="FF0070C0"/>
      <name val="Arial"/>
      <family val="2"/>
    </font>
    <font>
      <b/>
      <sz val="15"/>
      <color theme="4"/>
      <name val="Arial"/>
      <family val="2"/>
    </font>
    <font>
      <b/>
      <sz val="12"/>
      <color theme="4" tint="-0.249977111117893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b/>
      <sz val="12"/>
      <color rgb="FF0070C0"/>
      <name val="Arial"/>
      <family val="2"/>
    </font>
    <font>
      <b/>
      <sz val="15"/>
      <color theme="0"/>
      <name val="Arial"/>
      <family val="2"/>
    </font>
    <font>
      <b/>
      <sz val="8"/>
      <color theme="0"/>
      <name val="Arial"/>
      <family val="2"/>
    </font>
    <font>
      <b/>
      <sz val="12"/>
      <color theme="0"/>
      <name val="Arial"/>
      <family val="2"/>
    </font>
    <font>
      <b/>
      <sz val="14"/>
      <color rgb="FF000000"/>
      <name val="Calibri"/>
      <family val="2"/>
    </font>
    <font>
      <b/>
      <sz val="15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38"/>
      <name val="Arial"/>
      <family val="2"/>
    </font>
    <font>
      <sz val="38"/>
      <name val="Arial"/>
      <family val="2"/>
    </font>
    <font>
      <sz val="11"/>
      <color rgb="FF000000"/>
      <name val="Calibri"/>
      <family val="2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b/>
      <sz val="11"/>
      <name val="Calibri"/>
      <family val="2"/>
      <scheme val="minor"/>
    </font>
    <font>
      <sz val="11"/>
      <color indexed="8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indexed="22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2"/>
      </left>
      <right style="thin">
        <color indexed="9"/>
      </right>
      <top style="thin">
        <color indexed="62"/>
      </top>
      <bottom/>
      <diagonal/>
    </border>
    <border>
      <left style="thin">
        <color indexed="9"/>
      </left>
      <right style="thin">
        <color indexed="9"/>
      </right>
      <top style="thin">
        <color indexed="62"/>
      </top>
      <bottom/>
      <diagonal/>
    </border>
    <border>
      <left style="thin">
        <color indexed="9"/>
      </left>
      <right style="thin">
        <color indexed="62"/>
      </right>
      <top style="thin">
        <color indexed="62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ashDotDot">
        <color indexed="64"/>
      </top>
      <bottom style="thin">
        <color indexed="64"/>
      </bottom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0" fontId="6" fillId="0" borderId="0"/>
  </cellStyleXfs>
  <cellXfs count="451">
    <xf numFmtId="0" fontId="0" fillId="0" borderId="0" xfId="0"/>
    <xf numFmtId="0" fontId="8" fillId="0" borderId="0" xfId="2" applyFont="1" applyBorder="1"/>
    <xf numFmtId="0" fontId="11" fillId="0" borderId="0" xfId="2" applyFont="1" applyBorder="1" applyAlignment="1">
      <alignment vertical="center" wrapText="1"/>
    </xf>
    <xf numFmtId="0" fontId="8" fillId="0" borderId="0" xfId="2" applyFont="1" applyFill="1" applyBorder="1"/>
    <xf numFmtId="0" fontId="0" fillId="0" borderId="16" xfId="0" applyBorder="1" applyAlignment="1" applyProtection="1">
      <alignment wrapText="1"/>
    </xf>
    <xf numFmtId="0" fontId="0" fillId="0" borderId="17" xfId="0" applyBorder="1" applyAlignment="1" applyProtection="1">
      <alignment wrapText="1"/>
    </xf>
    <xf numFmtId="0" fontId="16" fillId="0" borderId="0" xfId="0" applyFont="1" applyBorder="1" applyAlignment="1" applyProtection="1">
      <alignment wrapText="1"/>
    </xf>
    <xf numFmtId="0" fontId="0" fillId="0" borderId="0" xfId="0" applyProtection="1"/>
    <xf numFmtId="0" fontId="15" fillId="0" borderId="0" xfId="0" applyFont="1" applyBorder="1" applyAlignment="1" applyProtection="1">
      <alignment wrapText="1"/>
    </xf>
    <xf numFmtId="0" fontId="16" fillId="0" borderId="10" xfId="0" applyFont="1" applyBorder="1" applyAlignment="1" applyProtection="1">
      <alignment wrapText="1"/>
    </xf>
    <xf numFmtId="0" fontId="17" fillId="0" borderId="0" xfId="0" applyFont="1" applyBorder="1" applyAlignment="1" applyProtection="1">
      <alignment horizontal="right" wrapText="1"/>
    </xf>
    <xf numFmtId="0" fontId="17" fillId="0" borderId="0" xfId="0" applyFont="1" applyBorder="1" applyAlignment="1" applyProtection="1">
      <alignment horizontal="right"/>
    </xf>
    <xf numFmtId="0" fontId="17" fillId="0" borderId="12" xfId="0" applyFont="1" applyBorder="1" applyAlignment="1" applyProtection="1">
      <alignment horizontal="right" wrapText="1"/>
    </xf>
    <xf numFmtId="0" fontId="17" fillId="0" borderId="12" xfId="0" applyFont="1" applyBorder="1" applyAlignment="1" applyProtection="1">
      <alignment horizontal="right"/>
    </xf>
    <xf numFmtId="0" fontId="0" fillId="0" borderId="23" xfId="0" applyBorder="1" applyAlignment="1" applyProtection="1">
      <alignment wrapText="1"/>
    </xf>
    <xf numFmtId="0" fontId="0" fillId="0" borderId="20" xfId="0" applyBorder="1" applyAlignment="1" applyProtection="1">
      <alignment wrapText="1"/>
    </xf>
    <xf numFmtId="0" fontId="21" fillId="0" borderId="23" xfId="0" applyFont="1" applyBorder="1" applyAlignment="1" applyProtection="1">
      <alignment horizontal="center" vertical="center" wrapText="1"/>
    </xf>
    <xf numFmtId="0" fontId="21" fillId="0" borderId="0" xfId="0" applyFont="1" applyBorder="1" applyAlignment="1" applyProtection="1">
      <alignment horizontal="center" vertical="center" wrapText="1"/>
    </xf>
    <xf numFmtId="0" fontId="21" fillId="0" borderId="20" xfId="0" applyFont="1" applyBorder="1" applyAlignment="1" applyProtection="1">
      <alignment horizontal="center" vertical="center" wrapText="1"/>
    </xf>
    <xf numFmtId="0" fontId="21" fillId="0" borderId="27" xfId="0" applyFont="1" applyBorder="1" applyAlignment="1" applyProtection="1">
      <alignment horizontal="center" vertical="center" wrapText="1"/>
    </xf>
    <xf numFmtId="0" fontId="21" fillId="0" borderId="12" xfId="0" applyFont="1" applyBorder="1" applyAlignment="1" applyProtection="1">
      <alignment horizontal="center" vertical="center" wrapText="1"/>
    </xf>
    <xf numFmtId="0" fontId="21" fillId="0" borderId="22" xfId="0" applyFont="1" applyBorder="1" applyAlignment="1" applyProtection="1">
      <alignment horizontal="center" vertical="center" wrapText="1"/>
    </xf>
    <xf numFmtId="0" fontId="0" fillId="0" borderId="0" xfId="0" applyBorder="1" applyAlignment="1" applyProtection="1">
      <alignment wrapText="1"/>
    </xf>
    <xf numFmtId="0" fontId="22" fillId="0" borderId="0" xfId="0" applyFont="1" applyBorder="1" applyAlignment="1" applyProtection="1">
      <alignment horizontal="right" vertical="center"/>
    </xf>
    <xf numFmtId="3" fontId="22" fillId="0" borderId="0" xfId="0" applyNumberFormat="1" applyFont="1" applyBorder="1" applyAlignment="1" applyProtection="1">
      <alignment horizontal="center" vertical="center" wrapText="1"/>
    </xf>
    <xf numFmtId="3" fontId="22" fillId="0" borderId="20" xfId="0" applyNumberFormat="1" applyFont="1" applyBorder="1" applyAlignment="1" applyProtection="1">
      <alignment horizontal="center" vertical="center" wrapText="1"/>
    </xf>
    <xf numFmtId="0" fontId="3" fillId="0" borderId="0" xfId="0" applyFont="1" applyBorder="1" applyAlignment="1" applyProtection="1">
      <alignment wrapText="1"/>
    </xf>
    <xf numFmtId="0" fontId="3" fillId="0" borderId="0" xfId="0" applyFont="1" applyBorder="1" applyAlignment="1" applyProtection="1">
      <alignment horizontal="right" vertical="center"/>
    </xf>
    <xf numFmtId="0" fontId="22" fillId="0" borderId="0" xfId="0" applyFont="1" applyBorder="1" applyAlignment="1" applyProtection="1">
      <alignment horizontal="left" vertical="center" wrapText="1"/>
    </xf>
    <xf numFmtId="0" fontId="26" fillId="0" borderId="0" xfId="0" applyFont="1" applyBorder="1" applyAlignment="1" applyProtection="1">
      <alignment horizontal="left" vertical="center" wrapText="1"/>
    </xf>
    <xf numFmtId="0" fontId="26" fillId="0" borderId="0" xfId="0" applyFont="1" applyBorder="1" applyAlignment="1" applyProtection="1">
      <alignment vertical="center" wrapText="1"/>
    </xf>
    <xf numFmtId="0" fontId="3" fillId="0" borderId="0" xfId="0" applyFont="1" applyBorder="1" applyAlignment="1" applyProtection="1">
      <alignment vertical="center" wrapText="1"/>
    </xf>
    <xf numFmtId="0" fontId="0" fillId="0" borderId="29" xfId="0" applyBorder="1" applyAlignment="1" applyProtection="1">
      <alignment wrapText="1"/>
    </xf>
    <xf numFmtId="0" fontId="0" fillId="0" borderId="30" xfId="0" applyBorder="1" applyAlignment="1" applyProtection="1">
      <alignment wrapText="1"/>
    </xf>
    <xf numFmtId="0" fontId="3" fillId="6" borderId="1" xfId="0" applyFont="1" applyFill="1" applyBorder="1"/>
    <xf numFmtId="0" fontId="6" fillId="0" borderId="1" xfId="0" applyFont="1" applyBorder="1" applyAlignment="1">
      <alignment horizontal="right"/>
    </xf>
    <xf numFmtId="0" fontId="6" fillId="0" borderId="1" xfId="0" applyFont="1" applyBorder="1" applyAlignment="1">
      <alignment horizontal="left"/>
    </xf>
    <xf numFmtId="1" fontId="6" fillId="0" borderId="1" xfId="0" applyNumberFormat="1" applyFont="1" applyBorder="1" applyAlignment="1">
      <alignment horizontal="left"/>
    </xf>
    <xf numFmtId="0" fontId="0" fillId="0" borderId="1" xfId="0" applyBorder="1" applyAlignment="1">
      <alignment horizontal="left"/>
    </xf>
    <xf numFmtId="0" fontId="5" fillId="0" borderId="1" xfId="1" applyBorder="1" applyAlignment="1">
      <alignment horizontal="left"/>
    </xf>
    <xf numFmtId="0" fontId="14" fillId="0" borderId="16" xfId="0" applyFont="1" applyBorder="1" applyAlignment="1">
      <alignment vertical="center" textRotation="90" wrapText="1"/>
    </xf>
    <xf numFmtId="0" fontId="0" fillId="0" borderId="16" xfId="0" applyBorder="1" applyAlignment="1">
      <alignment wrapText="1"/>
    </xf>
    <xf numFmtId="0" fontId="0" fillId="0" borderId="17" xfId="0" applyBorder="1" applyAlignment="1">
      <alignment wrapText="1"/>
    </xf>
    <xf numFmtId="0" fontId="14" fillId="0" borderId="0" xfId="0" applyFont="1" applyBorder="1" applyAlignment="1">
      <alignment vertical="center" textRotation="90" wrapText="1"/>
    </xf>
    <xf numFmtId="0" fontId="16" fillId="0" borderId="0" xfId="0" applyFont="1" applyBorder="1" applyAlignment="1">
      <alignment wrapText="1"/>
    </xf>
    <xf numFmtId="0" fontId="15" fillId="0" borderId="0" xfId="0" applyFont="1" applyBorder="1" applyAlignment="1">
      <alignment wrapText="1"/>
    </xf>
    <xf numFmtId="0" fontId="16" fillId="0" borderId="10" xfId="0" applyFont="1" applyBorder="1" applyAlignment="1">
      <alignment wrapText="1"/>
    </xf>
    <xf numFmtId="0" fontId="17" fillId="0" borderId="0" xfId="0" applyFont="1" applyBorder="1" applyAlignment="1">
      <alignment horizontal="right" wrapText="1"/>
    </xf>
    <xf numFmtId="0" fontId="17" fillId="0" borderId="0" xfId="0" applyFont="1" applyBorder="1" applyAlignment="1">
      <alignment horizontal="right"/>
    </xf>
    <xf numFmtId="0" fontId="14" fillId="0" borderId="12" xfId="0" applyFont="1" applyBorder="1" applyAlignment="1">
      <alignment vertical="center" textRotation="90" wrapText="1"/>
    </xf>
    <xf numFmtId="0" fontId="17" fillId="0" borderId="12" xfId="0" applyFont="1" applyBorder="1" applyAlignment="1">
      <alignment horizontal="right" wrapText="1"/>
    </xf>
    <xf numFmtId="0" fontId="17" fillId="0" borderId="12" xfId="0" applyFont="1" applyBorder="1" applyAlignment="1">
      <alignment horizontal="right"/>
    </xf>
    <xf numFmtId="0" fontId="0" fillId="0" borderId="23" xfId="0" applyBorder="1" applyAlignment="1">
      <alignment wrapText="1"/>
    </xf>
    <xf numFmtId="0" fontId="0" fillId="0" borderId="0" xfId="0" applyBorder="1" applyAlignment="1">
      <alignment wrapText="1"/>
    </xf>
    <xf numFmtId="0" fontId="0" fillId="0" borderId="20" xfId="0" applyBorder="1" applyAlignment="1">
      <alignment wrapText="1"/>
    </xf>
    <xf numFmtId="0" fontId="15" fillId="0" borderId="25" xfId="0" applyFont="1" applyBorder="1" applyAlignment="1">
      <alignment horizontal="left" wrapText="1"/>
    </xf>
    <xf numFmtId="0" fontId="15" fillId="0" borderId="0" xfId="0" applyFont="1" applyBorder="1" applyAlignment="1">
      <alignment horizontal="left" wrapText="1"/>
    </xf>
    <xf numFmtId="0" fontId="3" fillId="0" borderId="0" xfId="0" applyFont="1" applyFill="1" applyBorder="1" applyAlignment="1">
      <alignment wrapText="1"/>
    </xf>
    <xf numFmtId="0" fontId="3" fillId="0" borderId="0" xfId="0" applyFont="1" applyFill="1" applyBorder="1" applyAlignment="1">
      <alignment horizontal="right" vertical="center"/>
    </xf>
    <xf numFmtId="0" fontId="0" fillId="0" borderId="0" xfId="0" applyFill="1" applyBorder="1"/>
    <xf numFmtId="3" fontId="22" fillId="0" borderId="20" xfId="0" applyNumberFormat="1" applyFont="1" applyFill="1" applyBorder="1" applyAlignment="1">
      <alignment horizontal="center" vertical="center" wrapText="1"/>
    </xf>
    <xf numFmtId="0" fontId="15" fillId="10" borderId="6" xfId="0" applyFont="1" applyFill="1" applyBorder="1" applyAlignment="1">
      <alignment vertical="center" textRotation="90" wrapText="1"/>
    </xf>
    <xf numFmtId="0" fontId="15" fillId="10" borderId="7" xfId="0" applyFont="1" applyFill="1" applyBorder="1" applyAlignment="1">
      <alignment vertical="center" textRotation="90" wrapText="1"/>
    </xf>
    <xf numFmtId="0" fontId="0" fillId="10" borderId="8" xfId="0" applyFill="1" applyBorder="1"/>
    <xf numFmtId="0" fontId="31" fillId="0" borderId="9" xfId="0" applyFont="1" applyFill="1" applyBorder="1" applyAlignment="1">
      <alignment vertical="center" wrapText="1"/>
    </xf>
    <xf numFmtId="0" fontId="31" fillId="7" borderId="20" xfId="0" applyFont="1" applyFill="1" applyBorder="1" applyAlignment="1">
      <alignment vertical="center" wrapText="1"/>
    </xf>
    <xf numFmtId="0" fontId="15" fillId="10" borderId="11" xfId="0" applyFont="1" applyFill="1" applyBorder="1" applyAlignment="1">
      <alignment vertical="center" textRotation="90" wrapText="1"/>
    </xf>
    <xf numFmtId="0" fontId="15" fillId="10" borderId="12" xfId="0" applyFont="1" applyFill="1" applyBorder="1" applyAlignment="1">
      <alignment vertical="center" textRotation="90" wrapText="1"/>
    </xf>
    <xf numFmtId="0" fontId="0" fillId="10" borderId="13" xfId="0" applyFill="1" applyBorder="1"/>
    <xf numFmtId="0" fontId="15" fillId="0" borderId="27" xfId="0" applyFont="1" applyFill="1" applyBorder="1" applyAlignment="1">
      <alignment vertical="center" textRotation="90" wrapText="1"/>
    </xf>
    <xf numFmtId="0" fontId="15" fillId="0" borderId="12" xfId="0" applyFont="1" applyFill="1" applyBorder="1" applyAlignment="1">
      <alignment vertical="center" textRotation="90" wrapText="1"/>
    </xf>
    <xf numFmtId="0" fontId="22" fillId="0" borderId="12" xfId="0" applyFont="1" applyFill="1" applyBorder="1" applyAlignment="1">
      <alignment horizontal="left" vertical="center" wrapText="1"/>
    </xf>
    <xf numFmtId="0" fontId="0" fillId="0" borderId="12" xfId="0" applyFill="1" applyBorder="1"/>
    <xf numFmtId="0" fontId="33" fillId="0" borderId="12" xfId="0" applyFont="1" applyFill="1" applyBorder="1" applyAlignment="1">
      <alignment vertical="center" wrapText="1"/>
    </xf>
    <xf numFmtId="0" fontId="0" fillId="0" borderId="22" xfId="0" applyFill="1" applyBorder="1" applyAlignment="1">
      <alignment wrapText="1"/>
    </xf>
    <xf numFmtId="0" fontId="15" fillId="10" borderId="0" xfId="0" applyFont="1" applyFill="1" applyBorder="1" applyAlignment="1">
      <alignment horizontal="center" vertical="center" textRotation="90" wrapText="1"/>
    </xf>
    <xf numFmtId="0" fontId="22" fillId="10" borderId="0" xfId="0" applyFont="1" applyFill="1" applyBorder="1" applyAlignment="1">
      <alignment horizontal="left" vertical="center" wrapText="1"/>
    </xf>
    <xf numFmtId="0" fontId="33" fillId="10" borderId="0" xfId="0" applyFont="1" applyFill="1" applyBorder="1" applyAlignment="1">
      <alignment vertical="center" wrapText="1"/>
    </xf>
    <xf numFmtId="0" fontId="0" fillId="10" borderId="20" xfId="0" applyFill="1" applyBorder="1" applyAlignment="1">
      <alignment wrapText="1"/>
    </xf>
    <xf numFmtId="0" fontId="33" fillId="0" borderId="0" xfId="0" applyFont="1" applyBorder="1" applyAlignment="1">
      <alignment horizontal="left" vertical="center" wrapText="1"/>
    </xf>
    <xf numFmtId="0" fontId="35" fillId="0" borderId="0" xfId="0" applyFont="1" applyBorder="1" applyAlignment="1">
      <alignment horizontal="left" vertical="center" wrapText="1"/>
    </xf>
    <xf numFmtId="0" fontId="35" fillId="0" borderId="10" xfId="0" applyFont="1" applyBorder="1" applyAlignment="1">
      <alignment horizontal="left" vertical="center" wrapText="1"/>
    </xf>
    <xf numFmtId="0" fontId="26" fillId="0" borderId="0" xfId="0" applyFont="1" applyBorder="1" applyAlignment="1">
      <alignment horizontal="left" vertical="center" wrapText="1"/>
    </xf>
    <xf numFmtId="0" fontId="3" fillId="0" borderId="0" xfId="0" applyFont="1" applyBorder="1" applyAlignment="1">
      <alignment horizontal="right" vertical="center" wrapText="1"/>
    </xf>
    <xf numFmtId="1" fontId="38" fillId="0" borderId="0" xfId="0" applyNumberFormat="1" applyFont="1" applyBorder="1" applyAlignment="1">
      <alignment horizontal="center" vertical="center" wrapText="1"/>
    </xf>
    <xf numFmtId="1" fontId="38" fillId="0" borderId="10" xfId="0" applyNumberFormat="1" applyFont="1" applyBorder="1" applyAlignment="1">
      <alignment horizontal="center" vertical="center" wrapText="1"/>
    </xf>
    <xf numFmtId="0" fontId="15" fillId="10" borderId="29" xfId="0" applyFont="1" applyFill="1" applyBorder="1" applyAlignment="1">
      <alignment horizontal="center" vertical="center" textRotation="90" wrapText="1"/>
    </xf>
    <xf numFmtId="0" fontId="0" fillId="10" borderId="29" xfId="0" applyFill="1" applyBorder="1" applyAlignment="1">
      <alignment wrapText="1"/>
    </xf>
    <xf numFmtId="0" fontId="0" fillId="10" borderId="30" xfId="0" applyFill="1" applyBorder="1" applyAlignment="1">
      <alignment wrapText="1"/>
    </xf>
    <xf numFmtId="0" fontId="40" fillId="7" borderId="6" xfId="0" applyFont="1" applyFill="1" applyBorder="1" applyAlignment="1">
      <alignment vertical="center" textRotation="90" wrapText="1"/>
    </xf>
    <xf numFmtId="0" fontId="40" fillId="7" borderId="7" xfId="0" applyFont="1" applyFill="1" applyBorder="1" applyAlignment="1">
      <alignment vertical="center" textRotation="90" wrapText="1"/>
    </xf>
    <xf numFmtId="0" fontId="40" fillId="7" borderId="11" xfId="0" applyFont="1" applyFill="1" applyBorder="1" applyAlignment="1">
      <alignment vertical="center" textRotation="90" wrapText="1"/>
    </xf>
    <xf numFmtId="0" fontId="40" fillId="7" borderId="12" xfId="0" applyFont="1" applyFill="1" applyBorder="1" applyAlignment="1">
      <alignment vertical="center" textRotation="90" wrapText="1"/>
    </xf>
    <xf numFmtId="0" fontId="40" fillId="7" borderId="0" xfId="0" applyFont="1" applyFill="1" applyBorder="1" applyAlignment="1">
      <alignment horizontal="center" vertical="center" textRotation="90" wrapText="1"/>
    </xf>
    <xf numFmtId="0" fontId="22" fillId="7" borderId="0" xfId="0" applyFont="1" applyFill="1" applyBorder="1" applyAlignment="1">
      <alignment horizontal="left" vertical="center" wrapText="1"/>
    </xf>
    <xf numFmtId="0" fontId="33" fillId="7" borderId="0" xfId="0" applyFont="1" applyFill="1" applyBorder="1" applyAlignment="1">
      <alignment vertical="center" wrapText="1"/>
    </xf>
    <xf numFmtId="0" fontId="0" fillId="7" borderId="20" xfId="0" applyFill="1" applyBorder="1" applyAlignment="1">
      <alignment wrapText="1"/>
    </xf>
    <xf numFmtId="0" fontId="40" fillId="7" borderId="29" xfId="0" applyFont="1" applyFill="1" applyBorder="1" applyAlignment="1">
      <alignment horizontal="center" vertical="center" textRotation="90" wrapText="1"/>
    </xf>
    <xf numFmtId="0" fontId="0" fillId="7" borderId="29" xfId="0" applyFill="1" applyBorder="1" applyAlignment="1">
      <alignment wrapText="1"/>
    </xf>
    <xf numFmtId="0" fontId="0" fillId="7" borderId="30" xfId="0" applyFill="1" applyBorder="1" applyAlignment="1">
      <alignment wrapText="1"/>
    </xf>
    <xf numFmtId="0" fontId="4" fillId="4" borderId="2" xfId="0" applyFont="1" applyFill="1" applyBorder="1" applyProtection="1">
      <protection hidden="1"/>
    </xf>
    <xf numFmtId="0" fontId="4" fillId="4" borderId="3" xfId="0" applyFont="1" applyFill="1" applyBorder="1" applyProtection="1">
      <protection hidden="1"/>
    </xf>
    <xf numFmtId="0" fontId="0" fillId="5" borderId="2" xfId="0" quotePrefix="1" applyFont="1" applyFill="1" applyBorder="1" applyProtection="1">
      <protection hidden="1"/>
    </xf>
    <xf numFmtId="0" fontId="0" fillId="0" borderId="2" xfId="0" quotePrefix="1" applyFont="1" applyBorder="1" applyProtection="1">
      <protection hidden="1"/>
    </xf>
    <xf numFmtId="0" fontId="0" fillId="0" borderId="0" xfId="0" applyProtection="1">
      <protection hidden="1"/>
    </xf>
    <xf numFmtId="0" fontId="0" fillId="0" borderId="0" xfId="0" quotePrefix="1" applyProtection="1">
      <protection hidden="1"/>
    </xf>
    <xf numFmtId="0" fontId="0" fillId="0" borderId="0" xfId="0" applyNumberFormat="1" applyProtection="1">
      <protection hidden="1"/>
    </xf>
    <xf numFmtId="0" fontId="8" fillId="0" borderId="0" xfId="2" applyFont="1" applyBorder="1" applyProtection="1">
      <protection hidden="1"/>
    </xf>
    <xf numFmtId="0" fontId="8" fillId="0" borderId="0" xfId="2" applyFont="1" applyBorder="1" applyAlignment="1" applyProtection="1">
      <alignment horizontal="left"/>
      <protection hidden="1"/>
    </xf>
    <xf numFmtId="0" fontId="8" fillId="0" borderId="0" xfId="2" applyFont="1" applyBorder="1" applyAlignment="1" applyProtection="1">
      <alignment horizontal="center"/>
      <protection hidden="1"/>
    </xf>
    <xf numFmtId="0" fontId="9" fillId="0" borderId="0" xfId="2" applyFont="1" applyBorder="1" applyAlignment="1" applyProtection="1">
      <alignment horizontal="center"/>
      <protection hidden="1"/>
    </xf>
    <xf numFmtId="0" fontId="8" fillId="0" borderId="0" xfId="2" applyFont="1" applyFill="1" applyBorder="1" applyAlignment="1">
      <alignment horizontal="center"/>
    </xf>
    <xf numFmtId="0" fontId="9" fillId="0" borderId="0" xfId="2" applyFont="1" applyFill="1" applyBorder="1" applyAlignment="1">
      <alignment horizontal="center"/>
    </xf>
    <xf numFmtId="0" fontId="0" fillId="0" borderId="4" xfId="0" applyFont="1" applyFill="1" applyBorder="1" applyAlignment="1" applyProtection="1">
      <alignment horizontal="center" vertical="center" shrinkToFit="1"/>
      <protection locked="0"/>
    </xf>
    <xf numFmtId="0" fontId="0" fillId="0" borderId="5" xfId="0" applyFont="1" applyFill="1" applyBorder="1" applyAlignment="1" applyProtection="1">
      <alignment horizontal="center" vertical="center" shrinkToFit="1"/>
      <protection locked="0"/>
    </xf>
    <xf numFmtId="0" fontId="0" fillId="0" borderId="4" xfId="0" applyFont="1" applyFill="1" applyBorder="1" applyAlignment="1" applyProtection="1">
      <alignment shrinkToFit="1"/>
    </xf>
    <xf numFmtId="0" fontId="0" fillId="0" borderId="4" xfId="0" applyFont="1" applyFill="1" applyBorder="1" applyAlignment="1" applyProtection="1">
      <alignment horizontal="center" shrinkToFit="1"/>
      <protection locked="0"/>
    </xf>
    <xf numFmtId="0" fontId="0" fillId="0" borderId="4" xfId="0" applyFont="1" applyFill="1" applyBorder="1" applyAlignment="1" applyProtection="1">
      <alignment shrinkToFit="1"/>
      <protection locked="0"/>
    </xf>
    <xf numFmtId="0" fontId="0" fillId="0" borderId="4" xfId="0" applyFill="1" applyBorder="1" applyAlignment="1" applyProtection="1">
      <alignment shrinkToFit="1"/>
      <protection locked="0"/>
    </xf>
    <xf numFmtId="0" fontId="0" fillId="0" borderId="4" xfId="0" applyFill="1" applyBorder="1" applyAlignment="1" applyProtection="1">
      <alignment horizontal="center" vertical="center" shrinkToFit="1"/>
      <protection locked="0"/>
    </xf>
    <xf numFmtId="0" fontId="0" fillId="0" borderId="5" xfId="0" applyFont="1" applyFill="1" applyBorder="1" applyAlignment="1" applyProtection="1">
      <alignment shrinkToFit="1"/>
    </xf>
    <xf numFmtId="0" fontId="0" fillId="0" borderId="5" xfId="0" applyFont="1" applyFill="1" applyBorder="1" applyAlignment="1" applyProtection="1">
      <alignment horizontal="center" shrinkToFit="1"/>
      <protection locked="0"/>
    </xf>
    <xf numFmtId="0" fontId="0" fillId="0" borderId="5" xfId="0" applyFill="1" applyBorder="1" applyAlignment="1" applyProtection="1">
      <alignment shrinkToFit="1"/>
      <protection locked="0"/>
    </xf>
    <xf numFmtId="0" fontId="0" fillId="0" borderId="5" xfId="0" applyFill="1" applyBorder="1" applyAlignment="1" applyProtection="1">
      <alignment horizontal="center" vertical="center" shrinkToFit="1"/>
      <protection locked="0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164" fontId="0" fillId="0" borderId="4" xfId="0" applyNumberFormat="1" applyFont="1" applyFill="1" applyBorder="1" applyAlignment="1" applyProtection="1">
      <alignment horizontal="left" shrinkToFit="1"/>
      <protection locked="0"/>
    </xf>
    <xf numFmtId="0" fontId="0" fillId="0" borderId="0" xfId="0" applyBorder="1"/>
    <xf numFmtId="0" fontId="8" fillId="0" borderId="0" xfId="2" applyFont="1" applyFill="1" applyBorder="1" applyAlignment="1">
      <alignment horizontal="left"/>
    </xf>
    <xf numFmtId="0" fontId="12" fillId="9" borderId="0" xfId="2" applyFont="1" applyFill="1" applyBorder="1" applyAlignment="1">
      <alignment horizontal="left"/>
    </xf>
    <xf numFmtId="0" fontId="13" fillId="0" borderId="0" xfId="0" applyFont="1" applyBorder="1" applyAlignment="1">
      <alignment horizontal="left"/>
    </xf>
    <xf numFmtId="0" fontId="10" fillId="8" borderId="34" xfId="2" applyFont="1" applyFill="1" applyBorder="1" applyAlignment="1" applyProtection="1">
      <alignment horizontal="center" vertical="center" wrapText="1"/>
      <protection locked="0" hidden="1"/>
    </xf>
    <xf numFmtId="0" fontId="10" fillId="8" borderId="35" xfId="2" applyFont="1" applyFill="1" applyBorder="1" applyAlignment="1" applyProtection="1">
      <alignment horizontal="center" vertical="center" wrapText="1"/>
      <protection locked="0" hidden="1"/>
    </xf>
    <xf numFmtId="0" fontId="10" fillId="8" borderId="36" xfId="2" applyFont="1" applyFill="1" applyBorder="1" applyAlignment="1" applyProtection="1">
      <alignment horizontal="center" vertical="center" wrapText="1"/>
      <protection locked="0"/>
    </xf>
    <xf numFmtId="0" fontId="1" fillId="11" borderId="37" xfId="0" applyFont="1" applyFill="1" applyBorder="1" applyAlignment="1" applyProtection="1">
      <alignment horizontal="center"/>
      <protection locked="0"/>
    </xf>
    <xf numFmtId="0" fontId="0" fillId="0" borderId="38" xfId="0" applyFont="1" applyFill="1" applyBorder="1" applyAlignment="1" applyProtection="1">
      <alignment horizontal="center" vertical="center" shrinkToFit="1"/>
      <protection locked="0"/>
    </xf>
    <xf numFmtId="0" fontId="1" fillId="2" borderId="39" xfId="0" applyFont="1" applyFill="1" applyBorder="1" applyAlignment="1" applyProtection="1">
      <alignment horizontal="center" vertical="center" wrapText="1"/>
    </xf>
    <xf numFmtId="0" fontId="1" fillId="2" borderId="39" xfId="0" applyFont="1" applyFill="1" applyBorder="1" applyAlignment="1" applyProtection="1">
      <alignment horizontal="left" vertical="center" wrapText="1"/>
    </xf>
    <xf numFmtId="0" fontId="0" fillId="0" borderId="23" xfId="0" applyBorder="1" applyAlignment="1" applyProtection="1">
      <alignment wrapText="1"/>
      <protection hidden="1"/>
    </xf>
    <xf numFmtId="0" fontId="0" fillId="0" borderId="0" xfId="0" applyBorder="1" applyAlignment="1" applyProtection="1">
      <alignment wrapText="1"/>
      <protection hidden="1"/>
    </xf>
    <xf numFmtId="0" fontId="0" fillId="0" borderId="20" xfId="0" applyBorder="1" applyAlignment="1" applyProtection="1">
      <alignment wrapText="1"/>
      <protection hidden="1"/>
    </xf>
    <xf numFmtId="0" fontId="15" fillId="0" borderId="0" xfId="0" applyFont="1" applyBorder="1" applyAlignment="1" applyProtection="1">
      <alignment horizontal="left" wrapText="1"/>
      <protection hidden="1"/>
    </xf>
    <xf numFmtId="0" fontId="3" fillId="0" borderId="0" xfId="0" applyFont="1" applyFill="1" applyBorder="1" applyAlignment="1" applyProtection="1">
      <alignment wrapText="1"/>
      <protection hidden="1"/>
    </xf>
    <xf numFmtId="0" fontId="3" fillId="0" borderId="0" xfId="0" applyFont="1" applyFill="1" applyBorder="1" applyAlignment="1" applyProtection="1">
      <alignment horizontal="right" vertical="center"/>
      <protection hidden="1"/>
    </xf>
    <xf numFmtId="0" fontId="0" fillId="0" borderId="0" xfId="0" applyFill="1" applyBorder="1" applyProtection="1">
      <protection hidden="1"/>
    </xf>
    <xf numFmtId="3" fontId="22" fillId="0" borderId="20" xfId="0" applyNumberFormat="1" applyFont="1" applyFill="1" applyBorder="1" applyAlignment="1" applyProtection="1">
      <alignment horizontal="center" vertical="center" wrapText="1"/>
      <protection hidden="1"/>
    </xf>
    <xf numFmtId="0" fontId="15" fillId="0" borderId="27" xfId="0" applyFont="1" applyFill="1" applyBorder="1" applyAlignment="1" applyProtection="1">
      <alignment vertical="center" textRotation="90" wrapText="1"/>
      <protection hidden="1"/>
    </xf>
    <xf numFmtId="0" fontId="15" fillId="0" borderId="12" xfId="0" applyFont="1" applyFill="1" applyBorder="1" applyAlignment="1" applyProtection="1">
      <alignment vertical="center" textRotation="90" wrapText="1"/>
      <protection hidden="1"/>
    </xf>
    <xf numFmtId="0" fontId="22" fillId="0" borderId="12" xfId="0" applyFont="1" applyFill="1" applyBorder="1" applyAlignment="1" applyProtection="1">
      <alignment horizontal="left" vertical="center" wrapText="1"/>
      <protection hidden="1"/>
    </xf>
    <xf numFmtId="0" fontId="0" fillId="0" borderId="12" xfId="0" applyFill="1" applyBorder="1" applyProtection="1">
      <protection hidden="1"/>
    </xf>
    <xf numFmtId="0" fontId="33" fillId="0" borderId="12" xfId="0" applyFont="1" applyFill="1" applyBorder="1" applyAlignment="1" applyProtection="1">
      <alignment vertical="center" wrapText="1"/>
      <protection hidden="1"/>
    </xf>
    <xf numFmtId="0" fontId="0" fillId="0" borderId="22" xfId="0" applyFill="1" applyBorder="1" applyAlignment="1" applyProtection="1">
      <alignment wrapText="1"/>
      <protection hidden="1"/>
    </xf>
    <xf numFmtId="0" fontId="33" fillId="0" borderId="0" xfId="0" applyFont="1" applyBorder="1" applyAlignment="1" applyProtection="1">
      <alignment horizontal="left" vertical="center" wrapText="1"/>
      <protection hidden="1"/>
    </xf>
    <xf numFmtId="0" fontId="35" fillId="0" borderId="0" xfId="0" applyFont="1" applyBorder="1" applyAlignment="1" applyProtection="1">
      <alignment horizontal="left" vertical="center" wrapText="1"/>
      <protection hidden="1"/>
    </xf>
    <xf numFmtId="0" fontId="35" fillId="0" borderId="10" xfId="0" applyFont="1" applyBorder="1" applyAlignment="1" applyProtection="1">
      <alignment horizontal="left" vertical="center" wrapText="1"/>
      <protection hidden="1"/>
    </xf>
    <xf numFmtId="0" fontId="26" fillId="0" borderId="0" xfId="0" applyFont="1" applyBorder="1" applyAlignment="1" applyProtection="1">
      <alignment horizontal="left" vertical="center" wrapText="1"/>
      <protection hidden="1"/>
    </xf>
    <xf numFmtId="0" fontId="3" fillId="0" borderId="0" xfId="0" applyFont="1" applyBorder="1" applyAlignment="1" applyProtection="1">
      <alignment horizontal="right" vertical="center" wrapText="1"/>
      <protection hidden="1"/>
    </xf>
    <xf numFmtId="1" fontId="38" fillId="0" borderId="0" xfId="0" applyNumberFormat="1" applyFont="1" applyBorder="1" applyAlignment="1" applyProtection="1">
      <alignment horizontal="center" vertical="center" wrapText="1"/>
      <protection hidden="1"/>
    </xf>
    <xf numFmtId="1" fontId="38" fillId="0" borderId="10" xfId="0" applyNumberFormat="1" applyFont="1" applyBorder="1" applyAlignment="1" applyProtection="1">
      <alignment horizontal="center" vertical="center" wrapText="1"/>
      <protection hidden="1"/>
    </xf>
    <xf numFmtId="0" fontId="31" fillId="0" borderId="20" xfId="0" applyFont="1" applyFill="1" applyBorder="1" applyAlignment="1" applyProtection="1">
      <alignment vertical="center" wrapText="1"/>
      <protection hidden="1"/>
    </xf>
    <xf numFmtId="0" fontId="31" fillId="0" borderId="0" xfId="0" applyFont="1" applyFill="1" applyBorder="1" applyAlignment="1" applyProtection="1">
      <alignment vertical="center" wrapText="1"/>
      <protection hidden="1"/>
    </xf>
    <xf numFmtId="0" fontId="40" fillId="0" borderId="0" xfId="0" applyFont="1" applyFill="1" applyBorder="1" applyAlignment="1" applyProtection="1">
      <alignment vertical="center" textRotation="90" wrapText="1"/>
      <protection hidden="1"/>
    </xf>
    <xf numFmtId="0" fontId="15" fillId="0" borderId="40" xfId="0" applyFont="1" applyFill="1" applyBorder="1" applyAlignment="1" applyProtection="1">
      <alignment vertical="center" textRotation="90" wrapText="1"/>
      <protection hidden="1"/>
    </xf>
    <xf numFmtId="0" fontId="15" fillId="0" borderId="23" xfId="0" applyFont="1" applyFill="1" applyBorder="1" applyAlignment="1" applyProtection="1">
      <alignment vertical="center" textRotation="90" wrapText="1"/>
      <protection hidden="1"/>
    </xf>
    <xf numFmtId="0" fontId="0" fillId="0" borderId="20" xfId="0" applyFill="1" applyBorder="1" applyAlignment="1" applyProtection="1">
      <alignment wrapText="1"/>
      <protection hidden="1"/>
    </xf>
    <xf numFmtId="0" fontId="0" fillId="0" borderId="30" xfId="0" applyFill="1" applyBorder="1" applyAlignment="1" applyProtection="1">
      <alignment wrapText="1"/>
      <protection hidden="1"/>
    </xf>
    <xf numFmtId="0" fontId="22" fillId="0" borderId="0" xfId="0" applyFont="1" applyFill="1" applyBorder="1" applyAlignment="1" applyProtection="1">
      <alignment horizontal="left" vertical="center" wrapText="1"/>
      <protection hidden="1"/>
    </xf>
    <xf numFmtId="0" fontId="33" fillId="0" borderId="0" xfId="0" applyFont="1" applyFill="1" applyBorder="1" applyAlignment="1" applyProtection="1">
      <alignment vertical="center" wrapText="1"/>
      <protection hidden="1"/>
    </xf>
    <xf numFmtId="0" fontId="40" fillId="0" borderId="0" xfId="0" applyFont="1" applyFill="1" applyBorder="1" applyAlignment="1" applyProtection="1">
      <alignment horizontal="center" vertical="center" textRotation="90" wrapText="1"/>
      <protection hidden="1"/>
    </xf>
    <xf numFmtId="0" fontId="40" fillId="0" borderId="29" xfId="0" applyFont="1" applyFill="1" applyBorder="1" applyAlignment="1" applyProtection="1">
      <alignment horizontal="center" vertical="center" textRotation="90" wrapText="1"/>
      <protection hidden="1"/>
    </xf>
    <xf numFmtId="0" fontId="0" fillId="0" borderId="29" xfId="0" applyFill="1" applyBorder="1" applyAlignment="1" applyProtection="1">
      <alignment wrapText="1"/>
      <protection hidden="1"/>
    </xf>
    <xf numFmtId="0" fontId="1" fillId="2" borderId="1" xfId="0" applyFont="1" applyFill="1" applyBorder="1" applyAlignment="1" applyProtection="1">
      <alignment horizontal="center" vertical="center" wrapText="1"/>
    </xf>
    <xf numFmtId="0" fontId="2" fillId="0" borderId="0" xfId="0" applyFont="1" applyFill="1" applyAlignment="1" applyProtection="1">
      <alignment vertical="center" wrapText="1"/>
    </xf>
    <xf numFmtId="0" fontId="43" fillId="0" borderId="0" xfId="0" applyFont="1" applyFill="1" applyAlignment="1" applyProtection="1">
      <alignment horizontal="center" vertical="center" wrapText="1"/>
    </xf>
    <xf numFmtId="164" fontId="1" fillId="0" borderId="1" xfId="0" applyNumberFormat="1" applyFont="1" applyFill="1" applyBorder="1" applyAlignment="1">
      <alignment vertical="center" wrapText="1"/>
    </xf>
    <xf numFmtId="0" fontId="0" fillId="0" borderId="0" xfId="0" applyFill="1" applyAlignment="1">
      <alignment vertical="center" wrapText="1"/>
    </xf>
    <xf numFmtId="0" fontId="0" fillId="0" borderId="0" xfId="0" applyFill="1"/>
    <xf numFmtId="0" fontId="0" fillId="0" borderId="24" xfId="0" applyBorder="1" applyAlignment="1" applyProtection="1">
      <alignment horizontal="center" vertical="center"/>
    </xf>
    <xf numFmtId="0" fontId="49" fillId="0" borderId="1" xfId="0" applyFont="1" applyBorder="1" applyAlignment="1" applyProtection="1">
      <alignment horizontal="center"/>
    </xf>
    <xf numFmtId="0" fontId="49" fillId="0" borderId="0" xfId="0" applyFont="1" applyBorder="1" applyAlignment="1" applyProtection="1">
      <alignment horizontal="center"/>
    </xf>
    <xf numFmtId="0" fontId="1" fillId="0" borderId="0" xfId="0" applyFont="1" applyProtection="1"/>
    <xf numFmtId="0" fontId="0" fillId="0" borderId="43" xfId="0" applyBorder="1" applyProtection="1"/>
    <xf numFmtId="165" fontId="49" fillId="0" borderId="43" xfId="0" applyNumberFormat="1" applyFont="1" applyBorder="1" applyAlignment="1" applyProtection="1">
      <alignment horizontal="right"/>
    </xf>
    <xf numFmtId="0" fontId="0" fillId="0" borderId="0" xfId="0" applyBorder="1" applyProtection="1"/>
    <xf numFmtId="0" fontId="50" fillId="0" borderId="44" xfId="0" applyFont="1" applyBorder="1" applyAlignment="1" applyProtection="1">
      <alignment horizontal="right" vertical="top" shrinkToFit="1"/>
      <protection locked="0"/>
    </xf>
    <xf numFmtId="0" fontId="1" fillId="0" borderId="1" xfId="0" applyFont="1" applyBorder="1" applyAlignment="1" applyProtection="1">
      <alignment horizontal="center" vertical="center" wrapText="1"/>
    </xf>
    <xf numFmtId="165" fontId="0" fillId="0" borderId="4" xfId="0" applyNumberFormat="1" applyBorder="1" applyAlignment="1" applyProtection="1">
      <alignment horizontal="right"/>
    </xf>
    <xf numFmtId="0" fontId="1" fillId="0" borderId="43" xfId="0" applyFont="1" applyBorder="1" applyProtection="1"/>
    <xf numFmtId="0" fontId="49" fillId="0" borderId="43" xfId="0" applyFont="1" applyBorder="1" applyAlignment="1" applyProtection="1">
      <alignment horizontal="right"/>
    </xf>
    <xf numFmtId="14" fontId="43" fillId="0" borderId="46" xfId="0" applyNumberFormat="1" applyFont="1" applyBorder="1" applyAlignment="1" applyProtection="1">
      <alignment horizontal="right" vertical="center"/>
    </xf>
    <xf numFmtId="0" fontId="0" fillId="0" borderId="10" xfId="0" applyBorder="1" applyProtection="1"/>
    <xf numFmtId="0" fontId="49" fillId="0" borderId="43" xfId="0" applyFont="1" applyBorder="1" applyAlignment="1" applyProtection="1">
      <alignment horizontal="left"/>
    </xf>
    <xf numFmtId="0" fontId="49" fillId="0" borderId="43" xfId="0" applyFont="1" applyBorder="1" applyAlignment="1" applyProtection="1">
      <alignment horizontal="center"/>
    </xf>
    <xf numFmtId="14" fontId="0" fillId="0" borderId="4" xfId="0" applyNumberFormat="1" applyFont="1" applyFill="1" applyBorder="1" applyAlignment="1" applyProtection="1">
      <alignment horizontal="right" shrinkToFit="1"/>
      <protection locked="0"/>
    </xf>
    <xf numFmtId="14" fontId="0" fillId="0" borderId="5" xfId="0" applyNumberFormat="1" applyFont="1" applyFill="1" applyBorder="1" applyAlignment="1" applyProtection="1">
      <alignment horizontal="right" shrinkToFit="1"/>
      <protection locked="0"/>
    </xf>
    <xf numFmtId="0" fontId="0" fillId="0" borderId="5" xfId="0" applyFont="1" applyFill="1" applyBorder="1" applyAlignment="1" applyProtection="1">
      <alignment shrinkToFit="1"/>
      <protection locked="0"/>
    </xf>
    <xf numFmtId="0" fontId="0" fillId="0" borderId="4" xfId="0" quotePrefix="1" applyFont="1" applyFill="1" applyBorder="1" applyAlignment="1" applyProtection="1">
      <alignment horizontal="center" vertical="center" shrinkToFit="1"/>
      <protection locked="0"/>
    </xf>
    <xf numFmtId="0" fontId="50" fillId="0" borderId="13" xfId="0" applyFont="1" applyBorder="1" applyAlignment="1" applyProtection="1">
      <alignment horizontal="right" vertical="top"/>
      <protection locked="0"/>
    </xf>
    <xf numFmtId="0" fontId="0" fillId="0" borderId="33" xfId="0" applyBorder="1" applyProtection="1">
      <protection locked="0"/>
    </xf>
    <xf numFmtId="0" fontId="0" fillId="0" borderId="4" xfId="0" applyBorder="1" applyProtection="1">
      <protection locked="0"/>
    </xf>
    <xf numFmtId="0" fontId="0" fillId="0" borderId="5" xfId="0" applyBorder="1" applyProtection="1">
      <protection locked="0"/>
    </xf>
    <xf numFmtId="165" fontId="0" fillId="0" borderId="0" xfId="0" applyNumberFormat="1" applyProtection="1">
      <protection locked="0"/>
    </xf>
    <xf numFmtId="0" fontId="0" fillId="0" borderId="33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  <protection locked="0"/>
    </xf>
    <xf numFmtId="0" fontId="0" fillId="0" borderId="47" xfId="0" applyBorder="1"/>
    <xf numFmtId="0" fontId="1" fillId="2" borderId="33" xfId="0" applyFont="1" applyFill="1" applyBorder="1" applyAlignment="1" applyProtection="1">
      <alignment horizontal="left" vertical="center" wrapText="1"/>
    </xf>
    <xf numFmtId="0" fontId="50" fillId="0" borderId="1" xfId="0" applyFont="1" applyBorder="1" applyAlignment="1">
      <alignment horizontal="center" vertical="center"/>
    </xf>
    <xf numFmtId="0" fontId="0" fillId="0" borderId="1" xfId="0" applyBorder="1"/>
    <xf numFmtId="0" fontId="43" fillId="0" borderId="1" xfId="0" applyFont="1" applyBorder="1" applyAlignment="1">
      <alignment horizontal="right"/>
    </xf>
    <xf numFmtId="0" fontId="43" fillId="0" borderId="1" xfId="0" applyFont="1" applyBorder="1" applyAlignment="1">
      <alignment horizontal="left"/>
    </xf>
    <xf numFmtId="0" fontId="0" fillId="0" borderId="0" xfId="0" applyFont="1"/>
    <xf numFmtId="0" fontId="0" fillId="0" borderId="0" xfId="0" applyFont="1" applyAlignment="1">
      <alignment vertical="top"/>
    </xf>
    <xf numFmtId="0" fontId="54" fillId="0" borderId="0" xfId="0" applyFont="1" applyAlignment="1">
      <alignment vertical="top"/>
    </xf>
    <xf numFmtId="0" fontId="53" fillId="3" borderId="0" xfId="0" applyFont="1" applyFill="1" applyAlignment="1" applyProtection="1">
      <alignment horizontal="center"/>
      <protection hidden="1"/>
    </xf>
    <xf numFmtId="0" fontId="0" fillId="0" borderId="4" xfId="0" applyBorder="1" applyAlignment="1" applyProtection="1">
      <alignment vertical="top"/>
      <protection locked="0"/>
    </xf>
    <xf numFmtId="14" fontId="0" fillId="0" borderId="4" xfId="0" applyNumberFormat="1" applyBorder="1" applyAlignment="1" applyProtection="1">
      <alignment vertical="top"/>
      <protection locked="0"/>
    </xf>
    <xf numFmtId="4" fontId="50" fillId="0" borderId="1" xfId="0" applyNumberFormat="1" applyFont="1" applyBorder="1" applyAlignment="1" applyProtection="1">
      <alignment horizontal="right"/>
    </xf>
    <xf numFmtId="0" fontId="1" fillId="2" borderId="1" xfId="0" applyFont="1" applyFill="1" applyBorder="1" applyAlignment="1" applyProtection="1">
      <alignment horizontal="left" vertical="center" wrapText="1"/>
    </xf>
    <xf numFmtId="49" fontId="0" fillId="0" borderId="4" xfId="0" applyNumberFormat="1" applyFont="1" applyFill="1" applyBorder="1" applyAlignment="1" applyProtection="1">
      <alignment horizontal="center" vertical="center" shrinkToFit="1"/>
      <protection locked="0"/>
    </xf>
    <xf numFmtId="49" fontId="0" fillId="0" borderId="5" xfId="0" applyNumberFormat="1" applyFont="1" applyFill="1" applyBorder="1" applyAlignment="1" applyProtection="1">
      <alignment horizontal="center" vertical="center" shrinkToFit="1"/>
      <protection locked="0"/>
    </xf>
    <xf numFmtId="0" fontId="1" fillId="12" borderId="1" xfId="0" applyFont="1" applyFill="1" applyBorder="1" applyAlignment="1" applyProtection="1">
      <alignment horizontal="center" vertical="center" wrapText="1"/>
    </xf>
    <xf numFmtId="0" fontId="1" fillId="12" borderId="1" xfId="0" applyFont="1" applyFill="1" applyBorder="1" applyAlignment="1" applyProtection="1">
      <alignment horizontal="left" vertical="center" wrapText="1"/>
    </xf>
    <xf numFmtId="0" fontId="43" fillId="0" borderId="7" xfId="0" applyFont="1" applyFill="1" applyBorder="1" applyAlignment="1" applyProtection="1">
      <alignment horizontal="right" vertical="center" wrapText="1"/>
    </xf>
    <xf numFmtId="0" fontId="0" fillId="0" borderId="42" xfId="0" applyBorder="1" applyAlignment="1" applyProtection="1">
      <alignment horizontal="left"/>
    </xf>
    <xf numFmtId="0" fontId="0" fillId="0" borderId="43" xfId="0" applyBorder="1" applyAlignment="1" applyProtection="1">
      <alignment horizontal="left"/>
    </xf>
    <xf numFmtId="0" fontId="0" fillId="0" borderId="11" xfId="0" applyBorder="1" applyAlignment="1" applyProtection="1">
      <alignment horizontal="left"/>
    </xf>
    <xf numFmtId="0" fontId="0" fillId="0" borderId="12" xfId="0" applyBorder="1" applyAlignment="1" applyProtection="1">
      <alignment horizontal="left"/>
    </xf>
    <xf numFmtId="0" fontId="43" fillId="0" borderId="43" xfId="0" applyFont="1" applyBorder="1" applyAlignment="1" applyProtection="1">
      <alignment horizontal="right" vertical="top"/>
    </xf>
    <xf numFmtId="0" fontId="43" fillId="0" borderId="44" xfId="0" applyFont="1" applyBorder="1" applyAlignment="1" applyProtection="1">
      <alignment horizontal="right" vertical="top"/>
    </xf>
    <xf numFmtId="0" fontId="43" fillId="0" borderId="12" xfId="0" applyFont="1" applyBorder="1" applyAlignment="1" applyProtection="1">
      <alignment horizontal="right" vertical="top"/>
    </xf>
    <xf numFmtId="0" fontId="43" fillId="0" borderId="13" xfId="0" applyFont="1" applyBorder="1" applyAlignment="1" applyProtection="1">
      <alignment horizontal="right" vertical="top"/>
    </xf>
    <xf numFmtId="0" fontId="0" fillId="0" borderId="9" xfId="0" applyBorder="1" applyAlignment="1" applyProtection="1">
      <alignment horizontal="left" shrinkToFit="1"/>
    </xf>
    <xf numFmtId="0" fontId="0" fillId="0" borderId="0" xfId="0" applyBorder="1" applyAlignment="1" applyProtection="1">
      <alignment horizontal="left" shrinkToFit="1"/>
    </xf>
    <xf numFmtId="0" fontId="0" fillId="0" borderId="10" xfId="0" applyBorder="1" applyAlignment="1" applyProtection="1">
      <alignment horizontal="left" shrinkToFit="1"/>
    </xf>
    <xf numFmtId="0" fontId="49" fillId="0" borderId="0" xfId="0" applyFont="1" applyAlignment="1" applyProtection="1">
      <alignment horizontal="right"/>
    </xf>
    <xf numFmtId="0" fontId="0" fillId="0" borderId="24" xfId="0" applyBorder="1" applyProtection="1"/>
    <xf numFmtId="0" fontId="0" fillId="0" borderId="12" xfId="0" applyBorder="1" applyProtection="1"/>
    <xf numFmtId="0" fontId="1" fillId="0" borderId="1" xfId="0" applyFont="1" applyBorder="1" applyAlignment="1" applyProtection="1">
      <alignment horizontal="center" vertical="center" wrapText="1"/>
    </xf>
    <xf numFmtId="0" fontId="43" fillId="0" borderId="44" xfId="0" applyFont="1" applyBorder="1" applyAlignment="1" applyProtection="1">
      <alignment horizontal="right" vertical="top"/>
      <protection locked="0"/>
    </xf>
    <xf numFmtId="0" fontId="43" fillId="0" borderId="13" xfId="0" applyFont="1" applyBorder="1" applyAlignment="1" applyProtection="1">
      <alignment horizontal="right" vertical="top"/>
      <protection locked="0"/>
    </xf>
    <xf numFmtId="0" fontId="43" fillId="0" borderId="43" xfId="0" applyFont="1" applyBorder="1" applyAlignment="1" applyProtection="1">
      <alignment horizontal="right" vertical="top" wrapText="1" shrinkToFit="1"/>
    </xf>
    <xf numFmtId="0" fontId="43" fillId="0" borderId="44" xfId="0" applyFont="1" applyBorder="1" applyAlignment="1" applyProtection="1">
      <alignment horizontal="right" vertical="top" wrapText="1" shrinkToFit="1"/>
    </xf>
    <xf numFmtId="0" fontId="43" fillId="0" borderId="12" xfId="0" applyFont="1" applyBorder="1" applyAlignment="1" applyProtection="1">
      <alignment horizontal="right" vertical="top" wrapText="1" shrinkToFit="1"/>
    </xf>
    <xf numFmtId="0" fontId="43" fillId="0" borderId="13" xfId="0" applyFont="1" applyBorder="1" applyAlignment="1" applyProtection="1">
      <alignment horizontal="right" vertical="top" wrapText="1" shrinkToFit="1"/>
    </xf>
    <xf numFmtId="0" fontId="49" fillId="0" borderId="44" xfId="0" quotePrefix="1" applyFont="1" applyBorder="1" applyAlignment="1" applyProtection="1">
      <alignment horizontal="right" vertical="top"/>
      <protection locked="0"/>
    </xf>
    <xf numFmtId="0" fontId="49" fillId="0" borderId="13" xfId="0" quotePrefix="1" applyFont="1" applyBorder="1" applyAlignment="1" applyProtection="1">
      <alignment horizontal="right" vertical="top"/>
      <protection locked="0"/>
    </xf>
    <xf numFmtId="0" fontId="48" fillId="0" borderId="44" xfId="0" applyFont="1" applyBorder="1" applyAlignment="1" applyProtection="1">
      <alignment horizontal="right" vertical="top" wrapText="1"/>
      <protection locked="0"/>
    </xf>
    <xf numFmtId="0" fontId="48" fillId="0" borderId="13" xfId="0" applyFont="1" applyBorder="1" applyAlignment="1" applyProtection="1">
      <alignment horizontal="right" vertical="top" wrapText="1"/>
      <protection locked="0"/>
    </xf>
    <xf numFmtId="0" fontId="43" fillId="0" borderId="41" xfId="0" applyFont="1" applyBorder="1" applyAlignment="1" applyProtection="1">
      <alignment horizontal="center" vertical="center"/>
    </xf>
    <xf numFmtId="0" fontId="43" fillId="0" borderId="24" xfId="0" applyFont="1" applyBorder="1" applyAlignment="1" applyProtection="1">
      <alignment horizontal="center" vertical="center"/>
    </xf>
    <xf numFmtId="0" fontId="1" fillId="0" borderId="45" xfId="0" applyFont="1" applyBorder="1" applyAlignment="1" applyProtection="1">
      <alignment horizontal="left" vertical="center"/>
    </xf>
    <xf numFmtId="0" fontId="1" fillId="0" borderId="24" xfId="0" applyFont="1" applyBorder="1" applyAlignment="1" applyProtection="1">
      <alignment horizontal="left" vertical="center"/>
    </xf>
    <xf numFmtId="0" fontId="43" fillId="0" borderId="45" xfId="0" applyFont="1" applyBorder="1" applyAlignment="1" applyProtection="1">
      <alignment horizontal="center" vertical="center"/>
    </xf>
    <xf numFmtId="0" fontId="43" fillId="0" borderId="46" xfId="0" applyFont="1" applyBorder="1" applyAlignment="1" applyProtection="1">
      <alignment horizontal="center" vertical="center"/>
    </xf>
    <xf numFmtId="0" fontId="50" fillId="0" borderId="44" xfId="0" applyFont="1" applyBorder="1" applyAlignment="1" applyProtection="1">
      <alignment horizontal="right" vertical="top" wrapText="1"/>
      <protection locked="0"/>
    </xf>
    <xf numFmtId="0" fontId="50" fillId="0" borderId="13" xfId="0" applyFont="1" applyBorder="1" applyAlignment="1" applyProtection="1">
      <alignment horizontal="right" vertical="top" wrapText="1"/>
      <protection locked="0"/>
    </xf>
    <xf numFmtId="0" fontId="1" fillId="0" borderId="45" xfId="0" applyFont="1" applyBorder="1" applyAlignment="1" applyProtection="1">
      <alignment horizontal="right" vertical="center"/>
    </xf>
    <xf numFmtId="0" fontId="1" fillId="0" borderId="24" xfId="0" applyFont="1" applyBorder="1" applyAlignment="1" applyProtection="1">
      <alignment horizontal="right" vertical="center"/>
    </xf>
    <xf numFmtId="0" fontId="49" fillId="0" borderId="43" xfId="0" applyFont="1" applyBorder="1" applyAlignment="1" applyProtection="1">
      <alignment horizontal="right" vertical="top"/>
    </xf>
    <xf numFmtId="0" fontId="49" fillId="0" borderId="44" xfId="0" applyFont="1" applyBorder="1" applyAlignment="1" applyProtection="1">
      <alignment horizontal="right" vertical="top"/>
    </xf>
    <xf numFmtId="0" fontId="50" fillId="0" borderId="12" xfId="0" applyFont="1" applyBorder="1" applyAlignment="1" applyProtection="1">
      <alignment horizontal="right" vertical="top"/>
      <protection locked="0"/>
    </xf>
    <xf numFmtId="0" fontId="50" fillId="0" borderId="13" xfId="0" applyFont="1" applyBorder="1" applyAlignment="1" applyProtection="1">
      <alignment horizontal="right" vertical="top"/>
      <protection locked="0"/>
    </xf>
    <xf numFmtId="0" fontId="15" fillId="0" borderId="19" xfId="0" applyFont="1" applyBorder="1" applyAlignment="1" applyProtection="1">
      <alignment vertical="center" textRotation="90" wrapText="1"/>
    </xf>
    <xf numFmtId="0" fontId="15" fillId="0" borderId="28" xfId="0" applyFont="1" applyBorder="1" applyAlignment="1" applyProtection="1">
      <alignment vertical="center" textRotation="90" wrapText="1"/>
    </xf>
    <xf numFmtId="0" fontId="3" fillId="0" borderId="0" xfId="0" applyFont="1" applyBorder="1" applyAlignment="1" applyProtection="1">
      <alignment horizontal="right" vertical="center"/>
    </xf>
    <xf numFmtId="1" fontId="23" fillId="0" borderId="0" xfId="0" applyNumberFormat="1" applyFont="1" applyBorder="1" applyAlignment="1" applyProtection="1">
      <alignment horizontal="center" vertical="center"/>
      <protection locked="0"/>
    </xf>
    <xf numFmtId="0" fontId="23" fillId="0" borderId="0" xfId="0" applyFont="1" applyBorder="1" applyAlignment="1" applyProtection="1">
      <alignment horizontal="center" vertical="center"/>
      <protection locked="0"/>
    </xf>
    <xf numFmtId="0" fontId="25" fillId="0" borderId="0" xfId="0" applyFont="1" applyBorder="1" applyAlignment="1" applyProtection="1">
      <alignment horizontal="left" wrapText="1" shrinkToFit="1"/>
      <protection locked="0"/>
    </xf>
    <xf numFmtId="0" fontId="25" fillId="0" borderId="0" xfId="0" applyFont="1" applyBorder="1" applyAlignment="1" applyProtection="1">
      <alignment horizontal="left" shrinkToFit="1"/>
      <protection locked="0"/>
    </xf>
    <xf numFmtId="0" fontId="25" fillId="0" borderId="0" xfId="0" applyFont="1" applyBorder="1" applyAlignment="1" applyProtection="1">
      <alignment horizontal="left" vertical="center" wrapText="1"/>
      <protection locked="0"/>
    </xf>
    <xf numFmtId="0" fontId="26" fillId="0" borderId="0" xfId="0" applyFont="1" applyBorder="1" applyAlignment="1" applyProtection="1">
      <alignment horizontal="left" vertical="center" wrapText="1"/>
    </xf>
    <xf numFmtId="1" fontId="24" fillId="0" borderId="0" xfId="0" applyNumberFormat="1" applyFont="1" applyBorder="1" applyAlignment="1" applyProtection="1">
      <alignment horizontal="left" vertical="center" wrapText="1"/>
      <protection locked="0"/>
    </xf>
    <xf numFmtId="0" fontId="24" fillId="0" borderId="0" xfId="0" applyFont="1" applyBorder="1" applyAlignment="1" applyProtection="1">
      <alignment horizontal="left" vertical="center" wrapText="1"/>
      <protection locked="0"/>
    </xf>
    <xf numFmtId="0" fontId="27" fillId="0" borderId="0" xfId="0" applyFont="1" applyBorder="1" applyAlignment="1" applyProtection="1">
      <alignment horizontal="right" vertical="center" wrapText="1"/>
      <protection locked="0"/>
    </xf>
    <xf numFmtId="0" fontId="28" fillId="0" borderId="0" xfId="0" applyFont="1" applyBorder="1" applyAlignment="1" applyProtection="1">
      <alignment horizontal="left" vertical="center" wrapText="1"/>
      <protection locked="0"/>
    </xf>
    <xf numFmtId="0" fontId="3" fillId="0" borderId="0" xfId="0" applyFont="1" applyBorder="1" applyAlignment="1" applyProtection="1">
      <alignment horizontal="right" vertical="center" wrapText="1"/>
    </xf>
    <xf numFmtId="1" fontId="25" fillId="0" borderId="0" xfId="0" applyNumberFormat="1" applyFont="1" applyBorder="1" applyAlignment="1" applyProtection="1">
      <alignment horizontal="center" vertical="center" wrapText="1"/>
      <protection locked="0"/>
    </xf>
    <xf numFmtId="0" fontId="17" fillId="0" borderId="11" xfId="0" applyFont="1" applyBorder="1" applyAlignment="1" applyProtection="1">
      <alignment wrapText="1"/>
    </xf>
    <xf numFmtId="0" fontId="17" fillId="0" borderId="12" xfId="0" applyFont="1" applyBorder="1" applyAlignment="1" applyProtection="1">
      <alignment wrapText="1"/>
    </xf>
    <xf numFmtId="0" fontId="18" fillId="0" borderId="12" xfId="0" applyFont="1" applyBorder="1" applyAlignment="1" applyProtection="1">
      <alignment horizontal="center" wrapText="1"/>
    </xf>
    <xf numFmtId="0" fontId="18" fillId="0" borderId="13" xfId="0" applyFont="1" applyBorder="1" applyAlignment="1" applyProtection="1">
      <alignment horizontal="center" wrapText="1"/>
    </xf>
    <xf numFmtId="0" fontId="19" fillId="0" borderId="24" xfId="0" applyFont="1" applyBorder="1" applyAlignment="1" applyProtection="1">
      <alignment horizontal="left" wrapText="1"/>
    </xf>
    <xf numFmtId="0" fontId="20" fillId="0" borderId="24" xfId="0" applyFont="1" applyBorder="1" applyAlignment="1" applyProtection="1">
      <alignment horizontal="left" wrapText="1"/>
      <protection hidden="1"/>
    </xf>
    <xf numFmtId="0" fontId="21" fillId="0" borderId="25" xfId="0" applyFont="1" applyBorder="1" applyAlignment="1" applyProtection="1">
      <alignment horizontal="center" vertical="center" wrapText="1"/>
    </xf>
    <xf numFmtId="0" fontId="21" fillId="0" borderId="7" xfId="0" applyFont="1" applyBorder="1" applyAlignment="1" applyProtection="1">
      <alignment horizontal="center" vertical="center" wrapText="1"/>
    </xf>
    <xf numFmtId="0" fontId="21" fillId="0" borderId="26" xfId="0" applyFont="1" applyBorder="1" applyAlignment="1" applyProtection="1">
      <alignment horizontal="center" vertical="center" wrapText="1"/>
    </xf>
    <xf numFmtId="0" fontId="21" fillId="0" borderId="23" xfId="0" applyFont="1" applyBorder="1" applyAlignment="1" applyProtection="1">
      <alignment horizontal="center" vertical="center" wrapText="1"/>
    </xf>
    <xf numFmtId="0" fontId="21" fillId="0" borderId="0" xfId="0" applyFont="1" applyBorder="1" applyAlignment="1" applyProtection="1">
      <alignment horizontal="center" vertical="center" wrapText="1"/>
    </xf>
    <xf numFmtId="0" fontId="21" fillId="0" borderId="20" xfId="0" applyFont="1" applyBorder="1" applyAlignment="1" applyProtection="1">
      <alignment horizontal="center" vertical="center" wrapText="1"/>
    </xf>
    <xf numFmtId="0" fontId="21" fillId="0" borderId="27" xfId="0" applyFont="1" applyBorder="1" applyAlignment="1" applyProtection="1">
      <alignment horizontal="center" vertical="center" wrapText="1"/>
    </xf>
    <xf numFmtId="0" fontId="21" fillId="0" borderId="12" xfId="0" applyFont="1" applyBorder="1" applyAlignment="1" applyProtection="1">
      <alignment horizontal="center" vertical="center" wrapText="1"/>
    </xf>
    <xf numFmtId="0" fontId="21" fillId="0" borderId="22" xfId="0" applyFont="1" applyBorder="1" applyAlignment="1" applyProtection="1">
      <alignment horizontal="center" vertical="center" wrapText="1"/>
    </xf>
    <xf numFmtId="0" fontId="14" fillId="0" borderId="14" xfId="0" applyFont="1" applyBorder="1" applyAlignment="1" applyProtection="1">
      <alignment vertical="center" textRotation="90" wrapText="1"/>
    </xf>
    <xf numFmtId="0" fontId="14" fillId="0" borderId="19" xfId="0" applyFont="1" applyBorder="1" applyAlignment="1" applyProtection="1">
      <alignment vertical="center" textRotation="90" wrapText="1"/>
    </xf>
    <xf numFmtId="0" fontId="14" fillId="0" borderId="21" xfId="0" applyFont="1" applyBorder="1" applyAlignment="1" applyProtection="1">
      <alignment vertical="center" textRotation="90" wrapText="1"/>
    </xf>
    <xf numFmtId="0" fontId="15" fillId="0" borderId="15" xfId="0" applyFont="1" applyBorder="1" applyAlignment="1" applyProtection="1">
      <alignment wrapText="1"/>
    </xf>
    <xf numFmtId="0" fontId="15" fillId="0" borderId="16" xfId="0" applyFont="1" applyBorder="1" applyAlignment="1" applyProtection="1">
      <alignment wrapText="1"/>
    </xf>
    <xf numFmtId="0" fontId="0" fillId="0" borderId="15" xfId="0" applyBorder="1" applyAlignment="1" applyProtection="1">
      <alignment horizontal="center" wrapText="1"/>
    </xf>
    <xf numFmtId="0" fontId="0" fillId="0" borderId="16" xfId="0" applyBorder="1" applyAlignment="1" applyProtection="1">
      <alignment horizontal="center" wrapText="1"/>
    </xf>
    <xf numFmtId="0" fontId="0" fillId="0" borderId="18" xfId="0" applyBorder="1" applyAlignment="1" applyProtection="1">
      <alignment horizontal="center" wrapText="1"/>
    </xf>
    <xf numFmtId="0" fontId="0" fillId="0" borderId="9" xfId="0" applyBorder="1" applyAlignment="1" applyProtection="1">
      <alignment horizontal="center" wrapText="1"/>
    </xf>
    <xf numFmtId="0" fontId="0" fillId="0" borderId="0" xfId="0" applyBorder="1" applyAlignment="1" applyProtection="1">
      <alignment horizontal="center" wrapText="1"/>
    </xf>
    <xf numFmtId="0" fontId="0" fillId="0" borderId="20" xfId="0" applyBorder="1" applyAlignment="1" applyProtection="1">
      <alignment horizontal="center" wrapText="1"/>
    </xf>
    <xf numFmtId="0" fontId="0" fillId="0" borderId="11" xfId="0" applyBorder="1" applyAlignment="1" applyProtection="1">
      <alignment horizontal="center" wrapText="1"/>
    </xf>
    <xf numFmtId="0" fontId="0" fillId="0" borderId="12" xfId="0" applyBorder="1" applyAlignment="1" applyProtection="1">
      <alignment horizontal="center" wrapText="1"/>
    </xf>
    <xf numFmtId="0" fontId="0" fillId="0" borderId="22" xfId="0" applyBorder="1" applyAlignment="1" applyProtection="1">
      <alignment horizontal="center" wrapText="1"/>
    </xf>
    <xf numFmtId="0" fontId="16" fillId="0" borderId="9" xfId="0" applyFont="1" applyBorder="1" applyAlignment="1" applyProtection="1">
      <alignment wrapText="1"/>
    </xf>
    <xf numFmtId="0" fontId="16" fillId="0" borderId="0" xfId="0" applyFont="1" applyBorder="1" applyAlignment="1" applyProtection="1">
      <alignment wrapText="1"/>
    </xf>
    <xf numFmtId="0" fontId="15" fillId="0" borderId="0" xfId="0" applyFont="1" applyBorder="1" applyAlignment="1" applyProtection="1">
      <alignment wrapText="1"/>
    </xf>
    <xf numFmtId="0" fontId="15" fillId="0" borderId="10" xfId="0" applyFont="1" applyBorder="1" applyAlignment="1" applyProtection="1">
      <alignment wrapText="1"/>
    </xf>
    <xf numFmtId="0" fontId="15" fillId="0" borderId="9" xfId="0" applyFont="1" applyBorder="1" applyAlignment="1" applyProtection="1">
      <alignment wrapText="1"/>
    </xf>
    <xf numFmtId="0" fontId="17" fillId="0" borderId="9" xfId="0" applyFont="1" applyBorder="1" applyAlignment="1" applyProtection="1">
      <alignment wrapText="1"/>
    </xf>
    <xf numFmtId="0" fontId="17" fillId="0" borderId="0" xfId="0" applyFont="1" applyBorder="1" applyAlignment="1" applyProtection="1">
      <alignment wrapText="1"/>
    </xf>
    <xf numFmtId="1" fontId="18" fillId="0" borderId="0" xfId="0" applyNumberFormat="1" applyFont="1" applyBorder="1" applyAlignment="1" applyProtection="1">
      <alignment horizontal="center" wrapText="1"/>
    </xf>
    <xf numFmtId="1" fontId="18" fillId="0" borderId="10" xfId="0" applyNumberFormat="1" applyFont="1" applyBorder="1" applyAlignment="1" applyProtection="1">
      <alignment horizontal="center" wrapText="1"/>
    </xf>
    <xf numFmtId="0" fontId="19" fillId="0" borderId="24" xfId="0" applyFont="1" applyBorder="1" applyAlignment="1">
      <alignment horizontal="left" wrapText="1"/>
    </xf>
    <xf numFmtId="0" fontId="19" fillId="0" borderId="24" xfId="0" applyFont="1" applyBorder="1" applyAlignment="1" applyProtection="1">
      <alignment horizontal="left" wrapText="1"/>
      <protection hidden="1"/>
    </xf>
    <xf numFmtId="0" fontId="29" fillId="10" borderId="25" xfId="0" applyFont="1" applyFill="1" applyBorder="1" applyAlignment="1">
      <alignment horizontal="center" vertical="center" wrapText="1"/>
    </xf>
    <xf numFmtId="0" fontId="29" fillId="10" borderId="7" xfId="0" applyFont="1" applyFill="1" applyBorder="1" applyAlignment="1">
      <alignment horizontal="center" vertical="center" wrapText="1"/>
    </xf>
    <xf numFmtId="0" fontId="29" fillId="10" borderId="26" xfId="0" applyFont="1" applyFill="1" applyBorder="1" applyAlignment="1">
      <alignment horizontal="center" vertical="center" wrapText="1"/>
    </xf>
    <xf numFmtId="0" fontId="29" fillId="10" borderId="23" xfId="0" applyFont="1" applyFill="1" applyBorder="1" applyAlignment="1">
      <alignment horizontal="center" vertical="center" wrapText="1"/>
    </xf>
    <xf numFmtId="0" fontId="29" fillId="10" borderId="0" xfId="0" applyFont="1" applyFill="1" applyBorder="1" applyAlignment="1">
      <alignment horizontal="center" vertical="center" wrapText="1"/>
    </xf>
    <xf numFmtId="0" fontId="29" fillId="10" borderId="20" xfId="0" applyFont="1" applyFill="1" applyBorder="1" applyAlignment="1">
      <alignment horizontal="center" vertical="center" wrapText="1"/>
    </xf>
    <xf numFmtId="0" fontId="29" fillId="10" borderId="27" xfId="0" applyFont="1" applyFill="1" applyBorder="1" applyAlignment="1">
      <alignment horizontal="center" vertical="center" wrapText="1"/>
    </xf>
    <xf numFmtId="0" fontId="29" fillId="10" borderId="12" xfId="0" applyFont="1" applyFill="1" applyBorder="1" applyAlignment="1">
      <alignment horizontal="center" vertical="center" wrapText="1"/>
    </xf>
    <xf numFmtId="0" fontId="29" fillId="10" borderId="22" xfId="0" applyFont="1" applyFill="1" applyBorder="1" applyAlignment="1">
      <alignment horizontal="center" vertical="center" wrapText="1"/>
    </xf>
    <xf numFmtId="0" fontId="14" fillId="0" borderId="31" xfId="0" applyFont="1" applyBorder="1" applyAlignment="1">
      <alignment vertical="center" textRotation="90" wrapText="1"/>
    </xf>
    <xf numFmtId="0" fontId="14" fillId="0" borderId="23" xfId="0" applyFont="1" applyBorder="1" applyAlignment="1">
      <alignment vertical="center" textRotation="90" wrapText="1"/>
    </xf>
    <xf numFmtId="0" fontId="14" fillId="0" borderId="27" xfId="0" applyFont="1" applyBorder="1" applyAlignment="1">
      <alignment vertical="center" textRotation="90" wrapText="1"/>
    </xf>
    <xf numFmtId="0" fontId="15" fillId="0" borderId="15" xfId="0" applyFont="1" applyBorder="1" applyAlignment="1">
      <alignment wrapText="1"/>
    </xf>
    <xf numFmtId="0" fontId="15" fillId="0" borderId="16" xfId="0" applyFont="1" applyBorder="1" applyAlignment="1">
      <alignment wrapText="1"/>
    </xf>
    <xf numFmtId="0" fontId="0" fillId="0" borderId="15" xfId="0" applyBorder="1" applyAlignment="1">
      <alignment horizontal="center" wrapText="1"/>
    </xf>
    <xf numFmtId="0" fontId="0" fillId="0" borderId="16" xfId="0" applyBorder="1" applyAlignment="1">
      <alignment horizontal="center" wrapText="1"/>
    </xf>
    <xf numFmtId="0" fontId="0" fillId="0" borderId="18" xfId="0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20" xfId="0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0" fillId="0" borderId="22" xfId="0" applyBorder="1" applyAlignment="1">
      <alignment horizontal="center" wrapText="1"/>
    </xf>
    <xf numFmtId="0" fontId="16" fillId="0" borderId="9" xfId="0" applyFont="1" applyBorder="1" applyAlignment="1">
      <alignment wrapText="1"/>
    </xf>
    <xf numFmtId="0" fontId="16" fillId="0" borderId="0" xfId="0" applyFont="1" applyBorder="1" applyAlignment="1">
      <alignment wrapText="1"/>
    </xf>
    <xf numFmtId="0" fontId="15" fillId="0" borderId="0" xfId="0" applyFont="1" applyBorder="1" applyAlignment="1">
      <alignment wrapText="1"/>
    </xf>
    <xf numFmtId="0" fontId="15" fillId="0" borderId="10" xfId="0" applyFont="1" applyBorder="1" applyAlignment="1">
      <alignment wrapText="1"/>
    </xf>
    <xf numFmtId="0" fontId="15" fillId="0" borderId="9" xfId="0" applyFont="1" applyBorder="1" applyAlignment="1">
      <alignment wrapText="1"/>
    </xf>
    <xf numFmtId="0" fontId="17" fillId="0" borderId="9" xfId="0" applyFont="1" applyBorder="1" applyAlignment="1">
      <alignment wrapText="1"/>
    </xf>
    <xf numFmtId="0" fontId="17" fillId="0" borderId="0" xfId="0" applyFont="1" applyBorder="1" applyAlignment="1">
      <alignment wrapText="1"/>
    </xf>
    <xf numFmtId="1" fontId="18" fillId="0" borderId="0" xfId="0" applyNumberFormat="1" applyFont="1" applyBorder="1" applyAlignment="1">
      <alignment horizontal="center" wrapText="1"/>
    </xf>
    <xf numFmtId="1" fontId="18" fillId="0" borderId="10" xfId="0" applyNumberFormat="1" applyFont="1" applyBorder="1" applyAlignment="1">
      <alignment horizontal="center" wrapText="1"/>
    </xf>
    <xf numFmtId="0" fontId="17" fillId="0" borderId="11" xfId="0" applyFont="1" applyBorder="1" applyAlignment="1">
      <alignment wrapText="1"/>
    </xf>
    <xf numFmtId="0" fontId="17" fillId="0" borderId="12" xfId="0" applyFont="1" applyBorder="1" applyAlignment="1">
      <alignment wrapText="1"/>
    </xf>
    <xf numFmtId="0" fontId="18" fillId="0" borderId="12" xfId="0" applyFont="1" applyBorder="1" applyAlignment="1">
      <alignment horizontal="center" wrapText="1"/>
    </xf>
    <xf numFmtId="0" fontId="18" fillId="0" borderId="13" xfId="0" applyFont="1" applyBorder="1" applyAlignment="1">
      <alignment horizontal="center" wrapText="1"/>
    </xf>
    <xf numFmtId="0" fontId="15" fillId="10" borderId="25" xfId="0" applyFont="1" applyFill="1" applyBorder="1" applyAlignment="1">
      <alignment horizontal="center" vertical="center" textRotation="90" wrapText="1"/>
    </xf>
    <xf numFmtId="0" fontId="15" fillId="10" borderId="23" xfId="0" applyFont="1" applyFill="1" applyBorder="1" applyAlignment="1">
      <alignment horizontal="center" vertical="center" textRotation="90" wrapText="1"/>
    </xf>
    <xf numFmtId="0" fontId="15" fillId="10" borderId="32" xfId="0" applyFont="1" applyFill="1" applyBorder="1" applyAlignment="1">
      <alignment horizontal="center" vertical="center" textRotation="90" wrapText="1"/>
    </xf>
    <xf numFmtId="0" fontId="34" fillId="0" borderId="6" xfId="0" applyFont="1" applyBorder="1" applyAlignment="1" applyProtection="1">
      <alignment horizontal="left" vertical="center" shrinkToFit="1" readingOrder="1"/>
      <protection locked="0"/>
    </xf>
    <xf numFmtId="0" fontId="34" fillId="0" borderId="7" xfId="0" applyFont="1" applyBorder="1" applyAlignment="1" applyProtection="1">
      <alignment horizontal="left" vertical="center" shrinkToFit="1" readingOrder="1"/>
      <protection locked="0"/>
    </xf>
    <xf numFmtId="0" fontId="34" fillId="0" borderId="9" xfId="0" applyFont="1" applyBorder="1" applyAlignment="1" applyProtection="1">
      <alignment horizontal="left" vertical="center" shrinkToFit="1" readingOrder="1"/>
      <protection locked="0"/>
    </xf>
    <xf numFmtId="0" fontId="34" fillId="0" borderId="0" xfId="0" applyFont="1" applyBorder="1" applyAlignment="1" applyProtection="1">
      <alignment horizontal="left" vertical="center" shrinkToFit="1" readingOrder="1"/>
      <protection locked="0"/>
    </xf>
    <xf numFmtId="0" fontId="3" fillId="0" borderId="7" xfId="0" applyFont="1" applyBorder="1" applyAlignment="1">
      <alignment horizontal="right" vertical="center"/>
    </xf>
    <xf numFmtId="1" fontId="23" fillId="0" borderId="7" xfId="0" applyNumberFormat="1" applyFont="1" applyBorder="1" applyAlignment="1" applyProtection="1">
      <alignment horizontal="left" vertical="center" wrapText="1"/>
      <protection locked="0"/>
    </xf>
    <xf numFmtId="0" fontId="23" fillId="0" borderId="7" xfId="0" applyFont="1" applyBorder="1" applyAlignment="1" applyProtection="1">
      <alignment horizontal="left" vertical="center"/>
      <protection locked="0"/>
    </xf>
    <xf numFmtId="0" fontId="23" fillId="0" borderId="8" xfId="0" applyFont="1" applyBorder="1" applyAlignment="1" applyProtection="1">
      <alignment horizontal="left" vertical="center"/>
      <protection locked="0"/>
    </xf>
    <xf numFmtId="0" fontId="15" fillId="0" borderId="9" xfId="0" applyFont="1" applyBorder="1" applyAlignment="1">
      <alignment horizontal="center" wrapText="1"/>
    </xf>
    <xf numFmtId="0" fontId="15" fillId="0" borderId="0" xfId="0" applyFont="1" applyBorder="1" applyAlignment="1">
      <alignment horizontal="center" wrapText="1"/>
    </xf>
    <xf numFmtId="0" fontId="26" fillId="0" borderId="0" xfId="0" applyFont="1" applyBorder="1" applyAlignment="1">
      <alignment horizontal="left" vertical="center" wrapText="1"/>
    </xf>
    <xf numFmtId="0" fontId="26" fillId="0" borderId="0" xfId="0" applyFont="1" applyBorder="1" applyAlignment="1">
      <alignment horizontal="center" vertical="center" wrapText="1"/>
    </xf>
    <xf numFmtId="0" fontId="34" fillId="0" borderId="0" xfId="0" applyFont="1" applyBorder="1" applyAlignment="1" applyProtection="1">
      <alignment horizontal="center" vertical="center" wrapText="1"/>
      <protection locked="0"/>
    </xf>
    <xf numFmtId="0" fontId="34" fillId="0" borderId="10" xfId="0" applyFont="1" applyBorder="1" applyAlignment="1" applyProtection="1">
      <alignment horizontal="center" vertical="center" wrapText="1"/>
      <protection locked="0"/>
    </xf>
    <xf numFmtId="0" fontId="15" fillId="0" borderId="9" xfId="0" applyFont="1" applyBorder="1" applyAlignment="1">
      <alignment horizontal="center" vertical="center" wrapText="1"/>
    </xf>
    <xf numFmtId="0" fontId="15" fillId="0" borderId="0" xfId="0" applyFont="1" applyBorder="1" applyAlignment="1">
      <alignment horizontal="center" vertical="center" wrapText="1"/>
    </xf>
    <xf numFmtId="0" fontId="36" fillId="0" borderId="9" xfId="0" applyFont="1" applyBorder="1" applyAlignment="1">
      <alignment horizontal="left" vertical="center" wrapText="1"/>
    </xf>
    <xf numFmtId="0" fontId="36" fillId="0" borderId="0" xfId="0" applyFont="1" applyBorder="1" applyAlignment="1">
      <alignment horizontal="left" vertical="center" wrapText="1"/>
    </xf>
    <xf numFmtId="0" fontId="30" fillId="10" borderId="7" xfId="0" applyFont="1" applyFill="1" applyBorder="1" applyAlignment="1">
      <alignment horizontal="center" vertical="center" wrapText="1"/>
    </xf>
    <xf numFmtId="0" fontId="30" fillId="10" borderId="12" xfId="0" applyFont="1" applyFill="1" applyBorder="1" applyAlignment="1">
      <alignment horizontal="center" vertical="center" wrapText="1"/>
    </xf>
    <xf numFmtId="0" fontId="37" fillId="0" borderId="0" xfId="0" applyFont="1" applyBorder="1" applyAlignment="1">
      <alignment horizontal="center" vertical="center" wrapText="1"/>
    </xf>
    <xf numFmtId="0" fontId="37" fillId="0" borderId="10" xfId="0" applyFont="1" applyBorder="1" applyAlignment="1">
      <alignment horizontal="center" vertical="center" wrapText="1"/>
    </xf>
    <xf numFmtId="0" fontId="26" fillId="0" borderId="9" xfId="0" applyFont="1" applyBorder="1" applyAlignment="1">
      <alignment horizontal="left" vertical="center" wrapText="1"/>
    </xf>
    <xf numFmtId="0" fontId="26" fillId="0" borderId="11" xfId="0" applyFont="1" applyBorder="1" applyAlignment="1">
      <alignment horizontal="left" vertical="center" wrapText="1"/>
    </xf>
    <xf numFmtId="0" fontId="26" fillId="0" borderId="12" xfId="0" applyFont="1" applyBorder="1" applyAlignment="1">
      <alignment horizontal="left" vertical="center" wrapText="1"/>
    </xf>
    <xf numFmtId="0" fontId="3" fillId="0" borderId="12" xfId="0" applyFont="1" applyBorder="1" applyAlignment="1">
      <alignment horizontal="right" vertical="center"/>
    </xf>
    <xf numFmtId="1" fontId="23" fillId="0" borderId="12" xfId="0" quotePrefix="1" applyNumberFormat="1" applyFont="1" applyBorder="1" applyAlignment="1" applyProtection="1">
      <alignment horizontal="left" vertical="center"/>
      <protection locked="0"/>
    </xf>
    <xf numFmtId="0" fontId="23" fillId="0" borderId="12" xfId="0" applyFont="1" applyBorder="1" applyAlignment="1" applyProtection="1">
      <alignment horizontal="left" vertical="center"/>
      <protection locked="0"/>
    </xf>
    <xf numFmtId="0" fontId="23" fillId="0" borderId="13" xfId="0" applyFont="1" applyBorder="1" applyAlignment="1" applyProtection="1">
      <alignment horizontal="left" vertical="center"/>
      <protection locked="0"/>
    </xf>
    <xf numFmtId="0" fontId="32" fillId="7" borderId="0" xfId="0" applyFont="1" applyFill="1" applyBorder="1" applyAlignment="1">
      <alignment horizontal="center" vertical="center" wrapText="1"/>
    </xf>
    <xf numFmtId="0" fontId="39" fillId="7" borderId="25" xfId="0" applyFont="1" applyFill="1" applyBorder="1" applyAlignment="1">
      <alignment horizontal="center" vertical="center" wrapText="1"/>
    </xf>
    <xf numFmtId="0" fontId="39" fillId="7" borderId="7" xfId="0" applyFont="1" applyFill="1" applyBorder="1" applyAlignment="1">
      <alignment horizontal="center" vertical="center" wrapText="1"/>
    </xf>
    <xf numFmtId="0" fontId="39" fillId="7" borderId="26" xfId="0" applyFont="1" applyFill="1" applyBorder="1" applyAlignment="1">
      <alignment horizontal="center" vertical="center" wrapText="1"/>
    </xf>
    <xf numFmtId="0" fontId="39" fillId="7" borderId="23" xfId="0" applyFont="1" applyFill="1" applyBorder="1" applyAlignment="1">
      <alignment horizontal="center" vertical="center" wrapText="1"/>
    </xf>
    <xf numFmtId="0" fontId="39" fillId="7" borderId="0" xfId="0" applyFont="1" applyFill="1" applyBorder="1" applyAlignment="1">
      <alignment horizontal="center" vertical="center" wrapText="1"/>
    </xf>
    <xf numFmtId="0" fontId="39" fillId="7" borderId="20" xfId="0" applyFont="1" applyFill="1" applyBorder="1" applyAlignment="1">
      <alignment horizontal="center" vertical="center" wrapText="1"/>
    </xf>
    <xf numFmtId="0" fontId="39" fillId="7" borderId="27" xfId="0" applyFont="1" applyFill="1" applyBorder="1" applyAlignment="1">
      <alignment horizontal="center" vertical="center" wrapText="1"/>
    </xf>
    <xf numFmtId="0" fontId="39" fillId="7" borderId="12" xfId="0" applyFont="1" applyFill="1" applyBorder="1" applyAlignment="1">
      <alignment horizontal="center" vertical="center" wrapText="1"/>
    </xf>
    <xf numFmtId="0" fontId="39" fillId="7" borderId="22" xfId="0" applyFont="1" applyFill="1" applyBorder="1" applyAlignment="1">
      <alignment horizontal="center" vertical="center" wrapText="1"/>
    </xf>
    <xf numFmtId="0" fontId="16" fillId="0" borderId="15" xfId="0" applyFont="1" applyBorder="1" applyAlignment="1">
      <alignment horizontal="left" wrapText="1"/>
    </xf>
    <xf numFmtId="0" fontId="16" fillId="0" borderId="16" xfId="0" applyFont="1" applyBorder="1" applyAlignment="1">
      <alignment horizontal="left" wrapText="1"/>
    </xf>
    <xf numFmtId="0" fontId="3" fillId="0" borderId="16" xfId="0" applyFont="1" applyBorder="1" applyAlignment="1">
      <alignment horizontal="right"/>
    </xf>
    <xf numFmtId="0" fontId="3" fillId="0" borderId="17" xfId="0" applyFont="1" applyBorder="1" applyAlignment="1">
      <alignment horizontal="right"/>
    </xf>
    <xf numFmtId="0" fontId="41" fillId="7" borderId="7" xfId="0" applyFont="1" applyFill="1" applyBorder="1" applyAlignment="1">
      <alignment horizontal="center" vertical="center" wrapText="1"/>
    </xf>
    <xf numFmtId="0" fontId="41" fillId="7" borderId="8" xfId="0" applyFont="1" applyFill="1" applyBorder="1" applyAlignment="1">
      <alignment horizontal="center" vertical="center" wrapText="1"/>
    </xf>
    <xf numFmtId="0" fontId="41" fillId="7" borderId="12" xfId="0" applyFont="1" applyFill="1" applyBorder="1" applyAlignment="1">
      <alignment horizontal="center" vertical="center" wrapText="1"/>
    </xf>
    <xf numFmtId="0" fontId="41" fillId="7" borderId="13" xfId="0" applyFont="1" applyFill="1" applyBorder="1" applyAlignment="1">
      <alignment horizontal="center" vertical="center" wrapText="1"/>
    </xf>
    <xf numFmtId="0" fontId="40" fillId="7" borderId="25" xfId="0" applyFont="1" applyFill="1" applyBorder="1" applyAlignment="1">
      <alignment horizontal="center" vertical="center" textRotation="90" wrapText="1"/>
    </xf>
    <xf numFmtId="0" fontId="40" fillId="7" borderId="23" xfId="0" applyFont="1" applyFill="1" applyBorder="1" applyAlignment="1">
      <alignment horizontal="center" vertical="center" textRotation="90" wrapText="1"/>
    </xf>
    <xf numFmtId="0" fontId="40" fillId="7" borderId="32" xfId="0" applyFont="1" applyFill="1" applyBorder="1" applyAlignment="1">
      <alignment horizontal="center" vertical="center" textRotation="90" wrapText="1"/>
    </xf>
    <xf numFmtId="49" fontId="34" fillId="0" borderId="6" xfId="0" applyNumberFormat="1" applyFont="1" applyBorder="1" applyAlignment="1" applyProtection="1">
      <alignment horizontal="left" vertical="center" shrinkToFit="1"/>
      <protection locked="0"/>
    </xf>
    <xf numFmtId="49" fontId="34" fillId="0" borderId="7" xfId="0" applyNumberFormat="1" applyFont="1" applyBorder="1" applyAlignment="1" applyProtection="1">
      <alignment horizontal="left" vertical="center" shrinkToFit="1"/>
      <protection locked="0"/>
    </xf>
    <xf numFmtId="49" fontId="34" fillId="0" borderId="9" xfId="0" applyNumberFormat="1" applyFont="1" applyBorder="1" applyAlignment="1" applyProtection="1">
      <alignment horizontal="left" vertical="center" shrinkToFit="1"/>
      <protection locked="0"/>
    </xf>
    <xf numFmtId="49" fontId="34" fillId="0" borderId="0" xfId="0" applyNumberFormat="1" applyFont="1" applyBorder="1" applyAlignment="1" applyProtection="1">
      <alignment horizontal="left" vertical="center" shrinkToFit="1"/>
      <protection locked="0"/>
    </xf>
    <xf numFmtId="1" fontId="23" fillId="0" borderId="7" xfId="0" applyNumberFormat="1" applyFont="1" applyBorder="1" applyAlignment="1" applyProtection="1">
      <alignment horizontal="left" vertical="center"/>
      <protection locked="0"/>
    </xf>
    <xf numFmtId="1" fontId="23" fillId="0" borderId="12" xfId="0" applyNumberFormat="1" applyFont="1" applyBorder="1" applyAlignment="1" applyProtection="1">
      <alignment horizontal="left" vertical="center"/>
      <protection locked="0"/>
    </xf>
    <xf numFmtId="0" fontId="14" fillId="0" borderId="31" xfId="0" applyFont="1" applyBorder="1" applyAlignment="1" applyProtection="1">
      <alignment horizontal="center" vertical="center" textRotation="90" wrapText="1"/>
      <protection hidden="1"/>
    </xf>
    <xf numFmtId="0" fontId="14" fillId="0" borderId="16" xfId="0" applyFont="1" applyBorder="1" applyAlignment="1" applyProtection="1">
      <alignment horizontal="center" vertical="center" textRotation="90" wrapText="1"/>
      <protection hidden="1"/>
    </xf>
    <xf numFmtId="0" fontId="14" fillId="0" borderId="18" xfId="0" applyFont="1" applyBorder="1" applyAlignment="1" applyProtection="1">
      <alignment horizontal="center" vertical="center" textRotation="90" wrapText="1"/>
      <protection hidden="1"/>
    </xf>
    <xf numFmtId="0" fontId="14" fillId="0" borderId="23" xfId="0" applyFont="1" applyBorder="1" applyAlignment="1" applyProtection="1">
      <alignment horizontal="center" vertical="center" textRotation="90" wrapText="1"/>
      <protection hidden="1"/>
    </xf>
    <xf numFmtId="0" fontId="14" fillId="0" borderId="0" xfId="0" applyFont="1" applyBorder="1" applyAlignment="1" applyProtection="1">
      <alignment horizontal="center" vertical="center" textRotation="90" wrapText="1"/>
      <protection hidden="1"/>
    </xf>
    <xf numFmtId="0" fontId="14" fillId="0" borderId="20" xfId="0" applyFont="1" applyBorder="1" applyAlignment="1" applyProtection="1">
      <alignment horizontal="center" vertical="center" textRotation="90" wrapText="1"/>
      <protection hidden="1"/>
    </xf>
    <xf numFmtId="0" fontId="14" fillId="0" borderId="27" xfId="0" applyFont="1" applyBorder="1" applyAlignment="1" applyProtection="1">
      <alignment horizontal="center" vertical="center" textRotation="90" wrapText="1"/>
      <protection hidden="1"/>
    </xf>
    <xf numFmtId="0" fontId="14" fillId="0" borderId="12" xfId="0" applyFont="1" applyBorder="1" applyAlignment="1" applyProtection="1">
      <alignment horizontal="center" vertical="center" textRotation="90" wrapText="1"/>
      <protection hidden="1"/>
    </xf>
    <xf numFmtId="0" fontId="14" fillId="0" borderId="22" xfId="0" applyFont="1" applyBorder="1" applyAlignment="1" applyProtection="1">
      <alignment horizontal="center" vertical="center" textRotation="90" wrapText="1"/>
      <protection hidden="1"/>
    </xf>
    <xf numFmtId="0" fontId="40" fillId="0" borderId="25" xfId="0" applyFont="1" applyFill="1" applyBorder="1" applyAlignment="1" applyProtection="1">
      <alignment horizontal="center" vertical="center" textRotation="90" wrapText="1"/>
      <protection hidden="1"/>
    </xf>
    <xf numFmtId="0" fontId="40" fillId="0" borderId="23" xfId="0" applyFont="1" applyFill="1" applyBorder="1" applyAlignment="1" applyProtection="1">
      <alignment horizontal="center" vertical="center" textRotation="90" wrapText="1"/>
      <protection hidden="1"/>
    </xf>
    <xf numFmtId="0" fontId="40" fillId="0" borderId="32" xfId="0" applyFont="1" applyFill="1" applyBorder="1" applyAlignment="1" applyProtection="1">
      <alignment horizontal="center" vertical="center" textRotation="90" wrapText="1"/>
      <protection hidden="1"/>
    </xf>
    <xf numFmtId="0" fontId="3" fillId="0" borderId="7" xfId="0" applyFont="1" applyBorder="1" applyAlignment="1" applyProtection="1">
      <alignment horizontal="right" vertical="center"/>
      <protection hidden="1"/>
    </xf>
    <xf numFmtId="0" fontId="26" fillId="0" borderId="9" xfId="0" applyFont="1" applyBorder="1" applyAlignment="1" applyProtection="1">
      <alignment horizontal="left" vertical="center" wrapText="1"/>
      <protection hidden="1"/>
    </xf>
    <xf numFmtId="0" fontId="26" fillId="0" borderId="0" xfId="0" applyFont="1" applyBorder="1" applyAlignment="1" applyProtection="1">
      <alignment horizontal="left" vertical="center" wrapText="1"/>
      <protection hidden="1"/>
    </xf>
    <xf numFmtId="14" fontId="26" fillId="0" borderId="0" xfId="0" applyNumberFormat="1" applyFont="1" applyBorder="1" applyAlignment="1" applyProtection="1">
      <alignment horizontal="left" vertical="center" wrapText="1"/>
      <protection hidden="1"/>
    </xf>
    <xf numFmtId="0" fontId="45" fillId="0" borderId="25" xfId="0" applyFont="1" applyFill="1" applyBorder="1" applyAlignment="1" applyProtection="1">
      <alignment horizontal="center" vertical="center" wrapText="1"/>
      <protection hidden="1"/>
    </xf>
    <xf numFmtId="0" fontId="45" fillId="0" borderId="7" xfId="0" applyFont="1" applyFill="1" applyBorder="1" applyAlignment="1" applyProtection="1">
      <alignment horizontal="center" vertical="center" wrapText="1"/>
      <protection hidden="1"/>
    </xf>
    <xf numFmtId="0" fontId="45" fillId="0" borderId="26" xfId="0" applyFont="1" applyFill="1" applyBorder="1" applyAlignment="1" applyProtection="1">
      <alignment horizontal="center" vertical="center" wrapText="1"/>
      <protection hidden="1"/>
    </xf>
    <xf numFmtId="0" fontId="45" fillId="0" borderId="23" xfId="0" applyFont="1" applyFill="1" applyBorder="1" applyAlignment="1" applyProtection="1">
      <alignment horizontal="center" vertical="center" wrapText="1"/>
      <protection hidden="1"/>
    </xf>
    <xf numFmtId="0" fontId="45" fillId="0" borderId="0" xfId="0" applyFont="1" applyFill="1" applyBorder="1" applyAlignment="1" applyProtection="1">
      <alignment horizontal="center" vertical="center" wrapText="1"/>
      <protection hidden="1"/>
    </xf>
    <xf numFmtId="0" fontId="45" fillId="0" borderId="20" xfId="0" applyFont="1" applyFill="1" applyBorder="1" applyAlignment="1" applyProtection="1">
      <alignment horizontal="center" vertical="center" wrapText="1"/>
      <protection hidden="1"/>
    </xf>
    <xf numFmtId="0" fontId="45" fillId="0" borderId="27" xfId="0" applyFont="1" applyFill="1" applyBorder="1" applyAlignment="1" applyProtection="1">
      <alignment horizontal="center" vertical="center" wrapText="1"/>
      <protection hidden="1"/>
    </xf>
    <xf numFmtId="0" fontId="45" fillId="0" borderId="12" xfId="0" applyFont="1" applyFill="1" applyBorder="1" applyAlignment="1" applyProtection="1">
      <alignment horizontal="center" vertical="center" wrapText="1"/>
      <protection hidden="1"/>
    </xf>
    <xf numFmtId="0" fontId="45" fillId="0" borderId="22" xfId="0" applyFont="1" applyFill="1" applyBorder="1" applyAlignment="1" applyProtection="1">
      <alignment horizontal="center" vertical="center" wrapText="1"/>
      <protection hidden="1"/>
    </xf>
    <xf numFmtId="0" fontId="41" fillId="0" borderId="0" xfId="0" applyFont="1" applyFill="1" applyBorder="1" applyAlignment="1" applyProtection="1">
      <alignment horizontal="center" vertical="center" wrapText="1"/>
      <protection hidden="1"/>
    </xf>
    <xf numFmtId="0" fontId="32" fillId="0" borderId="0" xfId="0" applyFont="1" applyFill="1" applyBorder="1" applyAlignment="1" applyProtection="1">
      <alignment horizontal="center" vertical="center" wrapText="1"/>
      <protection hidden="1"/>
    </xf>
    <xf numFmtId="0" fontId="26" fillId="0" borderId="11" xfId="0" applyFont="1" applyBorder="1" applyAlignment="1" applyProtection="1">
      <alignment horizontal="left" vertical="center" wrapText="1"/>
      <protection hidden="1"/>
    </xf>
    <xf numFmtId="0" fontId="26" fillId="0" borderId="12" xfId="0" applyFont="1" applyBorder="1" applyAlignment="1" applyProtection="1">
      <alignment horizontal="left" vertical="center" wrapText="1"/>
      <protection hidden="1"/>
    </xf>
    <xf numFmtId="0" fontId="3" fillId="0" borderId="12" xfId="0" applyFont="1" applyBorder="1" applyAlignment="1" applyProtection="1">
      <alignment horizontal="right" vertical="center"/>
      <protection hidden="1"/>
    </xf>
    <xf numFmtId="0" fontId="26" fillId="0" borderId="0" xfId="0" applyFont="1" applyBorder="1" applyAlignment="1" applyProtection="1">
      <alignment horizontal="center" vertical="center" wrapText="1"/>
      <protection hidden="1"/>
    </xf>
    <xf numFmtId="0" fontId="34" fillId="0" borderId="0" xfId="0" applyFont="1" applyBorder="1" applyAlignment="1" applyProtection="1">
      <alignment horizontal="center" vertical="center" wrapText="1"/>
      <protection hidden="1"/>
    </xf>
    <xf numFmtId="0" fontId="34" fillId="0" borderId="10" xfId="0" applyFont="1" applyBorder="1" applyAlignment="1" applyProtection="1">
      <alignment horizontal="center" vertical="center" wrapText="1"/>
      <protection hidden="1"/>
    </xf>
    <xf numFmtId="0" fontId="36" fillId="0" borderId="9" xfId="0" applyFont="1" applyBorder="1" applyAlignment="1" applyProtection="1">
      <alignment horizontal="left" vertical="center" wrapText="1"/>
      <protection hidden="1"/>
    </xf>
    <xf numFmtId="0" fontId="36" fillId="0" borderId="0" xfId="0" applyFont="1" applyBorder="1" applyAlignment="1" applyProtection="1">
      <alignment horizontal="left" vertical="center" wrapText="1"/>
      <protection hidden="1"/>
    </xf>
    <xf numFmtId="0" fontId="37" fillId="0" borderId="0" xfId="0" applyFont="1" applyBorder="1" applyAlignment="1" applyProtection="1">
      <alignment horizontal="center" vertical="center" wrapText="1"/>
      <protection hidden="1"/>
    </xf>
    <xf numFmtId="0" fontId="37" fillId="0" borderId="10" xfId="0" applyFont="1" applyBorder="1" applyAlignment="1" applyProtection="1">
      <alignment horizontal="center" vertical="center" wrapText="1"/>
      <protection hidden="1"/>
    </xf>
    <xf numFmtId="0" fontId="7" fillId="0" borderId="0" xfId="2" applyFont="1" applyBorder="1" applyAlignment="1" applyProtection="1">
      <alignment horizontal="center"/>
      <protection hidden="1"/>
    </xf>
  </cellXfs>
  <cellStyles count="3">
    <cellStyle name="Hipervínculo" xfId="1" builtinId="8"/>
    <cellStyle name="Normal" xfId="0" builtinId="0"/>
    <cellStyle name="Normal 2" xfId="2"/>
  </cellStyles>
  <dxfs count="19">
    <dxf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/>
        </patternFill>
      </fill>
    </dxf>
    <dxf>
      <border>
        <top style="thin">
          <color auto="1"/>
        </top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1409700</xdr:colOff>
          <xdr:row>0</xdr:row>
          <xdr:rowOff>57150</xdr:rowOff>
        </xdr:from>
        <xdr:to>
          <xdr:col>21</xdr:col>
          <xdr:colOff>2524125</xdr:colOff>
          <xdr:row>0</xdr:row>
          <xdr:rowOff>342900</xdr:rowOff>
        </xdr:to>
        <xdr:sp macro="" textlink="">
          <xdr:nvSpPr>
            <xdr:cNvPr id="1054" name="BotonRotular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ROTULAR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942975</xdr:colOff>
          <xdr:row>0</xdr:row>
          <xdr:rowOff>47625</xdr:rowOff>
        </xdr:from>
        <xdr:to>
          <xdr:col>3</xdr:col>
          <xdr:colOff>1504950</xdr:colOff>
          <xdr:row>0</xdr:row>
          <xdr:rowOff>323850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Marcar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1590675</xdr:colOff>
          <xdr:row>0</xdr:row>
          <xdr:rowOff>47625</xdr:rowOff>
        </xdr:from>
        <xdr:to>
          <xdr:col>3</xdr:col>
          <xdr:colOff>2543175</xdr:colOff>
          <xdr:row>0</xdr:row>
          <xdr:rowOff>314325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Desmarcar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800100</xdr:colOff>
          <xdr:row>0</xdr:row>
          <xdr:rowOff>47625</xdr:rowOff>
        </xdr:from>
        <xdr:to>
          <xdr:col>22</xdr:col>
          <xdr:colOff>1514475</xdr:colOff>
          <xdr:row>0</xdr:row>
          <xdr:rowOff>333375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CORREO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1743075</xdr:colOff>
          <xdr:row>0</xdr:row>
          <xdr:rowOff>38100</xdr:rowOff>
        </xdr:from>
        <xdr:to>
          <xdr:col>22</xdr:col>
          <xdr:colOff>2743200</xdr:colOff>
          <xdr:row>0</xdr:row>
          <xdr:rowOff>333375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DEPOSITO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590550</xdr:colOff>
          <xdr:row>0</xdr:row>
          <xdr:rowOff>57150</xdr:rowOff>
        </xdr:from>
        <xdr:to>
          <xdr:col>15</xdr:col>
          <xdr:colOff>1514475</xdr:colOff>
          <xdr:row>0</xdr:row>
          <xdr:rowOff>342900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Cta.Cte.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22529</xdr:colOff>
      <xdr:row>1</xdr:row>
      <xdr:rowOff>27213</xdr:rowOff>
    </xdr:from>
    <xdr:to>
      <xdr:col>20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37279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22529</xdr:colOff>
      <xdr:row>1</xdr:row>
      <xdr:rowOff>27213</xdr:rowOff>
    </xdr:from>
    <xdr:to>
      <xdr:col>21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4904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22529</xdr:colOff>
      <xdr:row>1</xdr:row>
      <xdr:rowOff>27213</xdr:rowOff>
    </xdr:from>
    <xdr:to>
      <xdr:col>21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03954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153865</xdr:colOff>
      <xdr:row>1</xdr:row>
      <xdr:rowOff>43962</xdr:rowOff>
    </xdr:from>
    <xdr:to>
      <xdr:col>15</xdr:col>
      <xdr:colOff>14653</xdr:colOff>
      <xdr:row>5</xdr:row>
      <xdr:rowOff>121898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500" y="212481"/>
          <a:ext cx="1853711" cy="75201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Tabla1" displayName="Tabla1" ref="A1:L211" totalsRowShown="0" headerRowDxfId="13" dataDxfId="12">
  <tableColumns count="12">
    <tableColumn id="1" name="EQUIVALENCIA" dataDxfId="11"/>
    <tableColumn id="2" name="CAMUFLADO" dataDxfId="10"/>
    <tableColumn id="3" name="TALLE LETRA" dataDxfId="9"/>
    <tableColumn id="4" name="TALLE NUMERO" dataDxfId="8"/>
    <tableColumn id="5" name="COLOR" dataDxfId="7"/>
    <tableColumn id="6" name="MANO" dataDxfId="6"/>
    <tableColumn id="7" name="MODELO" dataDxfId="5"/>
    <tableColumn id="9" name="GRUPO" dataDxfId="4"/>
    <tableColumn id="8" name="USO" dataDxfId="3"/>
    <tableColumn id="10" name="RESULTADO" dataDxfId="2"/>
    <tableColumn id="11" name="COLORES COMPLETO" dataDxfId="1">
      <calculatedColumnFormula>CONCATENATE(Tabla1[[#This Row],[EQUIVALENCIA]],". ",Tabla1[[#This Row],[CAMUFLADO]])</calculatedColumnFormula>
    </tableColumn>
    <tableColumn id="12" name="TALLES COMPLETOS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hyperlink" Target="mailto:ventas@rerda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theme="3" tint="0.59999389629810485"/>
    <pageSetUpPr fitToPage="1"/>
  </sheetPr>
  <dimension ref="A1:W44"/>
  <sheetViews>
    <sheetView tabSelected="1" zoomScaleNormal="100" workbookViewId="0">
      <pane ySplit="1" topLeftCell="A2" activePane="bottomLeft" state="frozen"/>
      <selection pane="bottomLeft" activeCell="H31" sqref="H31"/>
    </sheetView>
  </sheetViews>
  <sheetFormatPr baseColWidth="10" defaultRowHeight="15" x14ac:dyDescent="0.25"/>
  <cols>
    <col min="1" max="1" width="11.42578125" customWidth="1"/>
    <col min="2" max="2" width="22.42578125" customWidth="1"/>
    <col min="3" max="3" width="8.7109375" customWidth="1"/>
    <col min="4" max="4" width="39" customWidth="1"/>
    <col min="5" max="5" width="6.7109375" customWidth="1"/>
    <col min="6" max="6" width="11.28515625" customWidth="1"/>
    <col min="7" max="7" width="6.28515625" customWidth="1"/>
    <col min="8" max="8" width="12.7109375" customWidth="1"/>
    <col min="9" max="9" width="19.28515625" customWidth="1"/>
    <col min="10" max="11" width="14.140625" customWidth="1"/>
    <col min="12" max="12" width="13.140625" customWidth="1"/>
    <col min="13" max="13" width="21.7109375" customWidth="1"/>
    <col min="14" max="14" width="8.28515625" customWidth="1"/>
    <col min="15" max="15" width="21.7109375" customWidth="1"/>
    <col min="16" max="16" width="24" customWidth="1"/>
    <col min="17" max="17" width="38.5703125" customWidth="1"/>
    <col min="18" max="18" width="14.5703125" customWidth="1"/>
    <col min="20" max="20" width="20" customWidth="1"/>
    <col min="21" max="21" width="19.28515625" customWidth="1"/>
    <col min="22" max="22" width="39" customWidth="1"/>
    <col min="23" max="23" width="41.85546875" customWidth="1"/>
  </cols>
  <sheetData>
    <row r="1" spans="1:23" ht="30" customHeight="1" thickBot="1" x14ac:dyDescent="0.3">
      <c r="A1" s="221" t="s">
        <v>7925</v>
      </c>
      <c r="B1" s="221" t="s">
        <v>14146</v>
      </c>
      <c r="C1" s="221" t="s">
        <v>14144</v>
      </c>
      <c r="D1" s="222" t="s">
        <v>14202</v>
      </c>
      <c r="E1" s="221" t="s">
        <v>14198</v>
      </c>
      <c r="F1" s="221" t="s">
        <v>7696</v>
      </c>
      <c r="G1" s="221" t="s">
        <v>14199</v>
      </c>
      <c r="H1" s="221" t="s">
        <v>14201</v>
      </c>
      <c r="I1" s="221" t="s">
        <v>14200</v>
      </c>
      <c r="J1" s="221" t="s">
        <v>14203</v>
      </c>
      <c r="K1" s="221" t="s">
        <v>14204</v>
      </c>
      <c r="L1" s="221" t="s">
        <v>14205</v>
      </c>
      <c r="M1" s="221" t="s">
        <v>14206</v>
      </c>
      <c r="N1" s="171" t="s">
        <v>14211</v>
      </c>
      <c r="O1" s="171" t="s">
        <v>14210</v>
      </c>
      <c r="P1" s="218" t="s">
        <v>14209</v>
      </c>
      <c r="Q1" s="136" t="s">
        <v>14147</v>
      </c>
      <c r="R1" s="136" t="s">
        <v>13148</v>
      </c>
      <c r="S1" s="136" t="s">
        <v>13145</v>
      </c>
      <c r="T1" s="136" t="s">
        <v>13144</v>
      </c>
      <c r="U1" s="136" t="s">
        <v>7924</v>
      </c>
      <c r="V1" s="137" t="s">
        <v>14148</v>
      </c>
      <c r="W1" s="206" t="s">
        <v>13938</v>
      </c>
    </row>
    <row r="2" spans="1:23" ht="15.75" thickBot="1" x14ac:dyDescent="0.3">
      <c r="A2" s="193">
        <v>45167</v>
      </c>
      <c r="B2" s="117" t="s">
        <v>14152</v>
      </c>
      <c r="C2" s="118">
        <v>1120750</v>
      </c>
      <c r="D2" s="115" t="str">
        <f>IFERROR(VLOOKUP(C2,LINCE!$A$1:$C$12000,3,FALSE),"")</f>
        <v>BOMB CLAS RIP GRIS 34/48 RER</v>
      </c>
      <c r="E2" s="116">
        <v>50</v>
      </c>
      <c r="F2" s="117"/>
      <c r="G2" s="116">
        <v>1</v>
      </c>
      <c r="H2" s="126"/>
      <c r="I2" s="126">
        <v>1815</v>
      </c>
      <c r="J2" s="113">
        <v>61830126369</v>
      </c>
      <c r="K2" s="196" t="s">
        <v>14213</v>
      </c>
      <c r="L2" s="118">
        <v>27571260</v>
      </c>
      <c r="M2" s="113" t="s">
        <v>13405</v>
      </c>
      <c r="N2" s="113">
        <v>3</v>
      </c>
      <c r="O2" s="219" t="s">
        <v>14191</v>
      </c>
      <c r="P2" s="219" t="s">
        <v>14190</v>
      </c>
      <c r="Q2" s="113" t="s">
        <v>14163</v>
      </c>
      <c r="R2" s="196">
        <v>3874062789</v>
      </c>
      <c r="S2" s="119">
        <v>4400</v>
      </c>
      <c r="T2" s="119" t="s">
        <v>14164</v>
      </c>
      <c r="U2" s="113" t="s">
        <v>7947</v>
      </c>
      <c r="V2" s="135" t="s">
        <v>7930</v>
      </c>
      <c r="W2" s="134" t="s">
        <v>14173</v>
      </c>
    </row>
    <row r="3" spans="1:23" x14ac:dyDescent="0.25">
      <c r="A3" s="193">
        <v>45167</v>
      </c>
      <c r="B3" s="117" t="s">
        <v>14153</v>
      </c>
      <c r="C3" s="118">
        <v>1120724</v>
      </c>
      <c r="D3" s="115" t="str">
        <f>IFERROR(VLOOKUP(C3,LINCE!$A$1:$C$12000,3,FALSE),"")</f>
        <v>BOMB KADIMA GAB NEGRA 34/48 RER</v>
      </c>
      <c r="E3" s="116">
        <v>48</v>
      </c>
      <c r="F3" s="117"/>
      <c r="G3" s="116">
        <v>1</v>
      </c>
      <c r="H3" s="126"/>
      <c r="I3" s="126"/>
      <c r="J3" s="113">
        <v>62189539358</v>
      </c>
      <c r="K3" s="113"/>
      <c r="L3" s="118">
        <v>35907367</v>
      </c>
      <c r="M3" s="113" t="s">
        <v>13407</v>
      </c>
      <c r="N3" s="113"/>
      <c r="O3" s="219"/>
      <c r="P3" s="219"/>
      <c r="Q3" s="113" t="s">
        <v>14165</v>
      </c>
      <c r="R3" s="113">
        <v>3413535007</v>
      </c>
      <c r="S3" s="119">
        <v>2000</v>
      </c>
      <c r="T3" s="119" t="s">
        <v>14166</v>
      </c>
      <c r="U3" s="113" t="s">
        <v>7951</v>
      </c>
      <c r="V3" s="113" t="s">
        <v>7929</v>
      </c>
    </row>
    <row r="4" spans="1:23" x14ac:dyDescent="0.25">
      <c r="A4" s="193">
        <v>45167</v>
      </c>
      <c r="B4" s="117" t="s">
        <v>14154</v>
      </c>
      <c r="C4" s="118">
        <v>8503600</v>
      </c>
      <c r="D4" s="115" t="str">
        <f>IFERROR(VLOOKUP(C4,LINCE!$A$1:$C$12000,3,FALSE),"")</f>
        <v>KIT RODILLERAS Y CODERAS TACTICAS 5637-2</v>
      </c>
      <c r="E4" s="116"/>
      <c r="F4" s="117"/>
      <c r="G4" s="116">
        <v>6</v>
      </c>
      <c r="H4" s="126"/>
      <c r="I4" s="126">
        <v>45900</v>
      </c>
      <c r="J4" s="113"/>
      <c r="K4" s="196"/>
      <c r="L4" s="118">
        <v>35781600</v>
      </c>
      <c r="M4" s="113" t="s">
        <v>13406</v>
      </c>
      <c r="N4" s="113"/>
      <c r="O4" s="219"/>
      <c r="P4" s="219"/>
      <c r="Q4" s="113" t="s">
        <v>14163</v>
      </c>
      <c r="R4" s="113">
        <v>3878641652</v>
      </c>
      <c r="S4" s="119">
        <v>4400</v>
      </c>
      <c r="T4" s="119" t="s">
        <v>14164</v>
      </c>
      <c r="U4" s="113" t="s">
        <v>7947</v>
      </c>
      <c r="V4" s="113" t="s">
        <v>7930</v>
      </c>
    </row>
    <row r="5" spans="1:23" x14ac:dyDescent="0.25">
      <c r="A5" s="215"/>
      <c r="B5" s="117"/>
      <c r="C5" s="118">
        <v>8708323</v>
      </c>
      <c r="D5" s="115" t="str">
        <f>IFERROR(VLOOKUP(C5,LINCE!$A$1:$C$12000,3,FALSE),"")</f>
        <v>MORRAL TACTICO CIERRE CRUZADO 2323</v>
      </c>
      <c r="E5" s="116"/>
      <c r="F5" s="117" t="s">
        <v>14167</v>
      </c>
      <c r="G5" s="116">
        <v>1</v>
      </c>
      <c r="H5" s="126"/>
      <c r="I5" s="126"/>
      <c r="J5" s="113"/>
      <c r="K5" s="113"/>
      <c r="L5" s="118"/>
      <c r="M5" s="113"/>
      <c r="N5" s="113"/>
      <c r="O5" s="219"/>
      <c r="P5" s="219"/>
      <c r="Q5" s="113"/>
      <c r="R5" s="113"/>
      <c r="S5" s="119"/>
      <c r="T5" s="119"/>
      <c r="U5" s="113"/>
      <c r="V5" s="113"/>
    </row>
    <row r="6" spans="1:23" x14ac:dyDescent="0.25">
      <c r="A6" s="216">
        <v>45167</v>
      </c>
      <c r="B6" s="117" t="s">
        <v>14155</v>
      </c>
      <c r="C6" s="118">
        <v>2101900</v>
      </c>
      <c r="D6" s="115" t="str">
        <f>IFERROR(VLOOKUP(C6,LINCE!$A$1:$C$12000,3,FALSE),"")</f>
        <v>CHOMBA MC CIERRE NE 3XS/2XL RER</v>
      </c>
      <c r="E6" s="116" t="s">
        <v>7724</v>
      </c>
      <c r="F6" s="117"/>
      <c r="G6" s="116">
        <v>3</v>
      </c>
      <c r="H6" s="126">
        <v>654654</v>
      </c>
      <c r="I6" s="126"/>
      <c r="J6" s="113"/>
      <c r="K6" s="113" t="s">
        <v>14214</v>
      </c>
      <c r="L6" s="118">
        <v>33105934</v>
      </c>
      <c r="M6" s="113" t="s">
        <v>13405</v>
      </c>
      <c r="N6" s="113">
        <v>2</v>
      </c>
      <c r="O6" s="219" t="s">
        <v>14192</v>
      </c>
      <c r="P6" s="219" t="s">
        <v>14193</v>
      </c>
      <c r="Q6" s="113" t="s">
        <v>12797</v>
      </c>
      <c r="R6" s="113">
        <v>3462570356</v>
      </c>
      <c r="S6" s="119">
        <v>2600</v>
      </c>
      <c r="T6" s="119" t="s">
        <v>12797</v>
      </c>
      <c r="U6" s="113" t="s">
        <v>7951</v>
      </c>
      <c r="V6" s="113" t="s">
        <v>7930</v>
      </c>
    </row>
    <row r="7" spans="1:23" x14ac:dyDescent="0.25">
      <c r="A7" s="215"/>
      <c r="B7" s="117"/>
      <c r="C7" s="118">
        <v>2101555</v>
      </c>
      <c r="D7" s="115" t="str">
        <f>IFERROR(VLOOKUP(C7,LINCE!$A$1:$C$12000,3,FALSE),"")</f>
        <v>REMERA MC SIN CIERRE NEGRO 3XS/2XL RER</v>
      </c>
      <c r="E7" s="116" t="s">
        <v>7704</v>
      </c>
      <c r="F7" s="117" t="s">
        <v>14207</v>
      </c>
      <c r="G7" s="116">
        <v>8</v>
      </c>
      <c r="H7" s="126">
        <v>24569</v>
      </c>
      <c r="I7" s="126"/>
      <c r="J7" s="113"/>
      <c r="K7" s="113"/>
      <c r="L7" s="118"/>
      <c r="M7" s="113"/>
      <c r="N7" s="113"/>
      <c r="O7" s="219"/>
      <c r="P7" s="219"/>
      <c r="Q7" s="113"/>
      <c r="R7" s="113"/>
      <c r="S7" s="119"/>
      <c r="T7" s="119"/>
      <c r="U7" s="113"/>
      <c r="V7" s="113"/>
    </row>
    <row r="8" spans="1:23" x14ac:dyDescent="0.25">
      <c r="A8" s="215"/>
      <c r="B8" s="117"/>
      <c r="C8" s="118">
        <v>2101550</v>
      </c>
      <c r="D8" s="115" t="str">
        <f>IFERROR(VLOOKUP(C8,LINCE!$A$1:$C$12000,3,FALSE),"")</f>
        <v>REMERA MC SIN CIERRE AZUL 3XS/2XL RER</v>
      </c>
      <c r="E8" s="116" t="s">
        <v>7728</v>
      </c>
      <c r="F8" s="117" t="s">
        <v>14208</v>
      </c>
      <c r="G8" s="116">
        <v>2</v>
      </c>
      <c r="H8" s="126">
        <v>1235</v>
      </c>
      <c r="I8" s="126"/>
      <c r="J8" s="113"/>
      <c r="K8" s="113"/>
      <c r="L8" s="118"/>
      <c r="M8" s="113"/>
      <c r="N8" s="113"/>
      <c r="O8" s="219"/>
      <c r="P8" s="219"/>
      <c r="Q8" s="113"/>
      <c r="R8" s="113"/>
      <c r="S8" s="119"/>
      <c r="T8" s="119"/>
      <c r="U8" s="113"/>
      <c r="V8" s="113"/>
    </row>
    <row r="9" spans="1:23" x14ac:dyDescent="0.25">
      <c r="A9" s="215"/>
      <c r="B9" s="117"/>
      <c r="C9" s="118">
        <v>5101888</v>
      </c>
      <c r="D9" s="115" t="str">
        <f>IFERROR(VLOOKUP(C9,LINCE!$A$1:$C$12000,3,FALSE),"")</f>
        <v>CAMP PALMAJ NEGRA 2XS/2XL RER</v>
      </c>
      <c r="E9" s="116" t="s">
        <v>7749</v>
      </c>
      <c r="F9" s="117"/>
      <c r="G9" s="116">
        <v>3</v>
      </c>
      <c r="H9" s="126">
        <v>54000</v>
      </c>
      <c r="I9" s="126"/>
      <c r="J9" s="113"/>
      <c r="K9" s="113"/>
      <c r="L9" s="118"/>
      <c r="M9" s="113"/>
      <c r="N9" s="113"/>
      <c r="O9" s="219"/>
      <c r="P9" s="219"/>
      <c r="Q9" s="113"/>
      <c r="R9" s="113"/>
      <c r="S9" s="119"/>
      <c r="T9" s="119"/>
      <c r="U9" s="113"/>
      <c r="V9" s="113"/>
    </row>
    <row r="10" spans="1:23" x14ac:dyDescent="0.25">
      <c r="A10" s="216">
        <v>45167</v>
      </c>
      <c r="B10" s="117" t="s">
        <v>14156</v>
      </c>
      <c r="C10" s="118">
        <v>8503125</v>
      </c>
      <c r="D10" s="115" t="str">
        <f>IFERROR(VLOOKUP(C10,LINCE!$A$1:$C$12000,3,FALSE),"")</f>
        <v>BASTON EXTENSIBLE CROM.5736</v>
      </c>
      <c r="E10" s="116"/>
      <c r="F10" s="117"/>
      <c r="G10" s="116">
        <v>1</v>
      </c>
      <c r="H10" s="126"/>
      <c r="I10" s="126">
        <v>16800</v>
      </c>
      <c r="J10" s="113">
        <v>62846263636</v>
      </c>
      <c r="K10" s="113"/>
      <c r="L10" s="118">
        <v>42288678</v>
      </c>
      <c r="M10" s="113" t="s">
        <v>13405</v>
      </c>
      <c r="N10" s="113"/>
      <c r="O10" s="219" t="s">
        <v>14195</v>
      </c>
      <c r="P10" s="219" t="s">
        <v>14194</v>
      </c>
      <c r="Q10" s="113" t="s">
        <v>14168</v>
      </c>
      <c r="R10" s="196">
        <v>3886447862</v>
      </c>
      <c r="S10" s="119">
        <v>4512</v>
      </c>
      <c r="T10" s="119" t="s">
        <v>7965</v>
      </c>
      <c r="U10" s="113" t="s">
        <v>7940</v>
      </c>
      <c r="V10" s="113" t="s">
        <v>7930</v>
      </c>
    </row>
    <row r="11" spans="1:23" x14ac:dyDescent="0.25">
      <c r="A11" s="215"/>
      <c r="B11" s="117"/>
      <c r="C11" s="118">
        <v>8705568</v>
      </c>
      <c r="D11" s="115" t="str">
        <f>IFERROR(VLOOKUP(C11,LINCE!$A$1:$C$12000,3,FALSE),"")</f>
        <v>PORTA BASTON EXT. POLIMERO 9.5CM 5681-32</v>
      </c>
      <c r="E11" s="116"/>
      <c r="F11" s="117"/>
      <c r="G11" s="116">
        <v>1</v>
      </c>
      <c r="H11" s="126"/>
      <c r="I11" s="126"/>
      <c r="J11" s="113"/>
      <c r="K11" s="113"/>
      <c r="L11" s="118"/>
      <c r="M11" s="113"/>
      <c r="N11" s="113"/>
      <c r="O11" s="219"/>
      <c r="P11" s="219"/>
      <c r="Q11" s="113"/>
      <c r="R11" s="113"/>
      <c r="S11" s="119"/>
      <c r="T11" s="119"/>
      <c r="U11" s="113"/>
      <c r="V11" s="113"/>
    </row>
    <row r="12" spans="1:23" x14ac:dyDescent="0.25">
      <c r="A12" s="216">
        <v>45167</v>
      </c>
      <c r="B12" s="117" t="s">
        <v>14157</v>
      </c>
      <c r="C12" s="118">
        <v>8303900</v>
      </c>
      <c r="D12" s="115" t="str">
        <f>IFERROR(VLOOKUP(C12,LINCE!$A$1:$C$12000,3,FALSE),"")</f>
        <v>CASQ RIP NEGRO ABROJO</v>
      </c>
      <c r="E12" s="116"/>
      <c r="F12" s="117"/>
      <c r="G12" s="116">
        <v>1</v>
      </c>
      <c r="H12" s="126"/>
      <c r="I12" s="126">
        <v>23200</v>
      </c>
      <c r="J12" s="113">
        <v>62845147920</v>
      </c>
      <c r="K12" s="113"/>
      <c r="L12" s="118">
        <v>31030340</v>
      </c>
      <c r="M12" s="113" t="s">
        <v>13407</v>
      </c>
      <c r="N12" s="113"/>
      <c r="O12" s="219"/>
      <c r="P12" s="219"/>
      <c r="Q12" s="113" t="s">
        <v>14169</v>
      </c>
      <c r="R12" s="113">
        <v>3814660898</v>
      </c>
      <c r="S12" s="119">
        <v>4178</v>
      </c>
      <c r="T12" s="119" t="s">
        <v>13008</v>
      </c>
      <c r="U12" s="113" t="s">
        <v>7953</v>
      </c>
      <c r="V12" s="113" t="s">
        <v>7930</v>
      </c>
    </row>
    <row r="13" spans="1:23" x14ac:dyDescent="0.25">
      <c r="A13" s="215"/>
      <c r="B13" s="117"/>
      <c r="C13" s="118">
        <v>8703017</v>
      </c>
      <c r="D13" s="115" t="str">
        <f>IFERROR(VLOOKUP(C13,LINCE!$A$1:$C$12000,3,FALSE),"")</f>
        <v>MUSLERA P/CARG DOBLE Y P/ESPOSAS T609</v>
      </c>
      <c r="E13" s="116"/>
      <c r="F13" s="117"/>
      <c r="G13" s="116">
        <v>1</v>
      </c>
      <c r="H13" s="126"/>
      <c r="I13" s="126"/>
      <c r="J13" s="113"/>
      <c r="K13" s="113"/>
      <c r="L13" s="118"/>
      <c r="M13" s="113"/>
      <c r="N13" s="113"/>
      <c r="O13" s="219"/>
      <c r="P13" s="219"/>
      <c r="Q13" s="113"/>
      <c r="R13" s="113"/>
      <c r="S13" s="119"/>
      <c r="T13" s="119"/>
      <c r="U13" s="113"/>
      <c r="V13" s="113"/>
    </row>
    <row r="14" spans="1:23" x14ac:dyDescent="0.25">
      <c r="A14" s="216">
        <v>45167</v>
      </c>
      <c r="B14" s="117" t="s">
        <v>14158</v>
      </c>
      <c r="C14" s="118">
        <v>2220292</v>
      </c>
      <c r="D14" s="115" t="str">
        <f>IFERROR(VLOOKUP(C14,LINCE!$A$1:$C$12000,3,FALSE),"")</f>
        <v>REMERA MC AZUL CON ESTAMPA POLICIA GEI</v>
      </c>
      <c r="E14" s="116" t="s">
        <v>7728</v>
      </c>
      <c r="F14" s="117"/>
      <c r="G14" s="116">
        <v>1</v>
      </c>
      <c r="H14" s="126"/>
      <c r="I14" s="126">
        <v>72760</v>
      </c>
      <c r="J14" s="113">
        <v>62840205530</v>
      </c>
      <c r="K14" s="113"/>
      <c r="L14" s="118">
        <v>37642888</v>
      </c>
      <c r="M14" s="113" t="s">
        <v>13407</v>
      </c>
      <c r="N14" s="113"/>
      <c r="O14" s="219"/>
      <c r="P14" s="219"/>
      <c r="Q14" s="113" t="s">
        <v>9718</v>
      </c>
      <c r="R14" s="113">
        <v>3834990387</v>
      </c>
      <c r="S14" s="119">
        <v>4700</v>
      </c>
      <c r="T14" s="119" t="s">
        <v>9718</v>
      </c>
      <c r="U14" s="113" t="s">
        <v>7933</v>
      </c>
      <c r="V14" s="113" t="s">
        <v>7930</v>
      </c>
    </row>
    <row r="15" spans="1:23" x14ac:dyDescent="0.25">
      <c r="A15" s="193"/>
      <c r="B15" s="117"/>
      <c r="C15" s="118">
        <v>2101495</v>
      </c>
      <c r="D15" s="115" t="str">
        <f>IFERROR(VLOOKUP(C15,LINCE!$A$1:$C$12000,3,FALSE),"")</f>
        <v>CHOMBA MC CIERRE AZ 3XS/2XL RER</v>
      </c>
      <c r="E15" s="116" t="s">
        <v>7728</v>
      </c>
      <c r="F15" s="117"/>
      <c r="G15" s="116">
        <v>1</v>
      </c>
      <c r="H15" s="126"/>
      <c r="I15" s="126"/>
      <c r="J15" s="113"/>
      <c r="K15" s="113"/>
      <c r="L15" s="118"/>
      <c r="M15" s="113"/>
      <c r="N15" s="113"/>
      <c r="O15" s="219"/>
      <c r="P15" s="219"/>
      <c r="Q15" s="113"/>
      <c r="R15" s="113"/>
      <c r="S15" s="119"/>
      <c r="T15" s="119"/>
      <c r="U15" s="113"/>
      <c r="V15" s="113"/>
    </row>
    <row r="16" spans="1:23" x14ac:dyDescent="0.25">
      <c r="A16" s="193"/>
      <c r="B16" s="117"/>
      <c r="C16" s="118">
        <v>2103050</v>
      </c>
      <c r="D16" s="115" t="str">
        <f>IFERROR(VLOOKUP(C16,LINCE!$A$1:$C$12000,3,FALSE),"")</f>
        <v>REMERA MC COMBAT AZUL</v>
      </c>
      <c r="E16" s="116" t="s">
        <v>7728</v>
      </c>
      <c r="F16" s="117"/>
      <c r="G16" s="116">
        <v>1</v>
      </c>
      <c r="H16" s="126"/>
      <c r="I16" s="126"/>
      <c r="J16" s="113"/>
      <c r="K16" s="113"/>
      <c r="L16" s="118"/>
      <c r="M16" s="113"/>
      <c r="N16" s="113"/>
      <c r="O16" s="219"/>
      <c r="P16" s="219"/>
      <c r="Q16" s="113"/>
      <c r="R16" s="113"/>
      <c r="S16" s="119"/>
      <c r="T16" s="119"/>
      <c r="U16" s="113"/>
      <c r="V16" s="113"/>
    </row>
    <row r="17" spans="1:22" x14ac:dyDescent="0.25">
      <c r="A17" s="193"/>
      <c r="B17" s="117"/>
      <c r="C17" s="118">
        <v>1120720</v>
      </c>
      <c r="D17" s="115" t="str">
        <f>IFERROR(VLOOKUP(C17,LINCE!$A$1:$C$12000,3,FALSE),"")</f>
        <v>BOMB KADIMA GAB AZUL 34/48 RER</v>
      </c>
      <c r="E17" s="116">
        <v>46</v>
      </c>
      <c r="F17" s="117"/>
      <c r="G17" s="116">
        <v>1</v>
      </c>
      <c r="H17" s="126"/>
      <c r="I17" s="126"/>
      <c r="J17" s="113"/>
      <c r="K17" s="113"/>
      <c r="L17" s="118"/>
      <c r="M17" s="113"/>
      <c r="N17" s="113"/>
      <c r="O17" s="219"/>
      <c r="P17" s="219"/>
      <c r="Q17" s="113"/>
      <c r="R17" s="113"/>
      <c r="S17" s="119"/>
      <c r="T17" s="119"/>
      <c r="U17" s="113"/>
      <c r="V17" s="113"/>
    </row>
    <row r="18" spans="1:22" x14ac:dyDescent="0.25">
      <c r="A18" s="193">
        <v>45167</v>
      </c>
      <c r="B18" s="117" t="s">
        <v>14159</v>
      </c>
      <c r="C18" s="118">
        <v>8708643</v>
      </c>
      <c r="D18" s="115" t="str">
        <f>IFERROR(VLOOKUP(C18,LINCE!$A$1:$C$12000,3,FALSE),"")</f>
        <v>MOCHILA 8141-43 20.5L YW-48/3</v>
      </c>
      <c r="E18" s="116"/>
      <c r="F18" s="117" t="s">
        <v>14167</v>
      </c>
      <c r="G18" s="116">
        <v>1</v>
      </c>
      <c r="H18" s="126">
        <v>12456</v>
      </c>
      <c r="I18" s="126">
        <v>20900</v>
      </c>
      <c r="J18" s="113">
        <v>2162511</v>
      </c>
      <c r="K18" s="113" t="s">
        <v>14212</v>
      </c>
      <c r="L18" s="118">
        <v>42795241</v>
      </c>
      <c r="M18" s="113" t="s">
        <v>13405</v>
      </c>
      <c r="N18" s="113">
        <v>6</v>
      </c>
      <c r="O18" s="219" t="s">
        <v>14196</v>
      </c>
      <c r="P18" s="219" t="s">
        <v>14197</v>
      </c>
      <c r="Q18" s="113" t="s">
        <v>11496</v>
      </c>
      <c r="R18" s="113">
        <v>2604104006</v>
      </c>
      <c r="S18" s="119">
        <v>5600</v>
      </c>
      <c r="T18" s="119" t="s">
        <v>11496</v>
      </c>
      <c r="U18" s="113" t="s">
        <v>7943</v>
      </c>
      <c r="V18" s="113" t="s">
        <v>7930</v>
      </c>
    </row>
    <row r="19" spans="1:22" x14ac:dyDescent="0.25">
      <c r="A19" s="193"/>
      <c r="B19" s="117"/>
      <c r="C19" s="118">
        <v>1120858</v>
      </c>
      <c r="D19" s="115" t="str">
        <f>IFERROR(VLOOKUP(C19,LINCE!$A$1:$C$12000,3,FALSE),"")</f>
        <v>BOMB AMER RIP NEGRA 34/48 RER</v>
      </c>
      <c r="E19" s="116">
        <v>46</v>
      </c>
      <c r="F19" s="117"/>
      <c r="G19" s="116">
        <v>2</v>
      </c>
      <c r="H19" s="126">
        <v>65478</v>
      </c>
      <c r="I19" s="126"/>
      <c r="J19" s="113" t="s">
        <v>14170</v>
      </c>
      <c r="K19" s="113"/>
      <c r="L19" s="118"/>
      <c r="M19" s="113"/>
      <c r="N19" s="113"/>
      <c r="O19" s="219"/>
      <c r="P19" s="219"/>
      <c r="Q19" s="113"/>
      <c r="R19" s="113"/>
      <c r="S19" s="119"/>
      <c r="T19" s="119"/>
      <c r="U19" s="113"/>
      <c r="V19" s="113"/>
    </row>
    <row r="20" spans="1:22" x14ac:dyDescent="0.25">
      <c r="A20" s="193"/>
      <c r="B20" s="117"/>
      <c r="C20" s="118">
        <v>5101863</v>
      </c>
      <c r="D20" s="115" t="str">
        <f>IFERROR(VLOOKUP(C20,LINCE!$A$1:$C$12000,3,FALSE),"")</f>
        <v>GARIBALDINA MAO RIP NEGRA 2XS/2XL RER</v>
      </c>
      <c r="E20" s="116" t="s">
        <v>7724</v>
      </c>
      <c r="F20" s="117"/>
      <c r="G20" s="116">
        <v>1</v>
      </c>
      <c r="H20" s="126">
        <v>28438</v>
      </c>
      <c r="I20" s="126"/>
      <c r="J20" s="113"/>
      <c r="K20" s="113"/>
      <c r="L20" s="118"/>
      <c r="M20" s="113"/>
      <c r="N20" s="113"/>
      <c r="O20" s="219"/>
      <c r="P20" s="219"/>
      <c r="Q20" s="113"/>
      <c r="R20" s="113"/>
      <c r="S20" s="119"/>
      <c r="T20" s="119"/>
      <c r="U20" s="113"/>
      <c r="V20" s="113"/>
    </row>
    <row r="21" spans="1:22" x14ac:dyDescent="0.25">
      <c r="A21" s="193">
        <v>45167</v>
      </c>
      <c r="B21" s="117" t="s">
        <v>14160</v>
      </c>
      <c r="C21" s="118">
        <v>8303800</v>
      </c>
      <c r="D21" s="115" t="str">
        <f>IFERROR(VLOOKUP(C21,LINCE!$A$1:$C$12000,3,FALSE),"")</f>
        <v>CASQ RIP AZUL NQUEN. RER</v>
      </c>
      <c r="E21" s="116"/>
      <c r="F21" s="117"/>
      <c r="G21" s="116">
        <v>1</v>
      </c>
      <c r="H21" s="126"/>
      <c r="I21" s="126">
        <v>41900</v>
      </c>
      <c r="J21" s="113">
        <v>62831103610</v>
      </c>
      <c r="K21" s="113"/>
      <c r="L21" s="118">
        <v>40415012</v>
      </c>
      <c r="M21" s="113" t="s">
        <v>13407</v>
      </c>
      <c r="N21" s="113"/>
      <c r="O21" s="219"/>
      <c r="P21" s="219"/>
      <c r="Q21" s="113" t="s">
        <v>14171</v>
      </c>
      <c r="R21" s="113">
        <v>3764849587</v>
      </c>
      <c r="S21" s="119">
        <v>8370</v>
      </c>
      <c r="T21" s="119" t="s">
        <v>14172</v>
      </c>
      <c r="U21" s="113" t="s">
        <v>7945</v>
      </c>
      <c r="V21" s="113" t="s">
        <v>7930</v>
      </c>
    </row>
    <row r="22" spans="1:22" x14ac:dyDescent="0.25">
      <c r="A22" s="193"/>
      <c r="B22" s="117"/>
      <c r="C22" s="118">
        <v>4120239</v>
      </c>
      <c r="D22" s="115" t="str">
        <f>IFERROR(VLOOKUP(C22,LINCE!$A$1:$C$12000,3,FALSE),"")</f>
        <v>CAMISA MC BAT CEL NQN CORB 34/44 RER</v>
      </c>
      <c r="E22" s="116">
        <v>38</v>
      </c>
      <c r="F22" s="117"/>
      <c r="G22" s="116">
        <v>2</v>
      </c>
      <c r="H22" s="126"/>
      <c r="I22" s="126"/>
      <c r="J22" s="113"/>
      <c r="K22" s="113"/>
      <c r="L22" s="118"/>
      <c r="M22" s="113"/>
      <c r="N22" s="113"/>
      <c r="O22" s="219"/>
      <c r="P22" s="219"/>
      <c r="Q22" s="113"/>
      <c r="R22" s="113"/>
      <c r="S22" s="119"/>
      <c r="T22" s="119"/>
      <c r="U22" s="113"/>
      <c r="V22" s="113"/>
    </row>
    <row r="23" spans="1:22" x14ac:dyDescent="0.25">
      <c r="A23" s="193">
        <v>45167</v>
      </c>
      <c r="B23" s="117" t="s">
        <v>14161</v>
      </c>
      <c r="C23" s="118">
        <v>1120305</v>
      </c>
      <c r="D23" s="115" t="str">
        <f>IFERROR(VLOOKUP(C23,LINCE!$A$1:$C$12000,3,FALSE),"")</f>
        <v>BOMB CLAS GAB NEGRA DAMA/SPANDE 34/48RER</v>
      </c>
      <c r="E23" s="116">
        <v>40</v>
      </c>
      <c r="F23" s="117"/>
      <c r="G23" s="116">
        <v>1</v>
      </c>
      <c r="H23" s="126"/>
      <c r="I23" s="126">
        <v>48400</v>
      </c>
      <c r="J23" s="113"/>
      <c r="K23" s="113"/>
      <c r="L23" s="118">
        <v>33077739</v>
      </c>
      <c r="M23" s="113" t="s">
        <v>13406</v>
      </c>
      <c r="N23" s="113"/>
      <c r="O23" s="219"/>
      <c r="P23" s="219"/>
      <c r="Q23" s="113" t="s">
        <v>14166</v>
      </c>
      <c r="R23" s="113">
        <v>3425161443</v>
      </c>
      <c r="S23" s="119">
        <v>3000</v>
      </c>
      <c r="T23" s="119" t="s">
        <v>14166</v>
      </c>
      <c r="U23" s="113" t="s">
        <v>7951</v>
      </c>
      <c r="V23" s="113" t="s">
        <v>7930</v>
      </c>
    </row>
    <row r="24" spans="1:22" x14ac:dyDescent="0.25">
      <c r="A24" s="193"/>
      <c r="B24" s="117"/>
      <c r="C24" s="118">
        <v>2601900</v>
      </c>
      <c r="D24" s="115" t="str">
        <f>IFERROR(VLOOKUP(C24,LINCE!$A$1:$C$12000,3,FALSE),"")</f>
        <v>BUZO FRIZA NEGRO CON CIERRE 3XS/2XL RER</v>
      </c>
      <c r="E24" s="116" t="s">
        <v>7704</v>
      </c>
      <c r="F24" s="117"/>
      <c r="G24" s="116">
        <v>1</v>
      </c>
      <c r="H24" s="126"/>
      <c r="I24" s="126"/>
      <c r="J24" s="113"/>
      <c r="K24" s="113"/>
      <c r="L24" s="118"/>
      <c r="M24" s="113"/>
      <c r="N24" s="113"/>
      <c r="O24" s="219"/>
      <c r="P24" s="219"/>
      <c r="Q24" s="113"/>
      <c r="R24" s="113"/>
      <c r="S24" s="119"/>
      <c r="T24" s="119"/>
      <c r="U24" s="113"/>
      <c r="V24" s="113"/>
    </row>
    <row r="25" spans="1:22" x14ac:dyDescent="0.25">
      <c r="A25" s="193">
        <v>45167</v>
      </c>
      <c r="B25" s="117" t="s">
        <v>14162</v>
      </c>
      <c r="C25" s="118">
        <v>8205118</v>
      </c>
      <c r="D25" s="115" t="str">
        <f>IFERROR(VLOOKUP(C25,LINCE!$A$1:$C$12000,3,FALSE),"")</f>
        <v>BORCEGUI COMANDO RERDA ART60 CIERRE CAR</v>
      </c>
      <c r="E25" s="116">
        <v>40</v>
      </c>
      <c r="F25" s="117"/>
      <c r="G25" s="116">
        <v>1</v>
      </c>
      <c r="H25" s="126"/>
      <c r="I25" s="126">
        <v>900</v>
      </c>
      <c r="J25" s="113">
        <v>62834061768</v>
      </c>
      <c r="K25" s="113"/>
      <c r="L25" s="118">
        <v>21571863</v>
      </c>
      <c r="M25" s="113" t="s">
        <v>13407</v>
      </c>
      <c r="N25" s="113"/>
      <c r="O25" s="219"/>
      <c r="P25" s="219"/>
      <c r="Q25" s="113" t="s">
        <v>8511</v>
      </c>
      <c r="R25" s="113">
        <v>1140589810</v>
      </c>
      <c r="S25" s="119"/>
      <c r="T25" s="119" t="s">
        <v>8511</v>
      </c>
      <c r="U25" s="113" t="s">
        <v>7932</v>
      </c>
      <c r="V25" s="113" t="s">
        <v>7930</v>
      </c>
    </row>
    <row r="26" spans="1:22" x14ac:dyDescent="0.25">
      <c r="A26" s="193"/>
      <c r="B26" s="117"/>
      <c r="C26" s="118"/>
      <c r="D26" s="115" t="str">
        <f>IFERROR(VLOOKUP(C26,LINCE!$A$1:$C$12000,3,FALSE),"")</f>
        <v/>
      </c>
      <c r="E26" s="116"/>
      <c r="F26" s="117"/>
      <c r="G26" s="116"/>
      <c r="H26" s="126"/>
      <c r="I26" s="126">
        <v>69000</v>
      </c>
      <c r="J26" s="113">
        <v>62832515946</v>
      </c>
      <c r="K26" s="113"/>
      <c r="L26" s="118"/>
      <c r="M26" s="113"/>
      <c r="N26" s="113"/>
      <c r="O26" s="219"/>
      <c r="P26" s="219"/>
      <c r="Q26" s="113"/>
      <c r="R26" s="113"/>
      <c r="S26" s="119"/>
      <c r="T26" s="119"/>
      <c r="U26" s="113"/>
      <c r="V26" s="113"/>
    </row>
    <row r="27" spans="1:22" x14ac:dyDescent="0.25">
      <c r="A27" s="193"/>
      <c r="B27" s="117"/>
      <c r="C27" s="118"/>
      <c r="D27" s="115" t="str">
        <f>IFERROR(VLOOKUP(C27,LINCE!$A$1:$C$12000,3,FALSE),"")</f>
        <v/>
      </c>
      <c r="E27" s="116"/>
      <c r="F27" s="117"/>
      <c r="G27" s="116"/>
      <c r="H27" s="126"/>
      <c r="I27" s="126"/>
      <c r="J27" s="113"/>
      <c r="K27" s="113"/>
      <c r="L27" s="118"/>
      <c r="M27" s="113"/>
      <c r="N27" s="113"/>
      <c r="O27" s="219"/>
      <c r="P27" s="219"/>
      <c r="Q27" s="113"/>
      <c r="R27" s="113"/>
      <c r="S27" s="119"/>
      <c r="T27" s="119"/>
      <c r="U27" s="113"/>
      <c r="V27" s="113"/>
    </row>
    <row r="28" spans="1:22" x14ac:dyDescent="0.25">
      <c r="A28" s="193"/>
      <c r="B28" s="117"/>
      <c r="C28" s="118"/>
      <c r="D28" s="115" t="str">
        <f>IFERROR(VLOOKUP(C28,LINCE!$A$1:$C$12000,3,FALSE),"")</f>
        <v/>
      </c>
      <c r="E28" s="116"/>
      <c r="F28" s="117"/>
      <c r="G28" s="116"/>
      <c r="H28" s="126"/>
      <c r="I28" s="126"/>
      <c r="J28" s="113"/>
      <c r="K28" s="113"/>
      <c r="L28" s="118"/>
      <c r="M28" s="113"/>
      <c r="N28" s="113"/>
      <c r="O28" s="219"/>
      <c r="P28" s="219"/>
      <c r="Q28" s="113"/>
      <c r="R28" s="113"/>
      <c r="S28" s="119"/>
      <c r="T28" s="119"/>
      <c r="U28" s="113"/>
      <c r="V28" s="113"/>
    </row>
    <row r="29" spans="1:22" x14ac:dyDescent="0.25">
      <c r="A29" s="193"/>
      <c r="B29" s="117"/>
      <c r="C29" s="118"/>
      <c r="D29" s="115" t="str">
        <f>IFERROR(VLOOKUP(C29,LINCE!$A$1:$C$12000,3,FALSE),"")</f>
        <v/>
      </c>
      <c r="E29" s="116"/>
      <c r="F29" s="117"/>
      <c r="G29" s="116"/>
      <c r="H29" s="126"/>
      <c r="I29" s="126"/>
      <c r="J29" s="113"/>
      <c r="K29" s="113"/>
      <c r="L29" s="118"/>
      <c r="M29" s="113"/>
      <c r="N29" s="113"/>
      <c r="O29" s="219"/>
      <c r="P29" s="219"/>
      <c r="Q29" s="113"/>
      <c r="R29" s="113"/>
      <c r="S29" s="119"/>
      <c r="T29" s="119"/>
      <c r="U29" s="113"/>
      <c r="V29" s="113"/>
    </row>
    <row r="30" spans="1:22" x14ac:dyDescent="0.25">
      <c r="A30" s="193"/>
      <c r="B30" s="117"/>
      <c r="C30" s="118"/>
      <c r="D30" s="115" t="str">
        <f>IFERROR(VLOOKUP(C30,LINCE!$A$1:$C$12000,3,FALSE),"")</f>
        <v/>
      </c>
      <c r="E30" s="116"/>
      <c r="F30" s="117"/>
      <c r="G30" s="116"/>
      <c r="H30" s="126"/>
      <c r="I30" s="126"/>
      <c r="J30" s="113"/>
      <c r="K30" s="113"/>
      <c r="L30" s="118"/>
      <c r="M30" s="113"/>
      <c r="N30" s="113"/>
      <c r="O30" s="219"/>
      <c r="P30" s="219"/>
      <c r="Q30" s="113"/>
      <c r="R30" s="113"/>
      <c r="S30" s="119"/>
      <c r="T30" s="119"/>
      <c r="U30" s="113"/>
      <c r="V30" s="113"/>
    </row>
    <row r="31" spans="1:22" x14ac:dyDescent="0.25">
      <c r="A31" s="193"/>
      <c r="B31" s="117"/>
      <c r="C31" s="118"/>
      <c r="D31" s="115" t="str">
        <f>IFERROR(VLOOKUP(C31,LINCE!$A$1:$C$12000,3,FALSE),"")</f>
        <v/>
      </c>
      <c r="E31" s="116"/>
      <c r="F31" s="117"/>
      <c r="G31" s="116"/>
      <c r="H31" s="126"/>
      <c r="I31" s="126"/>
      <c r="J31" s="113"/>
      <c r="K31" s="113"/>
      <c r="L31" s="118"/>
      <c r="M31" s="113"/>
      <c r="N31" s="113"/>
      <c r="O31" s="219"/>
      <c r="P31" s="219"/>
      <c r="Q31" s="113"/>
      <c r="R31" s="113"/>
      <c r="S31" s="119"/>
      <c r="T31" s="119"/>
      <c r="U31" s="113"/>
      <c r="V31" s="113"/>
    </row>
    <row r="32" spans="1:22" x14ac:dyDescent="0.25">
      <c r="A32" s="193"/>
      <c r="B32" s="117"/>
      <c r="C32" s="118"/>
      <c r="D32" s="115" t="str">
        <f>IFERROR(VLOOKUP(C32,LINCE!$A$1:$C$12000,3,FALSE),"")</f>
        <v/>
      </c>
      <c r="E32" s="116"/>
      <c r="F32" s="117"/>
      <c r="G32" s="116"/>
      <c r="H32" s="126"/>
      <c r="I32" s="126"/>
      <c r="J32" s="113"/>
      <c r="K32" s="113"/>
      <c r="L32" s="118"/>
      <c r="M32" s="113"/>
      <c r="N32" s="113"/>
      <c r="O32" s="219"/>
      <c r="P32" s="219"/>
      <c r="Q32" s="113"/>
      <c r="R32" s="113"/>
      <c r="S32" s="119"/>
      <c r="T32" s="119"/>
      <c r="U32" s="113"/>
      <c r="V32" s="113"/>
    </row>
    <row r="33" spans="1:22" x14ac:dyDescent="0.25">
      <c r="A33" s="193"/>
      <c r="B33" s="117"/>
      <c r="C33" s="118"/>
      <c r="D33" s="115" t="str">
        <f>IFERROR(VLOOKUP(C33,LINCE!$A$1:$C$12000,3,FALSE),"")</f>
        <v/>
      </c>
      <c r="E33" s="116"/>
      <c r="F33" s="117"/>
      <c r="G33" s="116"/>
      <c r="H33" s="126"/>
      <c r="I33" s="126"/>
      <c r="J33" s="113"/>
      <c r="K33" s="113"/>
      <c r="L33" s="118"/>
      <c r="M33" s="113"/>
      <c r="N33" s="113"/>
      <c r="O33" s="219"/>
      <c r="P33" s="219"/>
      <c r="Q33" s="113"/>
      <c r="R33" s="113"/>
      <c r="S33" s="119"/>
      <c r="T33" s="119"/>
      <c r="U33" s="113"/>
      <c r="V33" s="113"/>
    </row>
    <row r="34" spans="1:22" x14ac:dyDescent="0.25">
      <c r="A34" s="194"/>
      <c r="B34" s="195"/>
      <c r="C34" s="195"/>
      <c r="D34" s="120" t="str">
        <f>IFERROR(VLOOKUP(C34,LINCE!$A$1:$C$12000,3,FALSE),"")</f>
        <v/>
      </c>
      <c r="E34" s="121"/>
      <c r="F34" s="117"/>
      <c r="G34" s="121"/>
      <c r="H34" s="126"/>
      <c r="I34" s="126"/>
      <c r="J34" s="114"/>
      <c r="K34" s="114"/>
      <c r="L34" s="122"/>
      <c r="M34" s="114"/>
      <c r="N34" s="114"/>
      <c r="O34" s="220"/>
      <c r="P34" s="220"/>
      <c r="Q34" s="114"/>
      <c r="R34" s="114"/>
      <c r="S34" s="123"/>
      <c r="T34" s="123"/>
      <c r="U34" s="114"/>
      <c r="V34" s="114"/>
    </row>
    <row r="35" spans="1:22" ht="24" customHeight="1" x14ac:dyDescent="0.25">
      <c r="A35" s="172">
        <f>COUNTA(A2:A34)</f>
        <v>11</v>
      </c>
      <c r="B35" s="172" t="s">
        <v>7393</v>
      </c>
      <c r="C35" s="172"/>
      <c r="D35" s="223" t="s">
        <v>7956</v>
      </c>
      <c r="E35" s="223"/>
      <c r="F35" s="223"/>
      <c r="G35" s="173">
        <f>SUM(G2:G34)</f>
        <v>43</v>
      </c>
      <c r="H35" s="173"/>
      <c r="I35" s="174">
        <f>IF(SUM(I2:I34)&gt;0,SUM(I2:I34),"")</f>
        <v>341575</v>
      </c>
      <c r="J35" s="175"/>
      <c r="K35" s="124"/>
      <c r="L35" s="125"/>
      <c r="M35" s="125"/>
      <c r="N35" s="125"/>
      <c r="O35" s="125"/>
      <c r="P35" s="125"/>
      <c r="Q35" s="125"/>
      <c r="R35" s="125"/>
      <c r="S35" s="125"/>
      <c r="T35" s="125"/>
      <c r="U35" s="125"/>
      <c r="V35" s="125"/>
    </row>
    <row r="36" spans="1:22" x14ac:dyDescent="0.25">
      <c r="A36" s="176"/>
      <c r="B36" s="176"/>
      <c r="C36" s="176"/>
      <c r="D36" s="176"/>
      <c r="E36" s="176"/>
      <c r="F36" s="176"/>
      <c r="G36" s="176"/>
      <c r="H36" s="176"/>
      <c r="I36" s="176"/>
      <c r="J36" s="176"/>
    </row>
    <row r="37" spans="1:22" x14ac:dyDescent="0.25">
      <c r="A37" s="176"/>
      <c r="B37" s="176"/>
      <c r="C37" s="176"/>
      <c r="D37" s="176"/>
      <c r="E37" s="176"/>
      <c r="F37" s="176"/>
    </row>
    <row r="38" spans="1:22" x14ac:dyDescent="0.25">
      <c r="B38" s="176"/>
      <c r="C38" s="176"/>
      <c r="D38" s="176"/>
      <c r="E38" s="176"/>
      <c r="F38" s="176"/>
    </row>
    <row r="39" spans="1:22" x14ac:dyDescent="0.25">
      <c r="B39" s="176"/>
      <c r="C39" s="176"/>
      <c r="D39" s="176"/>
      <c r="E39" s="176"/>
      <c r="F39" s="176"/>
    </row>
    <row r="40" spans="1:22" x14ac:dyDescent="0.25">
      <c r="B40" s="176"/>
      <c r="C40" s="176"/>
    </row>
    <row r="41" spans="1:22" x14ac:dyDescent="0.25">
      <c r="B41" s="176"/>
      <c r="C41" s="176"/>
    </row>
    <row r="42" spans="1:22" x14ac:dyDescent="0.25">
      <c r="B42" s="176"/>
      <c r="C42" s="176"/>
    </row>
    <row r="43" spans="1:22" x14ac:dyDescent="0.25">
      <c r="B43" s="176"/>
      <c r="C43" s="176"/>
    </row>
    <row r="44" spans="1:22" x14ac:dyDescent="0.25">
      <c r="B44" s="176"/>
      <c r="C44" s="176"/>
    </row>
  </sheetData>
  <mergeCells count="1">
    <mergeCell ref="D35:F35"/>
  </mergeCells>
  <conditionalFormatting sqref="A2:V34">
    <cfRule type="expression" dxfId="18" priority="2">
      <formula>$A2&lt;&gt;""</formula>
    </cfRule>
  </conditionalFormatting>
  <printOptions horizontalCentered="1"/>
  <pageMargins left="0.23622047244094485" right="0.23622047244094485" top="0.74803149606299213" bottom="0.74803149606299213" header="0.31496062992125989" footer="0.31496062992125989"/>
  <pageSetup paperSize="9" scale="72" orientation="landscape" horizontalDpi="300" verticalDpi="300" r:id="rId1"/>
  <headerFooter>
    <oddHeader>&amp;C&amp;"-,Negrita"&amp;20&amp;F</oddHeader>
  </headerFooter>
  <colBreaks count="1" manualBreakCount="1">
    <brk id="1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4" r:id="rId4" name="BotonRotular">
              <controlPr defaultSize="0" print="0" autoFill="0" autoPict="0" macro="[0]!Rotulador">
                <anchor moveWithCells="1" sizeWithCells="1">
                  <from>
                    <xdr:col>21</xdr:col>
                    <xdr:colOff>1409700</xdr:colOff>
                    <xdr:row>0</xdr:row>
                    <xdr:rowOff>57150</xdr:rowOff>
                  </from>
                  <to>
                    <xdr:col>21</xdr:col>
                    <xdr:colOff>2524125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5" name="Button 39">
              <controlPr defaultSize="0" print="0" autoFill="0" autoPict="0" macro="[0]!marcar">
                <anchor>
                  <from>
                    <xdr:col>3</xdr:col>
                    <xdr:colOff>942975</xdr:colOff>
                    <xdr:row>0</xdr:row>
                    <xdr:rowOff>47625</xdr:rowOff>
                  </from>
                  <to>
                    <xdr:col>3</xdr:col>
                    <xdr:colOff>1504950</xdr:colOff>
                    <xdr:row>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6" name="Button 40">
              <controlPr defaultSize="0" print="0" autoFill="0" autoPict="0" macro="[0]!Desmarcar">
                <anchor>
                  <from>
                    <xdr:col>3</xdr:col>
                    <xdr:colOff>1590675</xdr:colOff>
                    <xdr:row>0</xdr:row>
                    <xdr:rowOff>47625</xdr:rowOff>
                  </from>
                  <to>
                    <xdr:col>3</xdr:col>
                    <xdr:colOff>2543175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7" name="Button 41">
              <controlPr defaultSize="0" print="0" autoFill="0" autoPict="0" macro="[0]!CorreoArgentino">
                <anchor moveWithCells="1" sizeWithCells="1">
                  <from>
                    <xdr:col>22</xdr:col>
                    <xdr:colOff>800100</xdr:colOff>
                    <xdr:row>0</xdr:row>
                    <xdr:rowOff>47625</xdr:rowOff>
                  </from>
                  <to>
                    <xdr:col>22</xdr:col>
                    <xdr:colOff>1514475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8" name="Button 55">
              <controlPr defaultSize="0" print="0" autoFill="0" autoPict="0" macro="[0]!deposito">
                <anchor moveWithCells="1" sizeWithCells="1">
                  <from>
                    <xdr:col>22</xdr:col>
                    <xdr:colOff>1743075</xdr:colOff>
                    <xdr:row>0</xdr:row>
                    <xdr:rowOff>38100</xdr:rowOff>
                  </from>
                  <to>
                    <xdr:col>22</xdr:col>
                    <xdr:colOff>2743200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9" name="Button 60">
              <controlPr defaultSize="0" print="0" autoFill="0" autoPict="0" macro="[0]!Botón60_Haga_clic_en">
                <anchor moveWithCells="1" sizeWithCells="1">
                  <from>
                    <xdr:col>15</xdr:col>
                    <xdr:colOff>590550</xdr:colOff>
                    <xdr:row>0</xdr:row>
                    <xdr:rowOff>57150</xdr:rowOff>
                  </from>
                  <to>
                    <xdr:col>15</xdr:col>
                    <xdr:colOff>1514475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4" operator="equal" id="{3DD8C9D0-BEF2-4AD0-B2D1-045BF83DFC37}">
            <xm:f>Opciones!$A$5</xm:f>
            <x14:dxf>
              <fill>
                <patternFill>
                  <bgColor theme="6"/>
                </patternFill>
              </fill>
            </x14:dxf>
          </x14:cfRule>
          <x14:cfRule type="cellIs" priority="5" operator="equal" id="{7F12E7AD-C778-4A5D-99A4-C3543B240580}">
            <xm:f>Opciones!$A$4</xm:f>
            <x14:dxf>
              <fill>
                <patternFill>
                  <bgColor theme="5" tint="0.59996337778862885"/>
                </patternFill>
              </fill>
            </x14:dxf>
          </x14:cfRule>
          <x14:cfRule type="cellIs" priority="6" operator="equal" id="{40563047-F64F-4389-A4C9-DFAC0E849582}">
            <xm:f>Opciones!$A$3</xm:f>
            <x14:dxf>
              <fill>
                <patternFill>
                  <bgColor theme="9" tint="0.59996337778862885"/>
                </patternFill>
              </fill>
            </x14:dxf>
          </x14:cfRule>
          <x14:cfRule type="cellIs" priority="7" operator="equal" id="{E5A28896-A4C4-4622-9CBB-DA4126A9A9A4}">
            <xm:f>Opciones!$A$2</xm:f>
            <x14:dxf>
              <fill>
                <patternFill patternType="none">
                  <bgColor auto="1"/>
                </patternFill>
              </fill>
            </x14:dxf>
          </x14:cfRule>
          <xm:sqref>V2:V34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promptTitle="Talles">
          <x14:formula1>
            <xm:f>'Talles y Colores'!$L$2:$L$211</xm:f>
          </x14:formula1>
          <xm:sqref>E2:E34</xm:sqref>
        </x14:dataValidation>
        <x14:dataValidation type="list" allowBlank="1" showInputMessage="1" showErrorMessage="1">
          <x14:formula1>
            <xm:f>Opciones!$A$2:$A$5</xm:f>
          </x14:formula1>
          <xm:sqref>V2:V34</xm:sqref>
        </x14:dataValidation>
        <x14:dataValidation type="list" allowBlank="1" showInputMessage="1" showErrorMessage="1">
          <x14:formula1>
            <xm:f>Opciones!$B$2:$B$25</xm:f>
          </x14:formula1>
          <xm:sqref>U2:U34</xm:sqref>
        </x14:dataValidation>
        <x14:dataValidation type="list" allowBlank="1" showInputMessage="1" showErrorMessage="1" errorTitle="¡Ups!" error="Tenés que elegir algún color disponible de esta lista." promptTitle="Elegir Color">
          <x14:formula1>
            <xm:f>'Talles y Colores'!$K$3:$K$35</xm:f>
          </x14:formula1>
          <xm:sqref>F2:F34</xm:sqref>
        </x14:dataValidation>
        <x14:dataValidation type="list" allowBlank="1" showInputMessage="1" showErrorMessage="1" errorTitle="Nooo!! Falso!! Mal!!!" error="Tenés que elegir alguna de estas opciones permitidas. Ojo a los Piojos (sobre todo al Farolito y Como Alí)">
          <x14:formula1>
            <xm:f>Opciones!$C$2:$C$6</xm:f>
          </x14:formula1>
          <xm:sqref>M2:M34</xm:sqref>
        </x14:dataValidation>
        <x14:dataValidation type="list" allowBlank="1" showInputMessage="1" showErrorMessage="1" errorTitle="¿Qué?" error="Elegí la cantidad de cuotas permitidas" promptTitle="Cantidad de Cuotas" prompt="Seleccionar la cantidad de cuotas sólo si el cliente compró por Cuenta Corriente (CBU).">
          <x14:formula1>
            <xm:f>'Talles y Colores'!$L$32:$L$55</xm:f>
          </x14:formula1>
          <xm:sqref>N2:N34</xm:sqref>
        </x14:dataValidation>
        <x14:dataValidation type="custom" showInputMessage="1" showErrorMessage="1" errorTitle="Nop! No corresponde!" error="Sólo se puede completar si el cliente pagó con Cuenta Corriente (CBU)._x000a_Si compró varios artículos, debe ser en la primera fila." promptTitle="CBU" prompt="Colocar el CBU del cliente._x000a_Debe ser en la primera fila de su compra.">
          <x14:formula1>
            <xm:f>$M2=Opciones!$C$2</xm:f>
          </x14:formula1>
          <xm:sqref>P2:P34</xm:sqref>
        </x14:dataValidation>
        <x14:dataValidation type="custom" showInputMessage="1" showErrorMessage="1" errorTitle="No" error="Sólo se puede completar si el cliente pagó con Cuenta Corriente (CBU)._x000a_Si compró varios artículos, debe ser en la primera fila." promptTitle="Número de caja de ahorro" prompt="Colocar en el número de la cuenta o caja de ahorro del cliente._x000a_Debe ser en la primera fila de su compra.">
          <x14:formula1>
            <xm:f>$M2=Opciones!$C$2</xm:f>
          </x14:formula1>
          <xm:sqref>O2:O34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>
    <tabColor rgb="FFFFFF00"/>
    <pageSetUpPr fitToPage="1"/>
  </sheetPr>
  <dimension ref="A1:G35"/>
  <sheetViews>
    <sheetView workbookViewId="0">
      <selection activeCell="A2" sqref="A2:G21"/>
    </sheetView>
  </sheetViews>
  <sheetFormatPr baseColWidth="10" defaultRowHeight="15" x14ac:dyDescent="0.25"/>
  <cols>
    <col min="1" max="1" width="21.28515625" bestFit="1" customWidth="1"/>
    <col min="2" max="2" width="45.28515625" bestFit="1" customWidth="1"/>
    <col min="3" max="3" width="8" bestFit="1" customWidth="1"/>
    <col min="4" max="4" width="9.42578125" bestFit="1" customWidth="1"/>
    <col min="5" max="5" width="12.5703125" bestFit="1" customWidth="1"/>
    <col min="6" max="6" width="9.7109375" bestFit="1" customWidth="1"/>
    <col min="7" max="7" width="12.28515625" bestFit="1" customWidth="1"/>
  </cols>
  <sheetData>
    <row r="1" spans="1:7" ht="27" customHeight="1" x14ac:dyDescent="0.25">
      <c r="A1" s="207" t="s">
        <v>13993</v>
      </c>
      <c r="B1" s="207" t="s">
        <v>13994</v>
      </c>
      <c r="C1" s="207" t="s">
        <v>13925</v>
      </c>
      <c r="D1" s="207" t="s">
        <v>13933</v>
      </c>
      <c r="E1" s="207" t="s">
        <v>13934</v>
      </c>
      <c r="F1" s="207" t="s">
        <v>13995</v>
      </c>
      <c r="G1" s="207" t="s">
        <v>13996</v>
      </c>
    </row>
    <row r="2" spans="1:7" x14ac:dyDescent="0.25">
      <c r="A2" s="208"/>
      <c r="B2" s="208"/>
      <c r="C2" s="208"/>
      <c r="D2" s="208"/>
      <c r="E2" s="208"/>
      <c r="F2" s="208"/>
      <c r="G2" s="208"/>
    </row>
    <row r="3" spans="1:7" x14ac:dyDescent="0.25">
      <c r="A3" s="208"/>
      <c r="B3" s="208"/>
      <c r="C3" s="208"/>
      <c r="D3" s="208"/>
      <c r="E3" s="208"/>
      <c r="F3" s="208"/>
      <c r="G3" s="208"/>
    </row>
    <row r="4" spans="1:7" x14ac:dyDescent="0.25">
      <c r="A4" s="208"/>
      <c r="B4" s="208"/>
      <c r="C4" s="208"/>
      <c r="D4" s="208"/>
      <c r="E4" s="208"/>
      <c r="F4" s="208"/>
      <c r="G4" s="208"/>
    </row>
    <row r="5" spans="1:7" x14ac:dyDescent="0.25">
      <c r="A5" s="208"/>
      <c r="B5" s="208"/>
      <c r="C5" s="208"/>
      <c r="D5" s="208"/>
      <c r="E5" s="208"/>
      <c r="F5" s="208"/>
      <c r="G5" s="208"/>
    </row>
    <row r="6" spans="1:7" x14ac:dyDescent="0.25">
      <c r="A6" s="208"/>
      <c r="B6" s="208"/>
      <c r="C6" s="208"/>
      <c r="D6" s="208"/>
      <c r="E6" s="208"/>
      <c r="F6" s="208"/>
      <c r="G6" s="208"/>
    </row>
    <row r="7" spans="1:7" x14ac:dyDescent="0.25">
      <c r="A7" s="208"/>
      <c r="B7" s="208"/>
      <c r="C7" s="208"/>
      <c r="D7" s="208"/>
      <c r="E7" s="208"/>
      <c r="F7" s="208"/>
      <c r="G7" s="208"/>
    </row>
    <row r="8" spans="1:7" x14ac:dyDescent="0.25">
      <c r="A8" s="208"/>
      <c r="B8" s="208"/>
      <c r="C8" s="208"/>
      <c r="D8" s="208"/>
      <c r="E8" s="208"/>
      <c r="F8" s="208"/>
      <c r="G8" s="208"/>
    </row>
    <row r="9" spans="1:7" x14ac:dyDescent="0.25">
      <c r="A9" s="208"/>
      <c r="B9" s="208"/>
      <c r="C9" s="208"/>
      <c r="D9" s="208"/>
      <c r="E9" s="208"/>
      <c r="F9" s="208"/>
      <c r="G9" s="208"/>
    </row>
    <row r="10" spans="1:7" x14ac:dyDescent="0.25">
      <c r="A10" s="208"/>
      <c r="B10" s="208"/>
      <c r="C10" s="208"/>
      <c r="D10" s="208"/>
      <c r="E10" s="208"/>
      <c r="F10" s="208"/>
      <c r="G10" s="208"/>
    </row>
    <row r="11" spans="1:7" x14ac:dyDescent="0.25">
      <c r="A11" s="208"/>
      <c r="B11" s="208"/>
      <c r="C11" s="208"/>
      <c r="D11" s="208"/>
      <c r="E11" s="208"/>
      <c r="F11" s="208"/>
      <c r="G11" s="208"/>
    </row>
    <row r="12" spans="1:7" x14ac:dyDescent="0.25">
      <c r="A12" s="208"/>
      <c r="B12" s="208"/>
      <c r="C12" s="208"/>
      <c r="D12" s="208"/>
      <c r="E12" s="208"/>
      <c r="F12" s="208"/>
      <c r="G12" s="208"/>
    </row>
    <row r="13" spans="1:7" x14ac:dyDescent="0.25">
      <c r="A13" s="208"/>
      <c r="B13" s="208"/>
      <c r="C13" s="208"/>
      <c r="D13" s="208"/>
      <c r="E13" s="208"/>
      <c r="F13" s="208"/>
      <c r="G13" s="208"/>
    </row>
    <row r="14" spans="1:7" x14ac:dyDescent="0.25">
      <c r="A14" s="208"/>
      <c r="B14" s="208"/>
      <c r="C14" s="208"/>
      <c r="D14" s="208"/>
      <c r="E14" s="208"/>
      <c r="F14" s="208"/>
      <c r="G14" s="208"/>
    </row>
    <row r="15" spans="1:7" x14ac:dyDescent="0.25">
      <c r="A15" s="208"/>
      <c r="B15" s="208"/>
      <c r="C15" s="208"/>
      <c r="D15" s="208"/>
      <c r="E15" s="208"/>
      <c r="F15" s="208"/>
      <c r="G15" s="208"/>
    </row>
    <row r="16" spans="1:7" x14ac:dyDescent="0.25">
      <c r="A16" s="208"/>
      <c r="B16" s="208"/>
      <c r="C16" s="208"/>
      <c r="D16" s="208"/>
      <c r="E16" s="208"/>
      <c r="F16" s="208"/>
      <c r="G16" s="208"/>
    </row>
    <row r="17" spans="1:7" x14ac:dyDescent="0.25">
      <c r="A17" s="208"/>
      <c r="B17" s="208"/>
      <c r="C17" s="208"/>
      <c r="D17" s="208"/>
      <c r="E17" s="208"/>
      <c r="F17" s="208"/>
      <c r="G17" s="208"/>
    </row>
    <row r="18" spans="1:7" x14ac:dyDescent="0.25">
      <c r="A18" s="208"/>
      <c r="B18" s="208"/>
      <c r="C18" s="208"/>
      <c r="D18" s="208"/>
      <c r="E18" s="208"/>
      <c r="F18" s="208"/>
      <c r="G18" s="208"/>
    </row>
    <row r="19" spans="1:7" x14ac:dyDescent="0.25">
      <c r="A19" s="208"/>
      <c r="B19" s="208"/>
      <c r="C19" s="208"/>
      <c r="D19" s="208"/>
      <c r="E19" s="208"/>
      <c r="F19" s="208"/>
      <c r="G19" s="208"/>
    </row>
    <row r="20" spans="1:7" x14ac:dyDescent="0.25">
      <c r="A20" s="208"/>
      <c r="B20" s="208"/>
      <c r="C20" s="208"/>
      <c r="D20" s="208"/>
      <c r="E20" s="208"/>
      <c r="F20" s="208"/>
      <c r="G20" s="208"/>
    </row>
    <row r="21" spans="1:7" x14ac:dyDescent="0.25">
      <c r="A21" s="208"/>
      <c r="B21" s="208"/>
      <c r="C21" s="208"/>
      <c r="D21" s="208"/>
      <c r="E21" s="208"/>
      <c r="F21" s="208"/>
      <c r="G21" s="208"/>
    </row>
    <row r="22" spans="1:7" x14ac:dyDescent="0.25">
      <c r="A22" s="208"/>
      <c r="B22" s="208" t="str">
        <f>IFERROR(VLOOKUP(C22,LINCE!$A$1:$C$12000,3,FALSE),"")</f>
        <v/>
      </c>
      <c r="C22" s="208"/>
      <c r="D22" s="208"/>
      <c r="E22" s="208"/>
      <c r="F22" s="208"/>
      <c r="G22" s="208"/>
    </row>
    <row r="23" spans="1:7" x14ac:dyDescent="0.25">
      <c r="A23" s="208"/>
      <c r="B23" s="208" t="str">
        <f>IFERROR(VLOOKUP(C23,LINCE!$A$1:$C$12000,3,FALSE),"")</f>
        <v/>
      </c>
      <c r="C23" s="208"/>
      <c r="D23" s="208"/>
      <c r="E23" s="208"/>
      <c r="F23" s="208"/>
      <c r="G23" s="208"/>
    </row>
    <row r="24" spans="1:7" x14ac:dyDescent="0.25">
      <c r="A24" s="208"/>
      <c r="B24" s="208" t="str">
        <f>IFERROR(VLOOKUP(C24,LINCE!$A$1:$C$12000,3,FALSE),"")</f>
        <v/>
      </c>
      <c r="C24" s="208"/>
      <c r="D24" s="208"/>
      <c r="E24" s="208"/>
      <c r="F24" s="208"/>
      <c r="G24" s="208"/>
    </row>
    <row r="25" spans="1:7" x14ac:dyDescent="0.25">
      <c r="A25" s="208"/>
      <c r="B25" s="208" t="str">
        <f>IFERROR(VLOOKUP(C25,LINCE!$A$1:$C$12000,3,FALSE),"")</f>
        <v/>
      </c>
      <c r="C25" s="208"/>
      <c r="D25" s="208"/>
      <c r="E25" s="208"/>
      <c r="F25" s="208"/>
      <c r="G25" s="208"/>
    </row>
    <row r="26" spans="1:7" x14ac:dyDescent="0.25">
      <c r="A26" s="208"/>
      <c r="B26" s="208" t="str">
        <f>IFERROR(VLOOKUP(C26,LINCE!$A$1:$C$12000,3,FALSE),"")</f>
        <v/>
      </c>
      <c r="C26" s="208"/>
      <c r="D26" s="208"/>
      <c r="E26" s="208"/>
      <c r="F26" s="208"/>
      <c r="G26" s="208"/>
    </row>
    <row r="27" spans="1:7" x14ac:dyDescent="0.25">
      <c r="A27" s="208"/>
      <c r="B27" s="208" t="str">
        <f>IFERROR(VLOOKUP(C27,LINCE!$A$1:$C$12000,3,FALSE),"")</f>
        <v/>
      </c>
      <c r="C27" s="208"/>
      <c r="D27" s="208"/>
      <c r="E27" s="208"/>
      <c r="F27" s="208"/>
      <c r="G27" s="208"/>
    </row>
    <row r="28" spans="1:7" x14ac:dyDescent="0.25">
      <c r="A28" s="208"/>
      <c r="B28" s="208" t="str">
        <f>IFERROR(VLOOKUP(C28,LINCE!$A$1:$C$12000,3,FALSE),"")</f>
        <v/>
      </c>
      <c r="C28" s="208"/>
      <c r="D28" s="208"/>
      <c r="E28" s="208"/>
      <c r="F28" s="208"/>
      <c r="G28" s="208"/>
    </row>
    <row r="29" spans="1:7" x14ac:dyDescent="0.25">
      <c r="A29" s="208"/>
      <c r="B29" s="208" t="str">
        <f>IFERROR(VLOOKUP(C29,LINCE!$A$1:$C$12000,3,FALSE),"")</f>
        <v/>
      </c>
      <c r="C29" s="208"/>
      <c r="D29" s="208"/>
      <c r="E29" s="208"/>
      <c r="F29" s="208"/>
      <c r="G29" s="208"/>
    </row>
    <row r="30" spans="1:7" x14ac:dyDescent="0.25">
      <c r="A30" s="208"/>
      <c r="B30" s="208" t="str">
        <f>IFERROR(VLOOKUP(C30,LINCE!$A$1:$C$12000,3,FALSE),"")</f>
        <v/>
      </c>
      <c r="C30" s="208"/>
      <c r="D30" s="208"/>
      <c r="E30" s="208"/>
      <c r="F30" s="208"/>
      <c r="G30" s="208"/>
    </row>
    <row r="31" spans="1:7" x14ac:dyDescent="0.25">
      <c r="A31" s="208"/>
      <c r="B31" s="208" t="str">
        <f>IFERROR(VLOOKUP(C31,LINCE!$A$1:$C$12000,3,FALSE),"")</f>
        <v/>
      </c>
      <c r="C31" s="208"/>
      <c r="D31" s="208"/>
      <c r="E31" s="208"/>
      <c r="F31" s="208"/>
      <c r="G31" s="208"/>
    </row>
    <row r="32" spans="1:7" x14ac:dyDescent="0.25">
      <c r="A32" s="208"/>
      <c r="B32" s="208" t="str">
        <f>IFERROR(VLOOKUP(C32,LINCE!$A$1:$C$12000,3,FALSE),"")</f>
        <v/>
      </c>
      <c r="C32" s="208"/>
      <c r="D32" s="208"/>
      <c r="E32" s="208"/>
      <c r="F32" s="208"/>
      <c r="G32" s="208"/>
    </row>
    <row r="33" spans="1:7" x14ac:dyDescent="0.25">
      <c r="A33" s="208"/>
      <c r="B33" s="208" t="str">
        <f>IFERROR(VLOOKUP(C33,LINCE!$A$1:$C$12000,3,FALSE),"")</f>
        <v/>
      </c>
      <c r="C33" s="208"/>
      <c r="D33" s="208"/>
      <c r="E33" s="208"/>
      <c r="F33" s="208"/>
      <c r="G33" s="208"/>
    </row>
    <row r="34" spans="1:7" x14ac:dyDescent="0.25">
      <c r="A34" s="208"/>
      <c r="B34" s="208" t="str">
        <f>IFERROR(VLOOKUP(C34,LINCE!$A$1:$C$12000,3,FALSE),"")</f>
        <v/>
      </c>
      <c r="C34" s="208"/>
      <c r="D34" s="208"/>
      <c r="E34" s="208"/>
      <c r="F34" s="208"/>
      <c r="G34" s="208"/>
    </row>
    <row r="35" spans="1:7" ht="19.5" x14ac:dyDescent="0.3">
      <c r="A35" s="208"/>
      <c r="B35" s="209" t="s">
        <v>13998</v>
      </c>
      <c r="C35" s="210">
        <f>COUNTA(A2:A34)</f>
        <v>0</v>
      </c>
      <c r="D35" s="208"/>
      <c r="E35" s="209" t="s">
        <v>13997</v>
      </c>
      <c r="F35" s="209">
        <f>SUM(F2:F34)</f>
        <v>0</v>
      </c>
      <c r="G35" s="208"/>
    </row>
  </sheetData>
  <sortState ref="A2:G35">
    <sortCondition ref="G1"/>
  </sortState>
  <printOptions horizontalCentered="1"/>
  <pageMargins left="0.25196850393700787" right="0.25196850393700787" top="1.5748031496062991" bottom="0.75196850393700787" header="0.29921259842519687" footer="0.29921259842519687"/>
  <pageSetup paperSize="9" scale="85" orientation="portrait" horizontalDpi="0" verticalDpi="0" r:id="rId1"/>
  <headerFooter>
    <oddHeader>&amp;C&amp;B&amp;20&amp;F_x000D_
SOLO PARA USO EN DEPOSITO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rgb="FFFF0000"/>
  </sheetPr>
  <dimension ref="A1:I55"/>
  <sheetViews>
    <sheetView topLeftCell="A7" zoomScaleNormal="100" workbookViewId="0">
      <selection activeCell="B29" sqref="B29"/>
    </sheetView>
  </sheetViews>
  <sheetFormatPr baseColWidth="10" defaultRowHeight="15" x14ac:dyDescent="0.25"/>
  <cols>
    <col min="1" max="1" width="9.42578125" customWidth="1"/>
    <col min="2" max="2" width="8" customWidth="1"/>
    <col min="3" max="3" width="9" customWidth="1"/>
    <col min="4" max="4" width="5.28515625" customWidth="1"/>
    <col min="8" max="8" width="23.140625" customWidth="1"/>
    <col min="9" max="9" width="23.85546875" customWidth="1"/>
  </cols>
  <sheetData>
    <row r="1" spans="1:9" x14ac:dyDescent="0.25">
      <c r="A1" s="205"/>
      <c r="B1" s="205"/>
      <c r="C1" s="205"/>
      <c r="D1" s="205"/>
      <c r="E1" s="205"/>
      <c r="F1" s="205"/>
      <c r="G1" s="205"/>
      <c r="H1" s="205"/>
      <c r="I1" s="205"/>
    </row>
    <row r="2" spans="1:9" ht="19.5" x14ac:dyDescent="0.25">
      <c r="A2" s="249" t="s">
        <v>13908</v>
      </c>
      <c r="B2" s="250"/>
      <c r="C2" s="250"/>
      <c r="D2" s="250"/>
      <c r="E2" s="250"/>
      <c r="F2" s="250"/>
      <c r="G2" s="250"/>
      <c r="H2" s="250"/>
      <c r="I2" s="250"/>
    </row>
    <row r="3" spans="1:9" x14ac:dyDescent="0.25">
      <c r="A3" s="7"/>
      <c r="B3" s="7"/>
      <c r="C3" s="7"/>
      <c r="D3" s="7"/>
      <c r="E3" s="7"/>
      <c r="F3" s="7"/>
      <c r="G3" s="7"/>
      <c r="H3" s="7"/>
      <c r="I3" s="7"/>
    </row>
    <row r="4" spans="1:9" ht="19.5" x14ac:dyDescent="0.25">
      <c r="A4" s="251" t="s">
        <v>13909</v>
      </c>
      <c r="B4" s="252"/>
      <c r="C4" s="252"/>
      <c r="D4" s="252"/>
      <c r="E4" s="252"/>
      <c r="F4" s="177"/>
      <c r="G4" s="257" t="s">
        <v>13910</v>
      </c>
      <c r="H4" s="258"/>
      <c r="I4" s="189">
        <f ca="1">TODAY()</f>
        <v>45182</v>
      </c>
    </row>
    <row r="5" spans="1:9" x14ac:dyDescent="0.25">
      <c r="A5" s="183"/>
      <c r="B5" s="183"/>
      <c r="C5" s="183"/>
      <c r="D5" s="183"/>
      <c r="E5" s="183"/>
      <c r="F5" s="183"/>
      <c r="G5" s="183"/>
      <c r="H5" s="183"/>
      <c r="I5" s="190"/>
    </row>
    <row r="6" spans="1:9" ht="19.5" x14ac:dyDescent="0.25">
      <c r="A6" s="253" t="s">
        <v>13911</v>
      </c>
      <c r="B6" s="250"/>
      <c r="C6" s="250"/>
      <c r="D6" s="250"/>
      <c r="E6" s="250"/>
      <c r="F6" s="250"/>
      <c r="G6" s="253" t="s">
        <v>13912</v>
      </c>
      <c r="H6" s="250"/>
      <c r="I6" s="254"/>
    </row>
    <row r="7" spans="1:9" ht="15" customHeight="1" x14ac:dyDescent="0.25">
      <c r="A7" s="224" t="s">
        <v>13913</v>
      </c>
      <c r="B7" s="225"/>
      <c r="C7" s="225"/>
      <c r="D7" s="225"/>
      <c r="E7" s="228" t="str">
        <f>Datos!B4 &amp; " "</f>
        <v xml:space="preserve">RERDA S.A. </v>
      </c>
      <c r="F7" s="229"/>
      <c r="G7" s="224" t="s">
        <v>13913</v>
      </c>
      <c r="H7" s="225"/>
      <c r="I7" s="255"/>
    </row>
    <row r="8" spans="1:9" ht="15" customHeight="1" x14ac:dyDescent="0.25">
      <c r="A8" s="226" t="s">
        <v>13914</v>
      </c>
      <c r="B8" s="227"/>
      <c r="C8" s="227"/>
      <c r="D8" s="227"/>
      <c r="E8" s="230"/>
      <c r="F8" s="231"/>
      <c r="G8" s="226" t="s">
        <v>13914</v>
      </c>
      <c r="H8" s="227"/>
      <c r="I8" s="256"/>
    </row>
    <row r="9" spans="1:9" ht="15" customHeight="1" x14ac:dyDescent="0.25">
      <c r="A9" s="224" t="s">
        <v>13915</v>
      </c>
      <c r="B9" s="225"/>
      <c r="C9" s="225"/>
      <c r="D9" s="225"/>
      <c r="E9" s="228" t="str">
        <f>Datos!B6 &amp; " " &amp; Datos!B7 &amp; " "</f>
        <v xml:space="preserve">San Martín 1665 </v>
      </c>
      <c r="F9" s="229"/>
      <c r="G9" s="224" t="s">
        <v>13915</v>
      </c>
      <c r="H9" s="225"/>
      <c r="I9" s="247"/>
    </row>
    <row r="10" spans="1:9" ht="15" customHeight="1" x14ac:dyDescent="0.25">
      <c r="A10" s="226" t="s">
        <v>13916</v>
      </c>
      <c r="B10" s="227"/>
      <c r="C10" s="227"/>
      <c r="D10" s="227"/>
      <c r="E10" s="230"/>
      <c r="F10" s="231"/>
      <c r="G10" s="226" t="s">
        <v>13916</v>
      </c>
      <c r="H10" s="227"/>
      <c r="I10" s="248"/>
    </row>
    <row r="11" spans="1:9" ht="18.75" x14ac:dyDescent="0.25">
      <c r="A11" s="224" t="s">
        <v>13931</v>
      </c>
      <c r="B11" s="225"/>
      <c r="C11" s="225"/>
      <c r="D11" s="225"/>
      <c r="E11" s="259" t="str">
        <f>Datos!B8 &amp; " "</f>
        <v xml:space="preserve">Mendoza </v>
      </c>
      <c r="F11" s="260"/>
      <c r="G11" s="224" t="s">
        <v>13931</v>
      </c>
      <c r="H11" s="225"/>
      <c r="I11" s="184"/>
    </row>
    <row r="12" spans="1:9" ht="15.75" x14ac:dyDescent="0.25">
      <c r="A12" s="226" t="s">
        <v>13932</v>
      </c>
      <c r="B12" s="227"/>
      <c r="C12" s="227"/>
      <c r="D12" s="227"/>
      <c r="E12" s="261" t="str">
        <f>Datos!B5 &amp; " "</f>
        <v xml:space="preserve">30535195869 </v>
      </c>
      <c r="F12" s="262"/>
      <c r="G12" s="226" t="s">
        <v>13932</v>
      </c>
      <c r="H12" s="227"/>
      <c r="I12" s="197"/>
    </row>
    <row r="13" spans="1:9" ht="19.5" customHeight="1" x14ac:dyDescent="0.25">
      <c r="A13" s="224" t="s">
        <v>13917</v>
      </c>
      <c r="B13" s="225"/>
      <c r="C13" s="225"/>
      <c r="D13" s="225"/>
      <c r="E13" s="228" t="str">
        <f>Datos!B9 &amp; " "</f>
        <v xml:space="preserve">Mendoza </v>
      </c>
      <c r="F13" s="229"/>
      <c r="G13" s="224" t="s">
        <v>13917</v>
      </c>
      <c r="H13" s="225"/>
      <c r="I13" s="239"/>
    </row>
    <row r="14" spans="1:9" ht="15" customHeight="1" x14ac:dyDescent="0.25">
      <c r="A14" s="226" t="s">
        <v>13918</v>
      </c>
      <c r="B14" s="227"/>
      <c r="C14" s="227"/>
      <c r="D14" s="227"/>
      <c r="E14" s="230"/>
      <c r="F14" s="231"/>
      <c r="G14" s="226" t="s">
        <v>13918</v>
      </c>
      <c r="H14" s="227"/>
      <c r="I14" s="240"/>
    </row>
    <row r="15" spans="1:9" ht="15" customHeight="1" x14ac:dyDescent="0.25">
      <c r="A15" s="224" t="s">
        <v>13919</v>
      </c>
      <c r="B15" s="225"/>
      <c r="C15" s="225"/>
      <c r="D15" s="225"/>
      <c r="E15" s="228" t="s">
        <v>13920</v>
      </c>
      <c r="F15" s="229"/>
      <c r="G15" s="224" t="s">
        <v>13919</v>
      </c>
      <c r="H15" s="225"/>
      <c r="I15" s="229" t="str">
        <f>+E15</f>
        <v xml:space="preserve">Argentina </v>
      </c>
    </row>
    <row r="16" spans="1:9" ht="15" customHeight="1" x14ac:dyDescent="0.25">
      <c r="A16" s="226" t="s">
        <v>13921</v>
      </c>
      <c r="B16" s="227"/>
      <c r="C16" s="227"/>
      <c r="D16" s="227"/>
      <c r="E16" s="230"/>
      <c r="F16" s="231"/>
      <c r="G16" s="226" t="s">
        <v>13921</v>
      </c>
      <c r="H16" s="227"/>
      <c r="I16" s="231"/>
    </row>
    <row r="17" spans="1:9" ht="20.100000000000001" customHeight="1" x14ac:dyDescent="0.25">
      <c r="A17" s="224" t="s">
        <v>13922</v>
      </c>
      <c r="B17" s="225"/>
      <c r="C17" s="225"/>
      <c r="D17" s="225"/>
      <c r="E17" s="241" t="str">
        <f>Datos!B12 &amp; " "</f>
        <v xml:space="preserve">0261-4256567 | +549 2615117948 </v>
      </c>
      <c r="F17" s="242"/>
      <c r="G17" s="224" t="s">
        <v>13922</v>
      </c>
      <c r="H17" s="225"/>
      <c r="I17" s="245"/>
    </row>
    <row r="18" spans="1:9" ht="20.100000000000001" customHeight="1" x14ac:dyDescent="0.25">
      <c r="A18" s="226" t="s">
        <v>13923</v>
      </c>
      <c r="B18" s="227"/>
      <c r="C18" s="227"/>
      <c r="D18" s="227"/>
      <c r="E18" s="243"/>
      <c r="F18" s="244"/>
      <c r="G18" s="226" t="s">
        <v>13923</v>
      </c>
      <c r="H18" s="227"/>
      <c r="I18" s="246"/>
    </row>
    <row r="19" spans="1:9" x14ac:dyDescent="0.25">
      <c r="A19" s="7"/>
      <c r="B19" s="7"/>
      <c r="C19" s="7"/>
      <c r="D19" s="7"/>
      <c r="E19" s="7"/>
      <c r="F19" s="7"/>
      <c r="G19" s="7"/>
      <c r="H19" s="7"/>
      <c r="I19" s="7"/>
    </row>
    <row r="20" spans="1:9" ht="30" customHeight="1" x14ac:dyDescent="0.25">
      <c r="A20" s="185" t="s">
        <v>13924</v>
      </c>
      <c r="B20" s="185" t="s">
        <v>13925</v>
      </c>
      <c r="C20" s="185" t="s">
        <v>13933</v>
      </c>
      <c r="D20" s="185" t="s">
        <v>13934</v>
      </c>
      <c r="E20" s="238" t="s">
        <v>13926</v>
      </c>
      <c r="F20" s="238"/>
      <c r="G20" s="238"/>
      <c r="H20" s="185" t="s">
        <v>14187</v>
      </c>
      <c r="I20" s="185" t="s">
        <v>14188</v>
      </c>
    </row>
    <row r="21" spans="1:9" x14ac:dyDescent="0.25">
      <c r="A21" s="198"/>
      <c r="B21" s="198"/>
      <c r="C21" s="202"/>
      <c r="D21" s="202"/>
      <c r="E21" s="232" t="str">
        <f>IFERROR(VLOOKUP(B21,LINCE!$A$1:$F$12000,3,FALSE),"")</f>
        <v/>
      </c>
      <c r="F21" s="233"/>
      <c r="G21" s="234"/>
      <c r="H21" s="201"/>
      <c r="I21" s="186" t="str">
        <f>IF(A21="","",A21*H21)</f>
        <v/>
      </c>
    </row>
    <row r="22" spans="1:9" x14ac:dyDescent="0.25">
      <c r="A22" s="199"/>
      <c r="B22" s="199"/>
      <c r="C22" s="203"/>
      <c r="D22" s="203"/>
      <c r="E22" s="232" t="str">
        <f>IFERROR(VLOOKUP(B22,LINCE!$A$1:$F$12000,3,FALSE),"")</f>
        <v/>
      </c>
      <c r="F22" s="233"/>
      <c r="G22" s="234"/>
      <c r="H22" s="201"/>
      <c r="I22" s="186" t="str">
        <f t="shared" ref="I22:I49" si="0">IF(A22="","",A22*H22)</f>
        <v/>
      </c>
    </row>
    <row r="23" spans="1:9" x14ac:dyDescent="0.25">
      <c r="A23" s="199"/>
      <c r="B23" s="199"/>
      <c r="C23" s="203"/>
      <c r="D23" s="203"/>
      <c r="E23" s="232" t="str">
        <f>IFERROR(VLOOKUP(B23,LINCE!$A$1:$F$12000,3,FALSE),"")</f>
        <v/>
      </c>
      <c r="F23" s="233"/>
      <c r="G23" s="234"/>
      <c r="H23" s="201"/>
      <c r="I23" s="186"/>
    </row>
    <row r="24" spans="1:9" x14ac:dyDescent="0.25">
      <c r="A24" s="199"/>
      <c r="B24" s="199"/>
      <c r="C24" s="203"/>
      <c r="D24" s="203"/>
      <c r="E24" s="232" t="str">
        <f>IFERROR(VLOOKUP(B24,LINCE!$A$1:$F$12000,3,FALSE),"")</f>
        <v/>
      </c>
      <c r="F24" s="233"/>
      <c r="G24" s="234"/>
      <c r="H24" s="201"/>
      <c r="I24" s="186"/>
    </row>
    <row r="25" spans="1:9" x14ac:dyDescent="0.25">
      <c r="A25" s="199"/>
      <c r="B25" s="199"/>
      <c r="C25" s="203"/>
      <c r="D25" s="203"/>
      <c r="E25" s="232" t="str">
        <f>IFERROR(VLOOKUP(B25,LINCE!$A$1:$F$12000,3,FALSE),"")</f>
        <v/>
      </c>
      <c r="F25" s="233"/>
      <c r="G25" s="234"/>
      <c r="H25" s="201"/>
      <c r="I25" s="186"/>
    </row>
    <row r="26" spans="1:9" x14ac:dyDescent="0.25">
      <c r="A26" s="199"/>
      <c r="B26" s="199"/>
      <c r="C26" s="203"/>
      <c r="D26" s="203"/>
      <c r="E26" s="232" t="str">
        <f>IFERROR(VLOOKUP(B26,LINCE!$A$1:$F$12000,3,FALSE),"")</f>
        <v/>
      </c>
      <c r="F26" s="233"/>
      <c r="G26" s="234"/>
      <c r="H26" s="201"/>
      <c r="I26" s="186"/>
    </row>
    <row r="27" spans="1:9" x14ac:dyDescent="0.25">
      <c r="A27" s="199"/>
      <c r="B27" s="199"/>
      <c r="C27" s="203"/>
      <c r="D27" s="203"/>
      <c r="E27" s="232" t="str">
        <f>IFERROR(VLOOKUP(B27,LINCE!$A$1:$F$12000,3,FALSE),"")</f>
        <v/>
      </c>
      <c r="F27" s="233"/>
      <c r="G27" s="234"/>
      <c r="H27" s="201"/>
      <c r="I27" s="186"/>
    </row>
    <row r="28" spans="1:9" x14ac:dyDescent="0.25">
      <c r="A28" s="199"/>
      <c r="B28" s="199"/>
      <c r="C28" s="203"/>
      <c r="D28" s="203"/>
      <c r="E28" s="232" t="str">
        <f>IFERROR(VLOOKUP(B28,LINCE!$A$1:$F$12000,3,FALSE),"")</f>
        <v/>
      </c>
      <c r="F28" s="233"/>
      <c r="G28" s="234"/>
      <c r="H28" s="201"/>
      <c r="I28" s="186"/>
    </row>
    <row r="29" spans="1:9" x14ac:dyDescent="0.25">
      <c r="A29" s="199"/>
      <c r="B29" s="199"/>
      <c r="C29" s="203"/>
      <c r="D29" s="203"/>
      <c r="E29" s="232" t="str">
        <f>IFERROR(VLOOKUP(B29,LINCE!$A$1:$F$12000,3,FALSE),"")</f>
        <v/>
      </c>
      <c r="F29" s="233"/>
      <c r="G29" s="234"/>
      <c r="H29" s="201"/>
      <c r="I29" s="186"/>
    </row>
    <row r="30" spans="1:9" x14ac:dyDescent="0.25">
      <c r="A30" s="199"/>
      <c r="B30" s="199"/>
      <c r="C30" s="203"/>
      <c r="D30" s="203"/>
      <c r="E30" s="232" t="str">
        <f>IFERROR(VLOOKUP(B30,LINCE!$A$1:$F$12000,3,FALSE),"")</f>
        <v/>
      </c>
      <c r="F30" s="233"/>
      <c r="G30" s="234"/>
      <c r="H30" s="201"/>
      <c r="I30" s="186"/>
    </row>
    <row r="31" spans="1:9" x14ac:dyDescent="0.25">
      <c r="A31" s="199"/>
      <c r="B31" s="199"/>
      <c r="C31" s="203"/>
      <c r="D31" s="203"/>
      <c r="E31" s="232" t="str">
        <f>IFERROR(VLOOKUP(B31,LINCE!$A$1:$F$12000,3,FALSE),"")</f>
        <v/>
      </c>
      <c r="F31" s="233"/>
      <c r="G31" s="234"/>
      <c r="H31" s="201"/>
      <c r="I31" s="186" t="str">
        <f t="shared" si="0"/>
        <v/>
      </c>
    </row>
    <row r="32" spans="1:9" x14ac:dyDescent="0.25">
      <c r="A32" s="199"/>
      <c r="B32" s="199"/>
      <c r="C32" s="203"/>
      <c r="D32" s="203"/>
      <c r="E32" s="232" t="str">
        <f>IFERROR(VLOOKUP(B32,LINCE!$A$1:$F$12000,3,FALSE),"")</f>
        <v/>
      </c>
      <c r="F32" s="233"/>
      <c r="G32" s="234"/>
      <c r="H32" s="201"/>
      <c r="I32" s="186" t="str">
        <f t="shared" si="0"/>
        <v/>
      </c>
    </row>
    <row r="33" spans="1:9" x14ac:dyDescent="0.25">
      <c r="A33" s="199"/>
      <c r="B33" s="199"/>
      <c r="C33" s="203"/>
      <c r="D33" s="203"/>
      <c r="E33" s="232" t="str">
        <f>IFERROR(VLOOKUP(B33,LINCE!$A$1:$F$12000,3,FALSE),"")</f>
        <v/>
      </c>
      <c r="F33" s="233"/>
      <c r="G33" s="234"/>
      <c r="H33" s="201"/>
      <c r="I33" s="186" t="str">
        <f t="shared" si="0"/>
        <v/>
      </c>
    </row>
    <row r="34" spans="1:9" x14ac:dyDescent="0.25">
      <c r="A34" s="199"/>
      <c r="B34" s="199"/>
      <c r="C34" s="203"/>
      <c r="D34" s="203"/>
      <c r="E34" s="232" t="str">
        <f>IFERROR(VLOOKUP(B34,LINCE!$A$1:$F$12000,3,FALSE),"")</f>
        <v/>
      </c>
      <c r="F34" s="233"/>
      <c r="G34" s="234"/>
      <c r="H34" s="201"/>
      <c r="I34" s="186" t="str">
        <f t="shared" si="0"/>
        <v/>
      </c>
    </row>
    <row r="35" spans="1:9" x14ac:dyDescent="0.25">
      <c r="A35" s="199"/>
      <c r="B35" s="199"/>
      <c r="C35" s="203"/>
      <c r="D35" s="203"/>
      <c r="E35" s="232" t="str">
        <f>IFERROR(VLOOKUP(B35,LINCE!$A$1:$F$12000,3,FALSE),"")</f>
        <v/>
      </c>
      <c r="F35" s="233"/>
      <c r="G35" s="234"/>
      <c r="H35" s="201"/>
      <c r="I35" s="186" t="str">
        <f t="shared" si="0"/>
        <v/>
      </c>
    </row>
    <row r="36" spans="1:9" x14ac:dyDescent="0.25">
      <c r="A36" s="199"/>
      <c r="B36" s="199"/>
      <c r="C36" s="203"/>
      <c r="D36" s="203"/>
      <c r="E36" s="232" t="str">
        <f>IFERROR(VLOOKUP(B36,LINCE!$A$1:$F$12000,3,FALSE),"")</f>
        <v/>
      </c>
      <c r="F36" s="233"/>
      <c r="G36" s="234"/>
      <c r="H36" s="201"/>
      <c r="I36" s="186" t="str">
        <f t="shared" si="0"/>
        <v/>
      </c>
    </row>
    <row r="37" spans="1:9" x14ac:dyDescent="0.25">
      <c r="A37" s="199"/>
      <c r="B37" s="199"/>
      <c r="C37" s="203"/>
      <c r="D37" s="203"/>
      <c r="E37" s="232" t="str">
        <f>IFERROR(VLOOKUP(B37,LINCE!$A$1:$F$12000,3,FALSE),"")</f>
        <v/>
      </c>
      <c r="F37" s="233"/>
      <c r="G37" s="234"/>
      <c r="H37" s="201"/>
      <c r="I37" s="186" t="str">
        <f t="shared" si="0"/>
        <v/>
      </c>
    </row>
    <row r="38" spans="1:9" x14ac:dyDescent="0.25">
      <c r="A38" s="199"/>
      <c r="B38" s="199"/>
      <c r="C38" s="203"/>
      <c r="D38" s="203"/>
      <c r="E38" s="232" t="str">
        <f>IFERROR(VLOOKUP(B38,LINCE!$A$1:$F$12000,3,FALSE),"")</f>
        <v/>
      </c>
      <c r="F38" s="233"/>
      <c r="G38" s="234"/>
      <c r="H38" s="201"/>
      <c r="I38" s="186" t="str">
        <f t="shared" si="0"/>
        <v/>
      </c>
    </row>
    <row r="39" spans="1:9" x14ac:dyDescent="0.25">
      <c r="A39" s="199"/>
      <c r="B39" s="199"/>
      <c r="C39" s="203"/>
      <c r="D39" s="203"/>
      <c r="E39" s="232" t="str">
        <f>IFERROR(VLOOKUP(B39,LINCE!$A$1:$F$12000,3,FALSE),"")</f>
        <v/>
      </c>
      <c r="F39" s="233"/>
      <c r="G39" s="234"/>
      <c r="H39" s="201"/>
      <c r="I39" s="186" t="str">
        <f t="shared" si="0"/>
        <v/>
      </c>
    </row>
    <row r="40" spans="1:9" x14ac:dyDescent="0.25">
      <c r="A40" s="199"/>
      <c r="B40" s="199"/>
      <c r="C40" s="203"/>
      <c r="D40" s="203"/>
      <c r="E40" s="232" t="str">
        <f>IFERROR(VLOOKUP(B40,LINCE!$A$1:$F$12000,3,FALSE),"")</f>
        <v/>
      </c>
      <c r="F40" s="233"/>
      <c r="G40" s="234"/>
      <c r="H40" s="201"/>
      <c r="I40" s="186" t="str">
        <f t="shared" si="0"/>
        <v/>
      </c>
    </row>
    <row r="41" spans="1:9" x14ac:dyDescent="0.25">
      <c r="A41" s="199"/>
      <c r="B41" s="199"/>
      <c r="C41" s="203"/>
      <c r="D41" s="203"/>
      <c r="E41" s="232" t="str">
        <f>IFERROR(VLOOKUP(B41,LINCE!$A$1:$F$12000,3,FALSE),"")</f>
        <v/>
      </c>
      <c r="F41" s="233"/>
      <c r="G41" s="234"/>
      <c r="H41" s="201"/>
      <c r="I41" s="186" t="str">
        <f t="shared" si="0"/>
        <v/>
      </c>
    </row>
    <row r="42" spans="1:9" x14ac:dyDescent="0.25">
      <c r="A42" s="199"/>
      <c r="B42" s="199"/>
      <c r="C42" s="203"/>
      <c r="D42" s="203"/>
      <c r="E42" s="232" t="str">
        <f>IFERROR(VLOOKUP(B42,LINCE!$A$1:$F$12000,3,FALSE),"")</f>
        <v/>
      </c>
      <c r="F42" s="233"/>
      <c r="G42" s="234"/>
      <c r="H42" s="201"/>
      <c r="I42" s="186" t="str">
        <f t="shared" si="0"/>
        <v/>
      </c>
    </row>
    <row r="43" spans="1:9" x14ac:dyDescent="0.25">
      <c r="A43" s="199"/>
      <c r="B43" s="199"/>
      <c r="C43" s="203"/>
      <c r="D43" s="203"/>
      <c r="E43" s="232" t="str">
        <f>IFERROR(VLOOKUP(B43,LINCE!$A$1:$F$12000,3,FALSE),"")</f>
        <v/>
      </c>
      <c r="F43" s="233"/>
      <c r="G43" s="234"/>
      <c r="H43" s="201"/>
      <c r="I43" s="186" t="str">
        <f t="shared" si="0"/>
        <v/>
      </c>
    </row>
    <row r="44" spans="1:9" x14ac:dyDescent="0.25">
      <c r="A44" s="199"/>
      <c r="B44" s="199"/>
      <c r="C44" s="203"/>
      <c r="D44" s="203"/>
      <c r="E44" s="232" t="str">
        <f>IFERROR(VLOOKUP(B44,LINCE!$A$1:$F$12000,3,FALSE),"")</f>
        <v/>
      </c>
      <c r="F44" s="233"/>
      <c r="G44" s="234"/>
      <c r="H44" s="201"/>
      <c r="I44" s="186" t="str">
        <f t="shared" si="0"/>
        <v/>
      </c>
    </row>
    <row r="45" spans="1:9" x14ac:dyDescent="0.25">
      <c r="A45" s="199"/>
      <c r="B45" s="199"/>
      <c r="C45" s="203"/>
      <c r="D45" s="203"/>
      <c r="E45" s="232" t="str">
        <f>IFERROR(VLOOKUP(B45,LINCE!$A$1:$F$12000,3,FALSE),"")</f>
        <v/>
      </c>
      <c r="F45" s="233"/>
      <c r="G45" s="234"/>
      <c r="H45" s="201"/>
      <c r="I45" s="186" t="str">
        <f t="shared" si="0"/>
        <v/>
      </c>
    </row>
    <row r="46" spans="1:9" x14ac:dyDescent="0.25">
      <c r="A46" s="199"/>
      <c r="B46" s="199"/>
      <c r="C46" s="203"/>
      <c r="D46" s="203"/>
      <c r="E46" s="232" t="str">
        <f>IFERROR(VLOOKUP(B46,LINCE!$A$1:$F$12000,3,FALSE),"")</f>
        <v/>
      </c>
      <c r="F46" s="233"/>
      <c r="G46" s="234"/>
      <c r="H46" s="201"/>
      <c r="I46" s="186" t="str">
        <f t="shared" si="0"/>
        <v/>
      </c>
    </row>
    <row r="47" spans="1:9" x14ac:dyDescent="0.25">
      <c r="A47" s="199"/>
      <c r="B47" s="199"/>
      <c r="C47" s="203"/>
      <c r="D47" s="203"/>
      <c r="E47" s="232" t="str">
        <f>IFERROR(VLOOKUP(B47,LINCE!$A$1:$F$12000,3,FALSE),"")</f>
        <v/>
      </c>
      <c r="F47" s="233"/>
      <c r="G47" s="234"/>
      <c r="H47" s="201"/>
      <c r="I47" s="186" t="str">
        <f t="shared" si="0"/>
        <v/>
      </c>
    </row>
    <row r="48" spans="1:9" x14ac:dyDescent="0.25">
      <c r="A48" s="199"/>
      <c r="B48" s="199"/>
      <c r="C48" s="203"/>
      <c r="D48" s="203"/>
      <c r="E48" s="232" t="str">
        <f>IFERROR(VLOOKUP(B48,LINCE!$A$1:$F$12000,3,FALSE),"")</f>
        <v/>
      </c>
      <c r="F48" s="233"/>
      <c r="G48" s="234"/>
      <c r="H48" s="201"/>
      <c r="I48" s="186" t="str">
        <f t="shared" si="0"/>
        <v/>
      </c>
    </row>
    <row r="49" spans="1:9" x14ac:dyDescent="0.25">
      <c r="A49" s="200"/>
      <c r="B49" s="200"/>
      <c r="C49" s="204"/>
      <c r="D49" s="204"/>
      <c r="E49" s="232" t="str">
        <f>IFERROR(VLOOKUP(B49,LINCE!$A$1:$F$12000,3,FALSE),"")</f>
        <v/>
      </c>
      <c r="F49" s="233"/>
      <c r="G49" s="234"/>
      <c r="H49" s="201"/>
      <c r="I49" s="186" t="str">
        <f t="shared" si="0"/>
        <v/>
      </c>
    </row>
    <row r="50" spans="1:9" ht="20.100000000000001" customHeight="1" x14ac:dyDescent="0.3">
      <c r="A50" s="178" t="str">
        <f>IF(SUM(A21:A49)=0,"",SUM(A21:A49))</f>
        <v/>
      </c>
      <c r="B50" s="191" t="s">
        <v>13927</v>
      </c>
      <c r="C50" s="192"/>
      <c r="D50" s="192"/>
      <c r="E50" s="187"/>
      <c r="F50" s="181"/>
      <c r="G50" s="181"/>
      <c r="H50" s="188" t="s">
        <v>14189</v>
      </c>
      <c r="I50" s="217" t="str">
        <f>IF(SUM(I21:I49)=0,"",SUM(I21:I49))</f>
        <v/>
      </c>
    </row>
    <row r="51" spans="1:9" ht="18.75" x14ac:dyDescent="0.3">
      <c r="A51" s="179"/>
      <c r="B51" s="179"/>
      <c r="C51" s="179"/>
      <c r="D51" s="179"/>
      <c r="E51" s="180"/>
      <c r="F51" s="7"/>
      <c r="G51" s="7"/>
      <c r="H51" s="7"/>
      <c r="I51" s="182"/>
    </row>
    <row r="52" spans="1:9" ht="18.75" x14ac:dyDescent="0.3">
      <c r="A52" s="235"/>
      <c r="B52" s="235"/>
      <c r="C52" s="235"/>
      <c r="D52" s="235"/>
      <c r="E52" s="235"/>
      <c r="F52" s="183"/>
      <c r="G52" s="183"/>
      <c r="H52" s="183"/>
      <c r="I52" s="183"/>
    </row>
    <row r="53" spans="1:9" ht="30" customHeight="1" x14ac:dyDescent="0.3">
      <c r="A53" s="235" t="s">
        <v>13928</v>
      </c>
      <c r="B53" s="235"/>
      <c r="C53" s="235"/>
      <c r="D53" s="235"/>
      <c r="E53" s="235"/>
      <c r="F53" s="237"/>
      <c r="G53" s="237"/>
      <c r="H53" s="237"/>
      <c r="I53" s="237"/>
    </row>
    <row r="54" spans="1:9" ht="30" customHeight="1" x14ac:dyDescent="0.3">
      <c r="A54" s="235" t="s">
        <v>13929</v>
      </c>
      <c r="B54" s="235"/>
      <c r="C54" s="235"/>
      <c r="D54" s="235"/>
      <c r="E54" s="235"/>
      <c r="F54" s="236"/>
      <c r="G54" s="236"/>
      <c r="H54" s="236"/>
      <c r="I54" s="236"/>
    </row>
    <row r="55" spans="1:9" ht="30" customHeight="1" x14ac:dyDescent="0.3">
      <c r="A55" s="235" t="s">
        <v>13930</v>
      </c>
      <c r="B55" s="235"/>
      <c r="C55" s="235"/>
      <c r="D55" s="235"/>
      <c r="E55" s="235"/>
      <c r="F55" s="236"/>
      <c r="G55" s="236"/>
      <c r="H55" s="236"/>
      <c r="I55" s="236"/>
    </row>
  </sheetData>
  <sheetProtection password="C68E" sheet="1" objects="1" scenarios="1"/>
  <mergeCells count="78">
    <mergeCell ref="I9:I10"/>
    <mergeCell ref="G10:H10"/>
    <mergeCell ref="G11:H11"/>
    <mergeCell ref="G12:H12"/>
    <mergeCell ref="A2:I2"/>
    <mergeCell ref="A4:E4"/>
    <mergeCell ref="A6:F6"/>
    <mergeCell ref="G6:I6"/>
    <mergeCell ref="I7:I8"/>
    <mergeCell ref="G4:H4"/>
    <mergeCell ref="G7:H7"/>
    <mergeCell ref="G8:H8"/>
    <mergeCell ref="G9:H9"/>
    <mergeCell ref="E9:F10"/>
    <mergeCell ref="E11:F11"/>
    <mergeCell ref="E12:F12"/>
    <mergeCell ref="E22:G22"/>
    <mergeCell ref="E20:G20"/>
    <mergeCell ref="E21:G21"/>
    <mergeCell ref="I13:I14"/>
    <mergeCell ref="I15:I16"/>
    <mergeCell ref="G13:H13"/>
    <mergeCell ref="G14:H14"/>
    <mergeCell ref="G15:H15"/>
    <mergeCell ref="G16:H16"/>
    <mergeCell ref="E17:F18"/>
    <mergeCell ref="E13:F14"/>
    <mergeCell ref="E15:F16"/>
    <mergeCell ref="G17:H17"/>
    <mergeCell ref="G18:H18"/>
    <mergeCell ref="I17:I18"/>
    <mergeCell ref="E27:G27"/>
    <mergeCell ref="E28:G28"/>
    <mergeCell ref="E25:G25"/>
    <mergeCell ref="E26:G26"/>
    <mergeCell ref="E23:G23"/>
    <mergeCell ref="E24:G24"/>
    <mergeCell ref="E42:G42"/>
    <mergeCell ref="E43:G43"/>
    <mergeCell ref="E29:G29"/>
    <mergeCell ref="E30:G30"/>
    <mergeCell ref="E31:G31"/>
    <mergeCell ref="E32:G32"/>
    <mergeCell ref="E39:G39"/>
    <mergeCell ref="E40:G40"/>
    <mergeCell ref="E41:G41"/>
    <mergeCell ref="E36:G36"/>
    <mergeCell ref="E37:G37"/>
    <mergeCell ref="E38:G38"/>
    <mergeCell ref="E34:G34"/>
    <mergeCell ref="E35:G35"/>
    <mergeCell ref="E33:G33"/>
    <mergeCell ref="A55:E55"/>
    <mergeCell ref="F55:I55"/>
    <mergeCell ref="A52:E52"/>
    <mergeCell ref="A53:E53"/>
    <mergeCell ref="F53:I53"/>
    <mergeCell ref="A54:E54"/>
    <mergeCell ref="F54:I54"/>
    <mergeCell ref="E48:G48"/>
    <mergeCell ref="E49:G49"/>
    <mergeCell ref="E46:G46"/>
    <mergeCell ref="E47:G47"/>
    <mergeCell ref="E44:G44"/>
    <mergeCell ref="E45:G45"/>
    <mergeCell ref="A17:D17"/>
    <mergeCell ref="A18:D18"/>
    <mergeCell ref="E7:F8"/>
    <mergeCell ref="A12:D12"/>
    <mergeCell ref="A13:D13"/>
    <mergeCell ref="A14:D14"/>
    <mergeCell ref="A15:D15"/>
    <mergeCell ref="A16:D16"/>
    <mergeCell ref="A7:D7"/>
    <mergeCell ref="A8:D8"/>
    <mergeCell ref="A9:D9"/>
    <mergeCell ref="A10:D10"/>
    <mergeCell ref="A11:D11"/>
  </mergeCells>
  <printOptions horizontalCentered="1"/>
  <pageMargins left="0.23622047244094485" right="0.23622047244094485" top="0.74803149606299213" bottom="0.74803149606299213" header="0.31496062992125989" footer="0.31496062992125989"/>
  <pageSetup paperSize="9" scale="77" orientation="portrait" horizontalDpi="0" verticalDpi="0" r:id="rId1"/>
  <headerFooter>
    <oddHeader>&amp;C&amp;"-,Negrita"&amp;15PEGAR JUNTO CON EL ROTULO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6"/>
  </sheetPr>
  <dimension ref="A1:U25"/>
  <sheetViews>
    <sheetView showGridLines="0" zoomScale="130" zoomScaleNormal="130" workbookViewId="0">
      <selection activeCell="W16" sqref="W16"/>
    </sheetView>
  </sheetViews>
  <sheetFormatPr baseColWidth="10" defaultRowHeight="15" x14ac:dyDescent="0.25"/>
  <cols>
    <col min="1" max="21" width="3.7109375" customWidth="1"/>
  </cols>
  <sheetData>
    <row r="1" spans="1:21" ht="14.1" customHeight="1" thickBot="1" x14ac:dyDescent="0.3"/>
    <row r="2" spans="1:21" ht="14.1" customHeight="1" x14ac:dyDescent="0.25">
      <c r="A2" s="293" t="s">
        <v>13127</v>
      </c>
      <c r="B2" s="296" t="str">
        <f>+Datos!B4</f>
        <v>RERDA S.A.</v>
      </c>
      <c r="C2" s="297"/>
      <c r="D2" s="297"/>
      <c r="E2" s="297"/>
      <c r="F2" s="297"/>
      <c r="G2" s="297"/>
      <c r="H2" s="297"/>
      <c r="I2" s="4"/>
      <c r="J2" s="4"/>
      <c r="K2" s="4"/>
      <c r="L2" s="4"/>
      <c r="M2" s="4"/>
      <c r="N2" s="4"/>
      <c r="O2" s="5"/>
      <c r="P2" s="298"/>
      <c r="Q2" s="299"/>
      <c r="R2" s="299"/>
      <c r="S2" s="299"/>
      <c r="T2" s="299"/>
      <c r="U2" s="300"/>
    </row>
    <row r="3" spans="1:21" ht="14.1" customHeight="1" x14ac:dyDescent="0.25">
      <c r="A3" s="294"/>
      <c r="B3" s="307" t="str">
        <f>+Datos!B6</f>
        <v>San Martín</v>
      </c>
      <c r="C3" s="308"/>
      <c r="D3" s="308"/>
      <c r="E3" s="308"/>
      <c r="F3" s="308"/>
      <c r="G3" s="308">
        <f>+Datos!B7</f>
        <v>1665</v>
      </c>
      <c r="H3" s="308"/>
      <c r="I3" s="308"/>
      <c r="J3" s="6"/>
      <c r="K3" s="7"/>
      <c r="L3" s="8"/>
      <c r="M3" s="309" t="str">
        <f>+Datos!B8</f>
        <v>Mendoza</v>
      </c>
      <c r="N3" s="309"/>
      <c r="O3" s="310"/>
      <c r="P3" s="301"/>
      <c r="Q3" s="302"/>
      <c r="R3" s="302"/>
      <c r="S3" s="302"/>
      <c r="T3" s="302"/>
      <c r="U3" s="303"/>
    </row>
    <row r="4" spans="1:21" ht="14.1" customHeight="1" x14ac:dyDescent="0.25">
      <c r="A4" s="294"/>
      <c r="B4" s="311" t="str">
        <f>+Datos!B9</f>
        <v>Mendoza</v>
      </c>
      <c r="C4" s="309"/>
      <c r="D4" s="309"/>
      <c r="E4" s="309"/>
      <c r="F4" s="309"/>
      <c r="G4" s="309">
        <f>+Datos!B10</f>
        <v>5500</v>
      </c>
      <c r="H4" s="309"/>
      <c r="I4" s="309"/>
      <c r="J4" s="6"/>
      <c r="K4" s="6"/>
      <c r="L4" s="6"/>
      <c r="M4" s="6"/>
      <c r="N4" s="6"/>
      <c r="O4" s="9"/>
      <c r="P4" s="301"/>
      <c r="Q4" s="302"/>
      <c r="R4" s="302"/>
      <c r="S4" s="302"/>
      <c r="T4" s="302"/>
      <c r="U4" s="303"/>
    </row>
    <row r="5" spans="1:21" ht="14.1" customHeight="1" x14ac:dyDescent="0.25">
      <c r="A5" s="294"/>
      <c r="B5" s="312" t="str">
        <f>+Datos!B11</f>
        <v>ventas@rerda.com</v>
      </c>
      <c r="C5" s="313"/>
      <c r="D5" s="313"/>
      <c r="E5" s="313"/>
      <c r="F5" s="313"/>
      <c r="G5" s="313"/>
      <c r="H5" s="313"/>
      <c r="I5" s="10"/>
      <c r="J5" s="10"/>
      <c r="K5" s="11" t="s">
        <v>13128</v>
      </c>
      <c r="L5" s="314">
        <f>+Datos!B5</f>
        <v>30535195869</v>
      </c>
      <c r="M5" s="314"/>
      <c r="N5" s="314"/>
      <c r="O5" s="315"/>
      <c r="P5" s="301"/>
      <c r="Q5" s="302"/>
      <c r="R5" s="302"/>
      <c r="S5" s="302"/>
      <c r="T5" s="302"/>
      <c r="U5" s="303"/>
    </row>
    <row r="6" spans="1:21" ht="14.1" customHeight="1" x14ac:dyDescent="0.25">
      <c r="A6" s="295"/>
      <c r="B6" s="278" t="str">
        <f>+Datos!B12</f>
        <v>0261-4256567 | +549 2615117948</v>
      </c>
      <c r="C6" s="279"/>
      <c r="D6" s="279"/>
      <c r="E6" s="279"/>
      <c r="F6" s="279"/>
      <c r="G6" s="279"/>
      <c r="H6" s="279"/>
      <c r="I6" s="12"/>
      <c r="J6" s="12"/>
      <c r="K6" s="13" t="s">
        <v>13129</v>
      </c>
      <c r="L6" s="280">
        <f>+Datos!B3</f>
        <v>20355</v>
      </c>
      <c r="M6" s="280"/>
      <c r="N6" s="280"/>
      <c r="O6" s="281"/>
      <c r="P6" s="304"/>
      <c r="Q6" s="305"/>
      <c r="R6" s="305"/>
      <c r="S6" s="305"/>
      <c r="T6" s="305"/>
      <c r="U6" s="306"/>
    </row>
    <row r="7" spans="1:21" ht="14.1" customHeight="1" x14ac:dyDescent="0.25">
      <c r="A7" s="14"/>
      <c r="B7" s="282" t="s">
        <v>13130</v>
      </c>
      <c r="C7" s="282"/>
      <c r="D7" s="283" t="str">
        <f>IF(Planilla!W2="","¿…?",Planilla!W2)</f>
        <v>ELE</v>
      </c>
      <c r="E7" s="283"/>
      <c r="F7" s="283"/>
      <c r="G7" s="283"/>
      <c r="H7" s="283"/>
      <c r="I7" s="283"/>
      <c r="J7" s="283"/>
      <c r="K7" s="283"/>
      <c r="L7" s="283"/>
      <c r="M7" s="283"/>
      <c r="N7" s="283"/>
      <c r="O7" s="283"/>
      <c r="P7" s="283"/>
      <c r="Q7" s="283"/>
      <c r="R7" s="283"/>
      <c r="S7" s="283"/>
      <c r="T7" s="283"/>
      <c r="U7" s="15"/>
    </row>
    <row r="8" spans="1:21" ht="14.1" customHeight="1" x14ac:dyDescent="0.25">
      <c r="A8" s="284" t="s">
        <v>13131</v>
      </c>
      <c r="B8" s="285"/>
      <c r="C8" s="285"/>
      <c r="D8" s="285"/>
      <c r="E8" s="285"/>
      <c r="F8" s="285"/>
      <c r="G8" s="285"/>
      <c r="H8" s="285"/>
      <c r="I8" s="285"/>
      <c r="J8" s="285"/>
      <c r="K8" s="285"/>
      <c r="L8" s="285"/>
      <c r="M8" s="285"/>
      <c r="N8" s="285"/>
      <c r="O8" s="285"/>
      <c r="P8" s="285"/>
      <c r="Q8" s="285"/>
      <c r="R8" s="285"/>
      <c r="S8" s="285"/>
      <c r="T8" s="285"/>
      <c r="U8" s="286"/>
    </row>
    <row r="9" spans="1:21" ht="14.1" customHeight="1" x14ac:dyDescent="0.25">
      <c r="A9" s="287"/>
      <c r="B9" s="288"/>
      <c r="C9" s="288"/>
      <c r="D9" s="288"/>
      <c r="E9" s="288"/>
      <c r="F9" s="288"/>
      <c r="G9" s="288"/>
      <c r="H9" s="288"/>
      <c r="I9" s="288"/>
      <c r="J9" s="288"/>
      <c r="K9" s="288"/>
      <c r="L9" s="288"/>
      <c r="M9" s="288"/>
      <c r="N9" s="288"/>
      <c r="O9" s="288"/>
      <c r="P9" s="288"/>
      <c r="Q9" s="288"/>
      <c r="R9" s="288"/>
      <c r="S9" s="288"/>
      <c r="T9" s="288"/>
      <c r="U9" s="289"/>
    </row>
    <row r="10" spans="1:21" ht="14.1" customHeight="1" x14ac:dyDescent="0.25">
      <c r="A10" s="290"/>
      <c r="B10" s="291"/>
      <c r="C10" s="291"/>
      <c r="D10" s="291"/>
      <c r="E10" s="291"/>
      <c r="F10" s="291"/>
      <c r="G10" s="291"/>
      <c r="H10" s="291"/>
      <c r="I10" s="291"/>
      <c r="J10" s="291"/>
      <c r="K10" s="291"/>
      <c r="L10" s="291"/>
      <c r="M10" s="291"/>
      <c r="N10" s="291"/>
      <c r="O10" s="291"/>
      <c r="P10" s="291"/>
      <c r="Q10" s="291"/>
      <c r="R10" s="291"/>
      <c r="S10" s="291"/>
      <c r="T10" s="291"/>
      <c r="U10" s="292"/>
    </row>
    <row r="11" spans="1:21" ht="4.5" customHeight="1" x14ac:dyDescent="0.25">
      <c r="A11" s="16"/>
      <c r="B11" s="17"/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8"/>
    </row>
    <row r="12" spans="1:21" ht="4.5" customHeight="1" x14ac:dyDescent="0.25">
      <c r="A12" s="16"/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8"/>
    </row>
    <row r="13" spans="1:21" ht="4.5" customHeight="1" x14ac:dyDescent="0.25">
      <c r="A13" s="19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1"/>
    </row>
    <row r="14" spans="1:21" ht="14.1" customHeight="1" x14ac:dyDescent="0.25">
      <c r="A14" s="263" t="s">
        <v>13132</v>
      </c>
      <c r="B14" s="22"/>
      <c r="C14" s="22"/>
      <c r="D14" s="22"/>
      <c r="E14" s="22"/>
      <c r="F14" s="22"/>
      <c r="G14" s="22"/>
      <c r="H14" s="22"/>
      <c r="I14" s="22"/>
      <c r="J14" s="22"/>
      <c r="K14" s="22"/>
      <c r="L14" s="23"/>
      <c r="M14" s="23"/>
      <c r="N14" s="23"/>
      <c r="O14" s="23"/>
      <c r="P14" s="23"/>
      <c r="Q14" s="24"/>
      <c r="R14" s="24"/>
      <c r="S14" s="24"/>
      <c r="T14" s="24"/>
      <c r="U14" s="25"/>
    </row>
    <row r="15" spans="1:21" ht="14.1" customHeight="1" x14ac:dyDescent="0.25">
      <c r="A15" s="263"/>
      <c r="B15" s="26"/>
      <c r="C15" s="26"/>
      <c r="D15" s="26"/>
      <c r="E15" s="26"/>
      <c r="F15" s="26"/>
      <c r="G15" s="26"/>
      <c r="H15" s="26"/>
      <c r="I15" s="26"/>
      <c r="J15" s="27"/>
      <c r="K15" s="27"/>
      <c r="L15" s="265" t="s">
        <v>13133</v>
      </c>
      <c r="M15" s="265"/>
      <c r="N15" s="265"/>
      <c r="O15" s="265"/>
      <c r="P15" s="266">
        <v>36011978</v>
      </c>
      <c r="Q15" s="267"/>
      <c r="R15" s="267"/>
      <c r="S15" s="267"/>
      <c r="T15" s="267"/>
      <c r="U15" s="25"/>
    </row>
    <row r="16" spans="1:21" ht="18.95" customHeight="1" x14ac:dyDescent="0.25">
      <c r="A16" s="263"/>
      <c r="B16" s="28"/>
      <c r="C16" s="268" t="s">
        <v>14149</v>
      </c>
      <c r="D16" s="269"/>
      <c r="E16" s="269"/>
      <c r="F16" s="269"/>
      <c r="G16" s="269"/>
      <c r="H16" s="269"/>
      <c r="I16" s="269"/>
      <c r="J16" s="269"/>
      <c r="K16" s="269"/>
      <c r="L16" s="269"/>
      <c r="M16" s="269"/>
      <c r="N16" s="269"/>
      <c r="O16" s="269"/>
      <c r="P16" s="269"/>
      <c r="Q16" s="269"/>
      <c r="R16" s="269"/>
      <c r="S16" s="269"/>
      <c r="T16" s="269"/>
      <c r="U16" s="15"/>
    </row>
    <row r="17" spans="1:21" ht="18.95" customHeight="1" x14ac:dyDescent="0.25">
      <c r="A17" s="263"/>
      <c r="B17" s="28"/>
      <c r="C17" s="269"/>
      <c r="D17" s="269"/>
      <c r="E17" s="269"/>
      <c r="F17" s="269"/>
      <c r="G17" s="269"/>
      <c r="H17" s="269"/>
      <c r="I17" s="269"/>
      <c r="J17" s="269"/>
      <c r="K17" s="269"/>
      <c r="L17" s="269"/>
      <c r="M17" s="269"/>
      <c r="N17" s="269"/>
      <c r="O17" s="269"/>
      <c r="P17" s="269"/>
      <c r="Q17" s="269"/>
      <c r="R17" s="269"/>
      <c r="S17" s="269"/>
      <c r="T17" s="269"/>
      <c r="U17" s="15"/>
    </row>
    <row r="18" spans="1:21" ht="14.1" customHeight="1" x14ac:dyDescent="0.25">
      <c r="A18" s="263"/>
      <c r="B18" s="22"/>
      <c r="C18" s="270" t="s">
        <v>14151</v>
      </c>
      <c r="D18" s="270"/>
      <c r="E18" s="270"/>
      <c r="F18" s="270"/>
      <c r="G18" s="270"/>
      <c r="H18" s="270"/>
      <c r="I18" s="270"/>
      <c r="J18" s="270"/>
      <c r="K18" s="270"/>
      <c r="L18" s="270"/>
      <c r="M18" s="270"/>
      <c r="N18" s="270"/>
      <c r="O18" s="270"/>
      <c r="P18" s="270"/>
      <c r="Q18" s="270"/>
      <c r="R18" s="270"/>
      <c r="S18" s="270"/>
      <c r="T18" s="270"/>
      <c r="U18" s="15"/>
    </row>
    <row r="19" spans="1:21" ht="14.1" customHeight="1" x14ac:dyDescent="0.25">
      <c r="A19" s="263"/>
      <c r="B19" s="22"/>
      <c r="C19" s="270"/>
      <c r="D19" s="270"/>
      <c r="E19" s="270"/>
      <c r="F19" s="270"/>
      <c r="G19" s="270"/>
      <c r="H19" s="270"/>
      <c r="I19" s="270"/>
      <c r="J19" s="270"/>
      <c r="K19" s="270"/>
      <c r="L19" s="270"/>
      <c r="M19" s="270"/>
      <c r="N19" s="270"/>
      <c r="O19" s="270"/>
      <c r="P19" s="270"/>
      <c r="Q19" s="270"/>
      <c r="R19" s="270"/>
      <c r="S19" s="270"/>
      <c r="T19" s="270"/>
      <c r="U19" s="15"/>
    </row>
    <row r="20" spans="1:21" ht="14.1" customHeight="1" x14ac:dyDescent="0.25">
      <c r="A20" s="263"/>
      <c r="B20" s="22"/>
      <c r="C20" s="270"/>
      <c r="D20" s="270"/>
      <c r="E20" s="270"/>
      <c r="F20" s="270"/>
      <c r="G20" s="270"/>
      <c r="H20" s="270"/>
      <c r="I20" s="270"/>
      <c r="J20" s="270"/>
      <c r="K20" s="270"/>
      <c r="L20" s="270"/>
      <c r="M20" s="270"/>
      <c r="N20" s="270"/>
      <c r="O20" s="270"/>
      <c r="P20" s="270"/>
      <c r="Q20" s="270"/>
      <c r="R20" s="270"/>
      <c r="S20" s="270"/>
      <c r="T20" s="270"/>
      <c r="U20" s="15"/>
    </row>
    <row r="21" spans="1:21" ht="14.1" customHeight="1" x14ac:dyDescent="0.25">
      <c r="A21" s="263"/>
      <c r="B21" s="29"/>
      <c r="C21" s="271" t="s">
        <v>13134</v>
      </c>
      <c r="D21" s="271"/>
      <c r="E21" s="272">
        <v>3000</v>
      </c>
      <c r="F21" s="273"/>
      <c r="G21" s="274" t="s">
        <v>8738</v>
      </c>
      <c r="H21" s="274"/>
      <c r="I21" s="274"/>
      <c r="J21" s="274"/>
      <c r="K21" s="274"/>
      <c r="L21" s="274"/>
      <c r="M21" s="274"/>
      <c r="N21" s="274"/>
      <c r="O21" s="274"/>
      <c r="P21" s="274"/>
      <c r="Q21" s="274"/>
      <c r="R21" s="274"/>
      <c r="S21" s="274"/>
      <c r="T21" s="274"/>
      <c r="U21" s="15"/>
    </row>
    <row r="22" spans="1:21" ht="14.1" customHeight="1" x14ac:dyDescent="0.25">
      <c r="A22" s="263"/>
      <c r="B22" s="29"/>
      <c r="C22" s="271"/>
      <c r="D22" s="271"/>
      <c r="E22" s="273"/>
      <c r="F22" s="273"/>
      <c r="G22" s="274"/>
      <c r="H22" s="274"/>
      <c r="I22" s="274"/>
      <c r="J22" s="274"/>
      <c r="K22" s="274"/>
      <c r="L22" s="274"/>
      <c r="M22" s="274"/>
      <c r="N22" s="274"/>
      <c r="O22" s="274"/>
      <c r="P22" s="274"/>
      <c r="Q22" s="274"/>
      <c r="R22" s="274"/>
      <c r="S22" s="274"/>
      <c r="T22" s="274"/>
      <c r="U22" s="15"/>
    </row>
    <row r="23" spans="1:21" ht="14.1" customHeight="1" x14ac:dyDescent="0.25">
      <c r="A23" s="263"/>
      <c r="B23" s="30"/>
      <c r="C23" s="275" t="s">
        <v>8738</v>
      </c>
      <c r="D23" s="275"/>
      <c r="E23" s="275"/>
      <c r="F23" s="275"/>
      <c r="G23" s="275"/>
      <c r="H23" s="275"/>
      <c r="I23" s="275"/>
      <c r="J23" s="275"/>
      <c r="K23" s="31"/>
      <c r="L23" s="276" t="s">
        <v>13135</v>
      </c>
      <c r="M23" s="276"/>
      <c r="N23" s="276"/>
      <c r="O23" s="276"/>
      <c r="P23" s="277">
        <v>3425118055</v>
      </c>
      <c r="Q23" s="277"/>
      <c r="R23" s="277"/>
      <c r="S23" s="277"/>
      <c r="T23" s="277"/>
      <c r="U23" s="15"/>
    </row>
    <row r="24" spans="1:21" ht="14.1" customHeight="1" x14ac:dyDescent="0.25">
      <c r="A24" s="263"/>
      <c r="B24" s="30"/>
      <c r="C24" s="275"/>
      <c r="D24" s="275"/>
      <c r="E24" s="275"/>
      <c r="F24" s="275"/>
      <c r="G24" s="275"/>
      <c r="H24" s="275"/>
      <c r="I24" s="275"/>
      <c r="J24" s="275"/>
      <c r="K24" s="31"/>
      <c r="L24" s="276"/>
      <c r="M24" s="276"/>
      <c r="N24" s="276"/>
      <c r="O24" s="276"/>
      <c r="P24" s="277"/>
      <c r="Q24" s="277"/>
      <c r="R24" s="277"/>
      <c r="S24" s="277"/>
      <c r="T24" s="277"/>
      <c r="U24" s="15"/>
    </row>
    <row r="25" spans="1:21" ht="14.1" customHeight="1" thickBot="1" x14ac:dyDescent="0.3">
      <c r="A25" s="264"/>
      <c r="B25" s="32"/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3"/>
    </row>
  </sheetData>
  <sheetProtection password="C68E" sheet="1" objects="1" scenarios="1"/>
  <mergeCells count="26">
    <mergeCell ref="B6:H6"/>
    <mergeCell ref="L6:O6"/>
    <mergeCell ref="B7:C7"/>
    <mergeCell ref="D7:T7"/>
    <mergeCell ref="A8:U10"/>
    <mergeCell ref="A2:A6"/>
    <mergeCell ref="B2:H2"/>
    <mergeCell ref="P2:U6"/>
    <mergeCell ref="B3:F3"/>
    <mergeCell ref="G3:I3"/>
    <mergeCell ref="M3:O3"/>
    <mergeCell ref="B4:F4"/>
    <mergeCell ref="G4:I4"/>
    <mergeCell ref="B5:H5"/>
    <mergeCell ref="L5:O5"/>
    <mergeCell ref="A14:A25"/>
    <mergeCell ref="L15:O15"/>
    <mergeCell ref="P15:T15"/>
    <mergeCell ref="C16:T17"/>
    <mergeCell ref="C18:T20"/>
    <mergeCell ref="C21:D22"/>
    <mergeCell ref="E21:F22"/>
    <mergeCell ref="G21:T22"/>
    <mergeCell ref="C23:J24"/>
    <mergeCell ref="L23:O24"/>
    <mergeCell ref="P23:T24"/>
  </mergeCells>
  <pageMargins left="0.25" right="0.25" top="0.75" bottom="0.75" header="0.3" footer="0.3"/>
  <pageSetup paperSize="9" scale="125"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9" tint="0.39997558519241921"/>
  </sheetPr>
  <dimension ref="A1:V23"/>
  <sheetViews>
    <sheetView showGridLines="0" zoomScale="130" zoomScaleNormal="130" workbookViewId="0">
      <selection activeCell="X17" sqref="X17"/>
    </sheetView>
  </sheetViews>
  <sheetFormatPr baseColWidth="10" defaultRowHeight="15" x14ac:dyDescent="0.25"/>
  <cols>
    <col min="1" max="1" width="3.7109375" customWidth="1"/>
    <col min="2" max="2" width="0.7109375" customWidth="1"/>
    <col min="3" max="22" width="3.7109375" customWidth="1"/>
  </cols>
  <sheetData>
    <row r="1" spans="1:22" ht="15.75" thickBot="1" x14ac:dyDescent="0.3"/>
    <row r="2" spans="1:22" ht="14.1" customHeight="1" x14ac:dyDescent="0.25">
      <c r="A2" s="327" t="s">
        <v>13127</v>
      </c>
      <c r="B2" s="40"/>
      <c r="C2" s="330" t="str">
        <f>+Datos!B4</f>
        <v>RERDA S.A.</v>
      </c>
      <c r="D2" s="331"/>
      <c r="E2" s="331"/>
      <c r="F2" s="331"/>
      <c r="G2" s="331"/>
      <c r="H2" s="331"/>
      <c r="I2" s="331"/>
      <c r="J2" s="41"/>
      <c r="K2" s="41"/>
      <c r="L2" s="41"/>
      <c r="M2" s="41"/>
      <c r="N2" s="41"/>
      <c r="O2" s="41"/>
      <c r="P2" s="42"/>
      <c r="Q2" s="332"/>
      <c r="R2" s="333"/>
      <c r="S2" s="333"/>
      <c r="T2" s="333"/>
      <c r="U2" s="333"/>
      <c r="V2" s="334"/>
    </row>
    <row r="3" spans="1:22" ht="14.1" customHeight="1" x14ac:dyDescent="0.25">
      <c r="A3" s="328"/>
      <c r="B3" s="43"/>
      <c r="C3" s="341" t="str">
        <f>+Datos!B6</f>
        <v>San Martín</v>
      </c>
      <c r="D3" s="342"/>
      <c r="E3" s="342"/>
      <c r="F3" s="342"/>
      <c r="G3" s="342"/>
      <c r="H3" s="342">
        <f>+Datos!B7</f>
        <v>1665</v>
      </c>
      <c r="I3" s="342"/>
      <c r="J3" s="342"/>
      <c r="K3" s="44"/>
      <c r="M3" s="45"/>
      <c r="N3" s="343" t="str">
        <f>+Datos!B8</f>
        <v>Mendoza</v>
      </c>
      <c r="O3" s="343"/>
      <c r="P3" s="344"/>
      <c r="Q3" s="335"/>
      <c r="R3" s="336"/>
      <c r="S3" s="336"/>
      <c r="T3" s="336"/>
      <c r="U3" s="336"/>
      <c r="V3" s="337"/>
    </row>
    <row r="4" spans="1:22" ht="14.1" customHeight="1" x14ac:dyDescent="0.25">
      <c r="A4" s="328"/>
      <c r="B4" s="43"/>
      <c r="C4" s="345" t="str">
        <f>+Datos!B9</f>
        <v>Mendoza</v>
      </c>
      <c r="D4" s="343"/>
      <c r="E4" s="343"/>
      <c r="F4" s="343"/>
      <c r="G4" s="343"/>
      <c r="H4" s="343">
        <f>+Datos!B10</f>
        <v>5500</v>
      </c>
      <c r="I4" s="343"/>
      <c r="J4" s="343"/>
      <c r="K4" s="44"/>
      <c r="L4" s="44"/>
      <c r="M4" s="44"/>
      <c r="N4" s="44"/>
      <c r="O4" s="44"/>
      <c r="P4" s="46"/>
      <c r="Q4" s="335"/>
      <c r="R4" s="336"/>
      <c r="S4" s="336"/>
      <c r="T4" s="336"/>
      <c r="U4" s="336"/>
      <c r="V4" s="337"/>
    </row>
    <row r="5" spans="1:22" ht="14.1" customHeight="1" x14ac:dyDescent="0.25">
      <c r="A5" s="328"/>
      <c r="B5" s="43"/>
      <c r="C5" s="346" t="str">
        <f>+Datos!B11</f>
        <v>ventas@rerda.com</v>
      </c>
      <c r="D5" s="347"/>
      <c r="E5" s="347"/>
      <c r="F5" s="347"/>
      <c r="G5" s="347"/>
      <c r="H5" s="347"/>
      <c r="I5" s="347"/>
      <c r="J5" s="47"/>
      <c r="K5" s="47"/>
      <c r="L5" s="48" t="s">
        <v>13128</v>
      </c>
      <c r="M5" s="348">
        <f>+Datos!B5</f>
        <v>30535195869</v>
      </c>
      <c r="N5" s="348"/>
      <c r="O5" s="348"/>
      <c r="P5" s="349"/>
      <c r="Q5" s="335"/>
      <c r="R5" s="336"/>
      <c r="S5" s="336"/>
      <c r="T5" s="336"/>
      <c r="U5" s="336"/>
      <c r="V5" s="337"/>
    </row>
    <row r="6" spans="1:22" ht="14.1" customHeight="1" x14ac:dyDescent="0.25">
      <c r="A6" s="329"/>
      <c r="B6" s="49"/>
      <c r="C6" s="350" t="str">
        <f>+Datos!B12</f>
        <v>0261-4256567 | +549 2615117948</v>
      </c>
      <c r="D6" s="351"/>
      <c r="E6" s="351"/>
      <c r="F6" s="351"/>
      <c r="G6" s="351"/>
      <c r="H6" s="351"/>
      <c r="I6" s="351"/>
      <c r="J6" s="50"/>
      <c r="K6" s="50"/>
      <c r="L6" s="51" t="s">
        <v>13129</v>
      </c>
      <c r="M6" s="352">
        <f>+Datos!B3</f>
        <v>20355</v>
      </c>
      <c r="N6" s="352"/>
      <c r="O6" s="352"/>
      <c r="P6" s="353"/>
      <c r="Q6" s="338"/>
      <c r="R6" s="339"/>
      <c r="S6" s="339"/>
      <c r="T6" s="339"/>
      <c r="U6" s="339"/>
      <c r="V6" s="340"/>
    </row>
    <row r="7" spans="1:22" ht="14.1" customHeight="1" x14ac:dyDescent="0.25">
      <c r="A7" s="52"/>
      <c r="B7" s="53"/>
      <c r="C7" s="316" t="s">
        <v>13130</v>
      </c>
      <c r="D7" s="316"/>
      <c r="E7" s="317" t="str">
        <f>IF(Planilla!W2="","¿…?",Planilla!W2)</f>
        <v>ELE</v>
      </c>
      <c r="F7" s="317"/>
      <c r="G7" s="317"/>
      <c r="H7" s="317"/>
      <c r="I7" s="317"/>
      <c r="J7" s="317"/>
      <c r="K7" s="317"/>
      <c r="L7" s="317"/>
      <c r="M7" s="317"/>
      <c r="N7" s="317"/>
      <c r="O7" s="317"/>
      <c r="P7" s="317"/>
      <c r="Q7" s="317"/>
      <c r="R7" s="317"/>
      <c r="S7" s="317"/>
      <c r="T7" s="317"/>
      <c r="U7" s="317"/>
      <c r="V7" s="54"/>
    </row>
    <row r="8" spans="1:22" ht="14.1" customHeight="1" x14ac:dyDescent="0.25">
      <c r="A8" s="318" t="s">
        <v>13150</v>
      </c>
      <c r="B8" s="319"/>
      <c r="C8" s="319"/>
      <c r="D8" s="319"/>
      <c r="E8" s="319"/>
      <c r="F8" s="319"/>
      <c r="G8" s="319"/>
      <c r="H8" s="319"/>
      <c r="I8" s="319"/>
      <c r="J8" s="319"/>
      <c r="K8" s="319"/>
      <c r="L8" s="319"/>
      <c r="M8" s="319"/>
      <c r="N8" s="319"/>
      <c r="O8" s="319"/>
      <c r="P8" s="319"/>
      <c r="Q8" s="319"/>
      <c r="R8" s="319"/>
      <c r="S8" s="319"/>
      <c r="T8" s="319"/>
      <c r="U8" s="319"/>
      <c r="V8" s="320"/>
    </row>
    <row r="9" spans="1:22" ht="14.1" customHeight="1" x14ac:dyDescent="0.25">
      <c r="A9" s="321"/>
      <c r="B9" s="322"/>
      <c r="C9" s="322"/>
      <c r="D9" s="322"/>
      <c r="E9" s="322"/>
      <c r="F9" s="322"/>
      <c r="G9" s="322"/>
      <c r="H9" s="322"/>
      <c r="I9" s="322"/>
      <c r="J9" s="322"/>
      <c r="K9" s="322"/>
      <c r="L9" s="322"/>
      <c r="M9" s="322"/>
      <c r="N9" s="322"/>
      <c r="O9" s="322"/>
      <c r="P9" s="322"/>
      <c r="Q9" s="322"/>
      <c r="R9" s="322"/>
      <c r="S9" s="322"/>
      <c r="T9" s="322"/>
      <c r="U9" s="322"/>
      <c r="V9" s="323"/>
    </row>
    <row r="10" spans="1:22" ht="14.1" customHeight="1" x14ac:dyDescent="0.25">
      <c r="A10" s="324"/>
      <c r="B10" s="325"/>
      <c r="C10" s="325"/>
      <c r="D10" s="325"/>
      <c r="E10" s="325"/>
      <c r="F10" s="325"/>
      <c r="G10" s="325"/>
      <c r="H10" s="325"/>
      <c r="I10" s="325"/>
      <c r="J10" s="325"/>
      <c r="K10" s="325"/>
      <c r="L10" s="325"/>
      <c r="M10" s="325"/>
      <c r="N10" s="325"/>
      <c r="O10" s="325"/>
      <c r="P10" s="325"/>
      <c r="Q10" s="325"/>
      <c r="R10" s="325"/>
      <c r="S10" s="325"/>
      <c r="T10" s="325"/>
      <c r="U10" s="325"/>
      <c r="V10" s="326"/>
    </row>
    <row r="11" spans="1:22" ht="14.1" customHeight="1" x14ac:dyDescent="0.25">
      <c r="A11" s="55"/>
      <c r="B11" s="56"/>
      <c r="C11" s="57"/>
      <c r="D11" s="57"/>
      <c r="E11" s="57"/>
      <c r="F11" s="57"/>
      <c r="G11" s="57"/>
      <c r="H11" s="57"/>
      <c r="I11" s="57"/>
      <c r="J11" s="57"/>
      <c r="K11" s="58"/>
      <c r="L11" s="58"/>
      <c r="M11" s="59"/>
      <c r="N11" s="59"/>
      <c r="O11" s="59"/>
      <c r="P11" s="59"/>
      <c r="Q11" s="59"/>
      <c r="R11" s="59"/>
      <c r="S11" s="59"/>
      <c r="T11" s="59"/>
      <c r="U11" s="59"/>
      <c r="V11" s="60"/>
    </row>
    <row r="12" spans="1:22" ht="14.1" customHeight="1" x14ac:dyDescent="0.25">
      <c r="A12" s="61"/>
      <c r="B12" s="62"/>
      <c r="C12" s="375" t="s">
        <v>13151</v>
      </c>
      <c r="D12" s="375"/>
      <c r="E12" s="375"/>
      <c r="F12" s="375"/>
      <c r="G12" s="375"/>
      <c r="H12" s="375"/>
      <c r="I12" s="375"/>
      <c r="J12" s="375"/>
      <c r="K12" s="375"/>
      <c r="L12" s="375"/>
      <c r="M12" s="375"/>
      <c r="N12" s="63"/>
      <c r="O12" s="64"/>
      <c r="P12" s="386" t="s">
        <v>13152</v>
      </c>
      <c r="Q12" s="386"/>
      <c r="R12" s="386"/>
      <c r="S12" s="386"/>
      <c r="T12" s="386"/>
      <c r="U12" s="386"/>
      <c r="V12" s="65"/>
    </row>
    <row r="13" spans="1:22" ht="14.1" customHeight="1" x14ac:dyDescent="0.25">
      <c r="A13" s="66"/>
      <c r="B13" s="67"/>
      <c r="C13" s="376"/>
      <c r="D13" s="376"/>
      <c r="E13" s="376"/>
      <c r="F13" s="376"/>
      <c r="G13" s="376"/>
      <c r="H13" s="376"/>
      <c r="I13" s="376"/>
      <c r="J13" s="376"/>
      <c r="K13" s="376"/>
      <c r="L13" s="376"/>
      <c r="M13" s="376"/>
      <c r="N13" s="68"/>
      <c r="O13" s="64"/>
      <c r="P13" s="386"/>
      <c r="Q13" s="386"/>
      <c r="R13" s="386"/>
      <c r="S13" s="386"/>
      <c r="T13" s="386"/>
      <c r="U13" s="386"/>
      <c r="V13" s="65"/>
    </row>
    <row r="14" spans="1:22" ht="14.1" customHeight="1" x14ac:dyDescent="0.25">
      <c r="A14" s="69"/>
      <c r="B14" s="70"/>
      <c r="C14" s="71"/>
      <c r="D14" s="72"/>
      <c r="E14" s="73"/>
      <c r="F14" s="73"/>
      <c r="G14" s="73"/>
      <c r="H14" s="73"/>
      <c r="I14" s="73"/>
      <c r="J14" s="73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4"/>
    </row>
    <row r="15" spans="1:22" ht="14.1" customHeight="1" x14ac:dyDescent="0.25">
      <c r="A15" s="354" t="s">
        <v>13132</v>
      </c>
      <c r="B15" s="75"/>
      <c r="C15" s="76"/>
      <c r="D15" s="77"/>
      <c r="E15" s="77"/>
      <c r="F15" s="77"/>
      <c r="G15" s="77"/>
      <c r="H15" s="77"/>
      <c r="I15" s="77"/>
      <c r="J15" s="77"/>
      <c r="K15" s="77"/>
      <c r="L15" s="77"/>
      <c r="M15" s="77"/>
      <c r="N15" s="77"/>
      <c r="O15" s="77"/>
      <c r="P15" s="77"/>
      <c r="Q15" s="77"/>
      <c r="R15" s="77"/>
      <c r="S15" s="77"/>
      <c r="T15" s="77"/>
      <c r="U15" s="77"/>
      <c r="V15" s="78"/>
    </row>
    <row r="16" spans="1:22" ht="14.1" customHeight="1" x14ac:dyDescent="0.25">
      <c r="A16" s="355"/>
      <c r="B16" s="75"/>
      <c r="C16" s="357" t="s">
        <v>14150</v>
      </c>
      <c r="D16" s="358"/>
      <c r="E16" s="358"/>
      <c r="F16" s="358"/>
      <c r="G16" s="358"/>
      <c r="H16" s="358"/>
      <c r="I16" s="358"/>
      <c r="J16" s="358"/>
      <c r="K16" s="358"/>
      <c r="L16" s="358"/>
      <c r="M16" s="358"/>
      <c r="N16" s="358"/>
      <c r="O16" s="361" t="s">
        <v>13133</v>
      </c>
      <c r="P16" s="361"/>
      <c r="Q16" s="361"/>
      <c r="R16" s="362">
        <v>29469192</v>
      </c>
      <c r="S16" s="363"/>
      <c r="T16" s="363"/>
      <c r="U16" s="364"/>
      <c r="V16" s="78"/>
    </row>
    <row r="17" spans="1:22" ht="14.1" customHeight="1" x14ac:dyDescent="0.25">
      <c r="A17" s="355"/>
      <c r="B17" s="75"/>
      <c r="C17" s="359"/>
      <c r="D17" s="360"/>
      <c r="E17" s="360"/>
      <c r="F17" s="360"/>
      <c r="G17" s="360"/>
      <c r="H17" s="360"/>
      <c r="I17" s="360"/>
      <c r="J17" s="360"/>
      <c r="K17" s="360"/>
      <c r="L17" s="360"/>
      <c r="M17" s="360"/>
      <c r="N17" s="360"/>
      <c r="O17" s="79"/>
      <c r="P17" s="80"/>
      <c r="Q17" s="80"/>
      <c r="R17" s="80"/>
      <c r="S17" s="80"/>
      <c r="T17" s="80"/>
      <c r="U17" s="81"/>
      <c r="V17" s="78"/>
    </row>
    <row r="18" spans="1:22" ht="14.1" customHeight="1" x14ac:dyDescent="0.25">
      <c r="A18" s="355"/>
      <c r="B18" s="75"/>
      <c r="C18" s="365" t="s">
        <v>13153</v>
      </c>
      <c r="D18" s="366"/>
      <c r="E18" s="366"/>
      <c r="F18" s="367" t="str">
        <f>VLOOKUP(S18,Sucursales!A:B,2,FALSE)</f>
        <v>PASO DEL REY</v>
      </c>
      <c r="G18" s="367"/>
      <c r="H18" s="367"/>
      <c r="I18" s="367"/>
      <c r="J18" s="367"/>
      <c r="K18" s="367"/>
      <c r="L18" s="367"/>
      <c r="M18" s="367"/>
      <c r="N18" s="79"/>
      <c r="O18" s="368" t="s">
        <v>7958</v>
      </c>
      <c r="P18" s="368"/>
      <c r="Q18" s="368"/>
      <c r="R18" s="368"/>
      <c r="S18" s="369" t="s">
        <v>8330</v>
      </c>
      <c r="T18" s="369"/>
      <c r="U18" s="370"/>
      <c r="V18" s="78"/>
    </row>
    <row r="19" spans="1:22" ht="14.1" customHeight="1" x14ac:dyDescent="0.25">
      <c r="A19" s="355"/>
      <c r="B19" s="75"/>
      <c r="C19" s="371" t="s">
        <v>13154</v>
      </c>
      <c r="D19" s="372"/>
      <c r="E19" s="372"/>
      <c r="F19" s="367"/>
      <c r="G19" s="367"/>
      <c r="H19" s="367"/>
      <c r="I19" s="367"/>
      <c r="J19" s="367"/>
      <c r="K19" s="367"/>
      <c r="L19" s="367"/>
      <c r="M19" s="367"/>
      <c r="N19" s="82"/>
      <c r="O19" s="368"/>
      <c r="P19" s="368"/>
      <c r="Q19" s="368"/>
      <c r="R19" s="368"/>
      <c r="S19" s="369"/>
      <c r="T19" s="369"/>
      <c r="U19" s="370"/>
      <c r="V19" s="78"/>
    </row>
    <row r="20" spans="1:22" ht="14.1" customHeight="1" x14ac:dyDescent="0.25">
      <c r="A20" s="355"/>
      <c r="B20" s="75"/>
      <c r="C20" s="373" t="str">
        <f>VLOOKUP(S18,Sucursales!A:G,6,FALSE)</f>
        <v>B1742ZAA</v>
      </c>
      <c r="D20" s="374"/>
      <c r="E20" s="374"/>
      <c r="F20" s="374"/>
      <c r="H20" s="377" t="str">
        <f>VLOOKUP(S18,Sucursales!A:H,7,FALSE)</f>
        <v>PASO DEL REY</v>
      </c>
      <c r="I20" s="377"/>
      <c r="J20" s="377"/>
      <c r="K20" s="377"/>
      <c r="L20" s="377"/>
      <c r="M20" s="377"/>
      <c r="N20" s="377"/>
      <c r="O20" s="377"/>
      <c r="P20" s="377"/>
      <c r="Q20" s="377"/>
      <c r="R20" s="377"/>
      <c r="S20" s="377"/>
      <c r="T20" s="377"/>
      <c r="U20" s="378"/>
      <c r="V20" s="78"/>
    </row>
    <row r="21" spans="1:22" ht="14.1" customHeight="1" x14ac:dyDescent="0.25">
      <c r="A21" s="355"/>
      <c r="B21" s="75"/>
      <c r="C21" s="379" t="str">
        <f>VLOOKUP(S18,Sucursales!A:H,8,FALSE)</f>
        <v>BUENOS AIRES</v>
      </c>
      <c r="D21" s="367"/>
      <c r="E21" s="367"/>
      <c r="F21" s="367"/>
      <c r="G21" s="367"/>
      <c r="H21" s="367"/>
      <c r="I21" s="367"/>
      <c r="J21" s="367"/>
      <c r="K21" s="367"/>
      <c r="L21" s="367"/>
      <c r="M21" s="367"/>
      <c r="N21" s="82"/>
      <c r="O21" s="83"/>
      <c r="P21" s="83"/>
      <c r="Q21" s="84"/>
      <c r="R21" s="84"/>
      <c r="S21" s="84"/>
      <c r="T21" s="84"/>
      <c r="U21" s="85"/>
      <c r="V21" s="78"/>
    </row>
    <row r="22" spans="1:22" ht="14.1" customHeight="1" x14ac:dyDescent="0.25">
      <c r="A22" s="355"/>
      <c r="B22" s="75"/>
      <c r="C22" s="380"/>
      <c r="D22" s="381"/>
      <c r="E22" s="381"/>
      <c r="F22" s="381"/>
      <c r="G22" s="381"/>
      <c r="H22" s="381"/>
      <c r="I22" s="381"/>
      <c r="J22" s="381"/>
      <c r="K22" s="381"/>
      <c r="L22" s="381"/>
      <c r="M22" s="381"/>
      <c r="N22" s="382" t="s">
        <v>13155</v>
      </c>
      <c r="O22" s="382"/>
      <c r="P22" s="382"/>
      <c r="Q22" s="382"/>
      <c r="R22" s="383">
        <v>1164980741</v>
      </c>
      <c r="S22" s="384"/>
      <c r="T22" s="384"/>
      <c r="U22" s="385"/>
      <c r="V22" s="78"/>
    </row>
    <row r="23" spans="1:22" ht="14.1" customHeight="1" thickBot="1" x14ac:dyDescent="0.3">
      <c r="A23" s="356"/>
      <c r="B23" s="86"/>
      <c r="C23" s="87"/>
      <c r="D23" s="87"/>
      <c r="E23" s="87"/>
      <c r="F23" s="87"/>
      <c r="G23" s="87"/>
      <c r="H23" s="87"/>
      <c r="I23" s="87"/>
      <c r="J23" s="87"/>
      <c r="K23" s="87"/>
      <c r="L23" s="87"/>
      <c r="M23" s="87"/>
      <c r="N23" s="87"/>
      <c r="O23" s="87"/>
      <c r="P23" s="87"/>
      <c r="Q23" s="87"/>
      <c r="R23" s="87"/>
      <c r="S23" s="87"/>
      <c r="T23" s="87"/>
      <c r="U23" s="87"/>
      <c r="V23" s="88"/>
    </row>
  </sheetData>
  <sheetProtection password="C68E" sheet="1" objects="1" scenarios="1"/>
  <mergeCells count="31">
    <mergeCell ref="C12:M13"/>
    <mergeCell ref="H20:U20"/>
    <mergeCell ref="C21:M22"/>
    <mergeCell ref="N22:Q22"/>
    <mergeCell ref="R22:U22"/>
    <mergeCell ref="P12:U13"/>
    <mergeCell ref="A15:A23"/>
    <mergeCell ref="C16:N17"/>
    <mergeCell ref="O16:Q16"/>
    <mergeCell ref="R16:U16"/>
    <mergeCell ref="C18:E18"/>
    <mergeCell ref="F18:M19"/>
    <mergeCell ref="O18:R19"/>
    <mergeCell ref="S18:U19"/>
    <mergeCell ref="C19:E19"/>
    <mergeCell ref="C20:F20"/>
    <mergeCell ref="C7:D7"/>
    <mergeCell ref="E7:U7"/>
    <mergeCell ref="A8:V10"/>
    <mergeCell ref="A2:A6"/>
    <mergeCell ref="C2:I2"/>
    <mergeCell ref="Q2:V6"/>
    <mergeCell ref="C3:G3"/>
    <mergeCell ref="H3:J3"/>
    <mergeCell ref="N3:P3"/>
    <mergeCell ref="C4:G4"/>
    <mergeCell ref="H4:J4"/>
    <mergeCell ref="C5:I5"/>
    <mergeCell ref="M5:P5"/>
    <mergeCell ref="C6:I6"/>
    <mergeCell ref="M6:P6"/>
  </mergeCells>
  <pageMargins left="0.25" right="0.25" top="0.75" bottom="0.75" header="0.3" footer="0.3"/>
  <pageSetup paperSize="9" scale="125" orientation="portrait" horizontalDpi="0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5" tint="0.39997558519241921"/>
  </sheetPr>
  <dimension ref="A1:V23"/>
  <sheetViews>
    <sheetView showGridLines="0" zoomScale="130" zoomScaleNormal="130" workbookViewId="0">
      <selection activeCell="C16" sqref="C16:N17"/>
    </sheetView>
  </sheetViews>
  <sheetFormatPr baseColWidth="10" defaultRowHeight="15" x14ac:dyDescent="0.25"/>
  <cols>
    <col min="1" max="1" width="3.7109375" customWidth="1"/>
    <col min="2" max="2" width="1" customWidth="1"/>
    <col min="3" max="22" width="3.7109375" customWidth="1"/>
  </cols>
  <sheetData>
    <row r="1" spans="1:22" ht="15.75" thickBot="1" x14ac:dyDescent="0.3"/>
    <row r="2" spans="1:22" ht="14.1" customHeight="1" x14ac:dyDescent="0.25">
      <c r="A2" s="327" t="s">
        <v>13127</v>
      </c>
      <c r="B2" s="40"/>
      <c r="C2" s="396" t="str">
        <f>+Datos!B4</f>
        <v>RERDA S.A.</v>
      </c>
      <c r="D2" s="397"/>
      <c r="E2" s="397"/>
      <c r="F2" s="397"/>
      <c r="G2" s="397"/>
      <c r="H2" s="398" t="s">
        <v>13156</v>
      </c>
      <c r="I2" s="398"/>
      <c r="J2" s="398"/>
      <c r="K2" s="398"/>
      <c r="L2" s="398"/>
      <c r="M2" s="398"/>
      <c r="N2" s="398"/>
      <c r="O2" s="398"/>
      <c r="P2" s="399"/>
      <c r="Q2" s="332"/>
      <c r="R2" s="333"/>
      <c r="S2" s="333"/>
      <c r="T2" s="333"/>
      <c r="U2" s="333"/>
      <c r="V2" s="334"/>
    </row>
    <row r="3" spans="1:22" ht="14.1" customHeight="1" x14ac:dyDescent="0.25">
      <c r="A3" s="328"/>
      <c r="B3" s="43"/>
      <c r="C3" s="341" t="str">
        <f>+Datos!B6</f>
        <v>San Martín</v>
      </c>
      <c r="D3" s="342"/>
      <c r="E3" s="342"/>
      <c r="F3" s="342"/>
      <c r="G3" s="342"/>
      <c r="H3" s="342">
        <f>+Datos!B7</f>
        <v>1665</v>
      </c>
      <c r="I3" s="342"/>
      <c r="J3" s="342"/>
      <c r="K3" s="44"/>
      <c r="M3" s="45"/>
      <c r="N3" s="343" t="str">
        <f>+Datos!B8</f>
        <v>Mendoza</v>
      </c>
      <c r="O3" s="343"/>
      <c r="P3" s="344"/>
      <c r="Q3" s="335"/>
      <c r="R3" s="336"/>
      <c r="S3" s="336"/>
      <c r="T3" s="336"/>
      <c r="U3" s="336"/>
      <c r="V3" s="337"/>
    </row>
    <row r="4" spans="1:22" ht="14.1" customHeight="1" x14ac:dyDescent="0.25">
      <c r="A4" s="328"/>
      <c r="B4" s="43"/>
      <c r="C4" s="345" t="str">
        <f>+Datos!B9</f>
        <v>Mendoza</v>
      </c>
      <c r="D4" s="343"/>
      <c r="E4" s="343"/>
      <c r="F4" s="343"/>
      <c r="G4" s="343"/>
      <c r="H4" s="343">
        <f>+Datos!B10</f>
        <v>5500</v>
      </c>
      <c r="I4" s="343"/>
      <c r="J4" s="343"/>
      <c r="K4" s="44"/>
      <c r="L4" s="44"/>
      <c r="M4" s="44"/>
      <c r="N4" s="44"/>
      <c r="O4" s="44"/>
      <c r="P4" s="46"/>
      <c r="Q4" s="335"/>
      <c r="R4" s="336"/>
      <c r="S4" s="336"/>
      <c r="T4" s="336"/>
      <c r="U4" s="336"/>
      <c r="V4" s="337"/>
    </row>
    <row r="5" spans="1:22" ht="14.1" customHeight="1" x14ac:dyDescent="0.25">
      <c r="A5" s="328"/>
      <c r="B5" s="43"/>
      <c r="C5" s="346" t="str">
        <f>+Datos!B11</f>
        <v>ventas@rerda.com</v>
      </c>
      <c r="D5" s="347"/>
      <c r="E5" s="347"/>
      <c r="F5" s="347"/>
      <c r="G5" s="347"/>
      <c r="H5" s="347"/>
      <c r="I5" s="347"/>
      <c r="J5" s="47"/>
      <c r="K5" s="47"/>
      <c r="L5" s="48" t="s">
        <v>13128</v>
      </c>
      <c r="M5" s="348">
        <f>+Datos!B5</f>
        <v>30535195869</v>
      </c>
      <c r="N5" s="348"/>
      <c r="O5" s="348"/>
      <c r="P5" s="349"/>
      <c r="Q5" s="335"/>
      <c r="R5" s="336"/>
      <c r="S5" s="336"/>
      <c r="T5" s="336"/>
      <c r="U5" s="336"/>
      <c r="V5" s="337"/>
    </row>
    <row r="6" spans="1:22" ht="14.1" customHeight="1" x14ac:dyDescent="0.25">
      <c r="A6" s="329"/>
      <c r="B6" s="49"/>
      <c r="C6" s="350" t="str">
        <f>+Datos!B12</f>
        <v>0261-4256567 | +549 2615117948</v>
      </c>
      <c r="D6" s="351"/>
      <c r="E6" s="351"/>
      <c r="F6" s="351"/>
      <c r="G6" s="351"/>
      <c r="H6" s="351"/>
      <c r="I6" s="351"/>
      <c r="J6" s="50"/>
      <c r="K6" s="50"/>
      <c r="L6" s="51" t="s">
        <v>13129</v>
      </c>
      <c r="M6" s="352">
        <f>+Datos!B3</f>
        <v>20355</v>
      </c>
      <c r="N6" s="352"/>
      <c r="O6" s="352"/>
      <c r="P6" s="353"/>
      <c r="Q6" s="338"/>
      <c r="R6" s="339"/>
      <c r="S6" s="339"/>
      <c r="T6" s="339"/>
      <c r="U6" s="339"/>
      <c r="V6" s="340"/>
    </row>
    <row r="7" spans="1:22" ht="14.1" customHeight="1" x14ac:dyDescent="0.25">
      <c r="A7" s="52"/>
      <c r="B7" s="53"/>
      <c r="C7" s="316" t="s">
        <v>13130</v>
      </c>
      <c r="D7" s="316"/>
      <c r="E7" s="283" t="str">
        <f>IF(Planilla!W2="","¿…?",Planilla!W2)</f>
        <v>ELE</v>
      </c>
      <c r="F7" s="283"/>
      <c r="G7" s="283"/>
      <c r="H7" s="283"/>
      <c r="I7" s="283"/>
      <c r="J7" s="283"/>
      <c r="K7" s="283"/>
      <c r="L7" s="283"/>
      <c r="M7" s="283"/>
      <c r="N7" s="283"/>
      <c r="O7" s="283"/>
      <c r="P7" s="283"/>
      <c r="Q7" s="283"/>
      <c r="R7" s="283"/>
      <c r="S7" s="283"/>
      <c r="T7" s="283"/>
      <c r="U7" s="283"/>
      <c r="V7" s="54"/>
    </row>
    <row r="8" spans="1:22" ht="14.1" customHeight="1" x14ac:dyDescent="0.25">
      <c r="A8" s="387" t="s">
        <v>13157</v>
      </c>
      <c r="B8" s="388"/>
      <c r="C8" s="388"/>
      <c r="D8" s="388"/>
      <c r="E8" s="388"/>
      <c r="F8" s="388"/>
      <c r="G8" s="388"/>
      <c r="H8" s="388"/>
      <c r="I8" s="388"/>
      <c r="J8" s="388"/>
      <c r="K8" s="388"/>
      <c r="L8" s="388"/>
      <c r="M8" s="388"/>
      <c r="N8" s="388"/>
      <c r="O8" s="388"/>
      <c r="P8" s="388"/>
      <c r="Q8" s="388"/>
      <c r="R8" s="388"/>
      <c r="S8" s="388"/>
      <c r="T8" s="388"/>
      <c r="U8" s="388"/>
      <c r="V8" s="389"/>
    </row>
    <row r="9" spans="1:22" ht="14.1" customHeight="1" x14ac:dyDescent="0.25">
      <c r="A9" s="390"/>
      <c r="B9" s="391"/>
      <c r="C9" s="391"/>
      <c r="D9" s="391"/>
      <c r="E9" s="391"/>
      <c r="F9" s="391"/>
      <c r="G9" s="391"/>
      <c r="H9" s="391"/>
      <c r="I9" s="391"/>
      <c r="J9" s="391"/>
      <c r="K9" s="391"/>
      <c r="L9" s="391"/>
      <c r="M9" s="391"/>
      <c r="N9" s="391"/>
      <c r="O9" s="391"/>
      <c r="P9" s="391"/>
      <c r="Q9" s="391"/>
      <c r="R9" s="391"/>
      <c r="S9" s="391"/>
      <c r="T9" s="391"/>
      <c r="U9" s="391"/>
      <c r="V9" s="392"/>
    </row>
    <row r="10" spans="1:22" ht="14.1" customHeight="1" x14ac:dyDescent="0.25">
      <c r="A10" s="393"/>
      <c r="B10" s="394"/>
      <c r="C10" s="394"/>
      <c r="D10" s="394"/>
      <c r="E10" s="394"/>
      <c r="F10" s="394"/>
      <c r="G10" s="394"/>
      <c r="H10" s="394"/>
      <c r="I10" s="394"/>
      <c r="J10" s="394"/>
      <c r="K10" s="394"/>
      <c r="L10" s="394"/>
      <c r="M10" s="394"/>
      <c r="N10" s="394"/>
      <c r="O10" s="394"/>
      <c r="P10" s="394"/>
      <c r="Q10" s="394"/>
      <c r="R10" s="394"/>
      <c r="S10" s="394"/>
      <c r="T10" s="394"/>
      <c r="U10" s="394"/>
      <c r="V10" s="395"/>
    </row>
    <row r="11" spans="1:22" ht="14.1" customHeight="1" x14ac:dyDescent="0.25">
      <c r="A11" s="55"/>
      <c r="B11" s="56"/>
      <c r="C11" s="57"/>
      <c r="D11" s="57"/>
      <c r="E11" s="57"/>
      <c r="F11" s="57"/>
      <c r="G11" s="57"/>
      <c r="H11" s="57"/>
      <c r="I11" s="57"/>
      <c r="J11" s="57"/>
      <c r="K11" s="58"/>
      <c r="L11" s="58"/>
      <c r="M11" s="59"/>
      <c r="N11" s="59"/>
      <c r="O11" s="59"/>
      <c r="P11" s="59"/>
      <c r="Q11" s="59"/>
      <c r="R11" s="59"/>
      <c r="S11" s="59"/>
      <c r="T11" s="59"/>
      <c r="U11" s="59"/>
      <c r="V11" s="60"/>
    </row>
    <row r="12" spans="1:22" ht="14.1" customHeight="1" x14ac:dyDescent="0.25">
      <c r="A12" s="89"/>
      <c r="B12" s="90"/>
      <c r="C12" s="400" t="s">
        <v>13158</v>
      </c>
      <c r="D12" s="400"/>
      <c r="E12" s="400"/>
      <c r="F12" s="400"/>
      <c r="G12" s="400"/>
      <c r="H12" s="400"/>
      <c r="I12" s="400"/>
      <c r="J12" s="400"/>
      <c r="K12" s="400"/>
      <c r="L12" s="400"/>
      <c r="M12" s="400"/>
      <c r="N12" s="401"/>
      <c r="O12" s="64"/>
      <c r="P12" s="386" t="s">
        <v>13152</v>
      </c>
      <c r="Q12" s="386"/>
      <c r="R12" s="386"/>
      <c r="S12" s="386"/>
      <c r="T12" s="386"/>
      <c r="U12" s="386"/>
      <c r="V12" s="65"/>
    </row>
    <row r="13" spans="1:22" ht="14.1" customHeight="1" x14ac:dyDescent="0.25">
      <c r="A13" s="91"/>
      <c r="B13" s="92"/>
      <c r="C13" s="402"/>
      <c r="D13" s="402"/>
      <c r="E13" s="402"/>
      <c r="F13" s="402"/>
      <c r="G13" s="402"/>
      <c r="H13" s="402"/>
      <c r="I13" s="402"/>
      <c r="J13" s="402"/>
      <c r="K13" s="402"/>
      <c r="L13" s="402"/>
      <c r="M13" s="402"/>
      <c r="N13" s="403"/>
      <c r="O13" s="64"/>
      <c r="P13" s="386"/>
      <c r="Q13" s="386"/>
      <c r="R13" s="386"/>
      <c r="S13" s="386"/>
      <c r="T13" s="386"/>
      <c r="U13" s="386"/>
      <c r="V13" s="65"/>
    </row>
    <row r="14" spans="1:22" ht="14.1" customHeight="1" x14ac:dyDescent="0.25">
      <c r="A14" s="69"/>
      <c r="B14" s="70"/>
      <c r="C14" s="71"/>
      <c r="D14" s="72"/>
      <c r="E14" s="73"/>
      <c r="F14" s="73"/>
      <c r="G14" s="73"/>
      <c r="H14" s="73"/>
      <c r="I14" s="73"/>
      <c r="J14" s="73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4"/>
    </row>
    <row r="15" spans="1:22" ht="14.1" customHeight="1" x14ac:dyDescent="0.25">
      <c r="A15" s="404" t="s">
        <v>13132</v>
      </c>
      <c r="B15" s="93"/>
      <c r="C15" s="94"/>
      <c r="D15" s="95"/>
      <c r="E15" s="95"/>
      <c r="F15" s="95"/>
      <c r="G15" s="95"/>
      <c r="H15" s="95"/>
      <c r="I15" s="95"/>
      <c r="J15" s="95"/>
      <c r="K15" s="95"/>
      <c r="L15" s="95"/>
      <c r="M15" s="95"/>
      <c r="N15" s="95"/>
      <c r="O15" s="95"/>
      <c r="P15" s="95"/>
      <c r="Q15" s="95"/>
      <c r="R15" s="95"/>
      <c r="S15" s="95"/>
      <c r="T15" s="95"/>
      <c r="U15" s="95"/>
      <c r="V15" s="96"/>
    </row>
    <row r="16" spans="1:22" ht="14.1" customHeight="1" x14ac:dyDescent="0.25">
      <c r="A16" s="405"/>
      <c r="B16" s="93"/>
      <c r="C16" s="407"/>
      <c r="D16" s="408"/>
      <c r="E16" s="408"/>
      <c r="F16" s="408"/>
      <c r="G16" s="408"/>
      <c r="H16" s="408"/>
      <c r="I16" s="408"/>
      <c r="J16" s="408"/>
      <c r="K16" s="408"/>
      <c r="L16" s="408"/>
      <c r="M16" s="408"/>
      <c r="N16" s="408"/>
      <c r="O16" s="361" t="s">
        <v>13133</v>
      </c>
      <c r="P16" s="361"/>
      <c r="Q16" s="361"/>
      <c r="R16" s="411">
        <v>32456987</v>
      </c>
      <c r="S16" s="363"/>
      <c r="T16" s="363"/>
      <c r="U16" s="364"/>
      <c r="V16" s="96"/>
    </row>
    <row r="17" spans="1:22" ht="14.1" customHeight="1" x14ac:dyDescent="0.25">
      <c r="A17" s="405"/>
      <c r="B17" s="93"/>
      <c r="C17" s="409"/>
      <c r="D17" s="410"/>
      <c r="E17" s="410"/>
      <c r="F17" s="410"/>
      <c r="G17" s="410"/>
      <c r="H17" s="410"/>
      <c r="I17" s="410"/>
      <c r="J17" s="410"/>
      <c r="K17" s="410"/>
      <c r="L17" s="410"/>
      <c r="M17" s="410"/>
      <c r="N17" s="410"/>
      <c r="O17" s="79"/>
      <c r="P17" s="80"/>
      <c r="Q17" s="80"/>
      <c r="R17" s="80"/>
      <c r="S17" s="80"/>
      <c r="T17" s="80"/>
      <c r="U17" s="81"/>
      <c r="V17" s="96"/>
    </row>
    <row r="18" spans="1:22" ht="14.1" customHeight="1" x14ac:dyDescent="0.25">
      <c r="A18" s="405"/>
      <c r="B18" s="93"/>
      <c r="C18" s="379" t="s">
        <v>13159</v>
      </c>
      <c r="D18" s="367"/>
      <c r="E18" s="367"/>
      <c r="F18" s="367" t="str">
        <f>VLOOKUP(S18,Sucursales!A:B,2,FALSE)</f>
        <v>RIO GRANDE</v>
      </c>
      <c r="G18" s="367"/>
      <c r="H18" s="367"/>
      <c r="I18" s="367"/>
      <c r="J18" s="367"/>
      <c r="K18" s="367"/>
      <c r="L18" s="367"/>
      <c r="M18" s="367"/>
      <c r="N18" s="79"/>
      <c r="O18" s="368" t="s">
        <v>7958</v>
      </c>
      <c r="P18" s="368"/>
      <c r="Q18" s="368"/>
      <c r="R18" s="368"/>
      <c r="S18" s="369" t="s">
        <v>12982</v>
      </c>
      <c r="T18" s="369"/>
      <c r="U18" s="370"/>
      <c r="V18" s="96"/>
    </row>
    <row r="19" spans="1:22" ht="14.1" customHeight="1" x14ac:dyDescent="0.25">
      <c r="A19" s="405"/>
      <c r="B19" s="93"/>
      <c r="C19" s="379"/>
      <c r="D19" s="367"/>
      <c r="E19" s="367"/>
      <c r="F19" s="367"/>
      <c r="G19" s="367"/>
      <c r="H19" s="367"/>
      <c r="I19" s="367"/>
      <c r="J19" s="367"/>
      <c r="K19" s="367"/>
      <c r="L19" s="367"/>
      <c r="M19" s="367"/>
      <c r="N19" s="82"/>
      <c r="O19" s="368"/>
      <c r="P19" s="368"/>
      <c r="Q19" s="368"/>
      <c r="R19" s="368"/>
      <c r="S19" s="369"/>
      <c r="T19" s="369"/>
      <c r="U19" s="370"/>
      <c r="V19" s="96"/>
    </row>
    <row r="20" spans="1:22" ht="14.1" customHeight="1" x14ac:dyDescent="0.25">
      <c r="A20" s="405"/>
      <c r="B20" s="93"/>
      <c r="C20" s="373" t="str">
        <f>VLOOKUP(S18,Sucursales!A:G,6,FALSE)</f>
        <v>V9420ZAA</v>
      </c>
      <c r="D20" s="374"/>
      <c r="E20" s="374"/>
      <c r="F20" s="374"/>
      <c r="H20" s="377" t="str">
        <f>VLOOKUP(S18,Sucursales!A:H,7,FALSE)</f>
        <v>RIO GRANDE</v>
      </c>
      <c r="I20" s="377"/>
      <c r="J20" s="377"/>
      <c r="K20" s="377"/>
      <c r="L20" s="377"/>
      <c r="M20" s="377"/>
      <c r="N20" s="377"/>
      <c r="O20" s="377"/>
      <c r="P20" s="377"/>
      <c r="Q20" s="377"/>
      <c r="R20" s="377"/>
      <c r="S20" s="377"/>
      <c r="T20" s="377"/>
      <c r="U20" s="378"/>
      <c r="V20" s="96"/>
    </row>
    <row r="21" spans="1:22" ht="14.1" customHeight="1" x14ac:dyDescent="0.25">
      <c r="A21" s="405"/>
      <c r="B21" s="93"/>
      <c r="C21" s="379" t="str">
        <f>VLOOKUP(S18,Sucursales!A:H,8,FALSE)</f>
        <v>TIERRA DEL FUEGO</v>
      </c>
      <c r="D21" s="367"/>
      <c r="E21" s="367"/>
      <c r="F21" s="367"/>
      <c r="G21" s="367"/>
      <c r="H21" s="367"/>
      <c r="I21" s="367"/>
      <c r="J21" s="367"/>
      <c r="K21" s="367"/>
      <c r="L21" s="367"/>
      <c r="M21" s="367"/>
      <c r="N21" s="82"/>
      <c r="O21" s="83"/>
      <c r="P21" s="83"/>
      <c r="Q21" s="84"/>
      <c r="R21" s="84"/>
      <c r="S21" s="84"/>
      <c r="T21" s="84"/>
      <c r="U21" s="85"/>
      <c r="V21" s="96"/>
    </row>
    <row r="22" spans="1:22" ht="14.1" customHeight="1" x14ac:dyDescent="0.25">
      <c r="A22" s="405"/>
      <c r="B22" s="93"/>
      <c r="C22" s="380"/>
      <c r="D22" s="381"/>
      <c r="E22" s="381"/>
      <c r="F22" s="381"/>
      <c r="G22" s="381"/>
      <c r="H22" s="381"/>
      <c r="I22" s="381"/>
      <c r="J22" s="381"/>
      <c r="K22" s="381"/>
      <c r="L22" s="381"/>
      <c r="M22" s="381"/>
      <c r="N22" s="382" t="s">
        <v>13155</v>
      </c>
      <c r="O22" s="382"/>
      <c r="P22" s="382"/>
      <c r="Q22" s="382"/>
      <c r="R22" s="412">
        <v>5493514882213</v>
      </c>
      <c r="S22" s="384"/>
      <c r="T22" s="384"/>
      <c r="U22" s="385"/>
      <c r="V22" s="96"/>
    </row>
    <row r="23" spans="1:22" ht="14.1" customHeight="1" thickBot="1" x14ac:dyDescent="0.3">
      <c r="A23" s="406"/>
      <c r="B23" s="97"/>
      <c r="C23" s="98"/>
      <c r="D23" s="98"/>
      <c r="E23" s="98"/>
      <c r="F23" s="98"/>
      <c r="G23" s="98"/>
      <c r="H23" s="98"/>
      <c r="I23" s="98"/>
      <c r="J23" s="98"/>
      <c r="K23" s="98"/>
      <c r="L23" s="98"/>
      <c r="M23" s="98"/>
      <c r="N23" s="98"/>
      <c r="O23" s="98"/>
      <c r="P23" s="98"/>
      <c r="Q23" s="98"/>
      <c r="R23" s="98"/>
      <c r="S23" s="98"/>
      <c r="T23" s="98"/>
      <c r="U23" s="98"/>
      <c r="V23" s="99"/>
    </row>
  </sheetData>
  <sheetProtection password="C68E" sheet="1" objects="1" scenarios="1"/>
  <mergeCells count="31">
    <mergeCell ref="C12:N13"/>
    <mergeCell ref="P12:U13"/>
    <mergeCell ref="A15:A23"/>
    <mergeCell ref="C16:N17"/>
    <mergeCell ref="O16:Q16"/>
    <mergeCell ref="R16:U16"/>
    <mergeCell ref="C18:E19"/>
    <mergeCell ref="F18:M19"/>
    <mergeCell ref="O18:R19"/>
    <mergeCell ref="S18:U19"/>
    <mergeCell ref="C20:F20"/>
    <mergeCell ref="H20:U20"/>
    <mergeCell ref="C21:M22"/>
    <mergeCell ref="N22:Q22"/>
    <mergeCell ref="R22:U22"/>
    <mergeCell ref="A8:V10"/>
    <mergeCell ref="A2:A6"/>
    <mergeCell ref="C2:G2"/>
    <mergeCell ref="H2:P2"/>
    <mergeCell ref="Q2:V6"/>
    <mergeCell ref="C3:G3"/>
    <mergeCell ref="H3:J3"/>
    <mergeCell ref="N3:P3"/>
    <mergeCell ref="C4:G4"/>
    <mergeCell ref="H4:J4"/>
    <mergeCell ref="C5:I5"/>
    <mergeCell ref="M5:P5"/>
    <mergeCell ref="C6:I6"/>
    <mergeCell ref="M6:P6"/>
    <mergeCell ref="C7:D7"/>
    <mergeCell ref="E7:U7"/>
  </mergeCells>
  <pageMargins left="0.25" right="0.25" top="0.75" bottom="0.75" header="0.3" footer="0.3"/>
  <pageSetup paperSize="9" scale="124"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theme="9" tint="-0.249977111117893"/>
  </sheetPr>
  <dimension ref="A1:V25"/>
  <sheetViews>
    <sheetView showGridLines="0" zoomScale="140" zoomScaleNormal="140" workbookViewId="0">
      <selection activeCell="AA17" sqref="AA17"/>
    </sheetView>
  </sheetViews>
  <sheetFormatPr baseColWidth="10" defaultRowHeight="15" x14ac:dyDescent="0.25"/>
  <cols>
    <col min="1" max="1" width="3.7109375" style="104" customWidth="1"/>
    <col min="2" max="2" width="1" style="104" customWidth="1"/>
    <col min="3" max="22" width="3.7109375" style="104" customWidth="1"/>
    <col min="23" max="16384" width="11.42578125" style="104"/>
  </cols>
  <sheetData>
    <row r="1" spans="1:22" ht="14.1" customHeight="1" thickBot="1" x14ac:dyDescent="0.3"/>
    <row r="2" spans="1:22" ht="14.1" customHeight="1" x14ac:dyDescent="0.25">
      <c r="A2" s="413"/>
      <c r="B2" s="414"/>
      <c r="C2" s="414"/>
      <c r="D2" s="414"/>
      <c r="E2" s="414"/>
      <c r="F2" s="414"/>
      <c r="G2" s="414"/>
      <c r="H2" s="414"/>
      <c r="I2" s="414"/>
      <c r="J2" s="414"/>
      <c r="K2" s="414"/>
      <c r="L2" s="414"/>
      <c r="M2" s="414"/>
      <c r="N2" s="414"/>
      <c r="O2" s="414"/>
      <c r="P2" s="414"/>
      <c r="Q2" s="414"/>
      <c r="R2" s="414"/>
      <c r="S2" s="414"/>
      <c r="T2" s="414"/>
      <c r="U2" s="414"/>
      <c r="V2" s="415"/>
    </row>
    <row r="3" spans="1:22" ht="14.1" customHeight="1" x14ac:dyDescent="0.25">
      <c r="A3" s="416"/>
      <c r="B3" s="417"/>
      <c r="C3" s="417"/>
      <c r="D3" s="417"/>
      <c r="E3" s="417"/>
      <c r="F3" s="417"/>
      <c r="G3" s="417"/>
      <c r="H3" s="417"/>
      <c r="I3" s="417"/>
      <c r="J3" s="417"/>
      <c r="K3" s="417"/>
      <c r="L3" s="417"/>
      <c r="M3" s="417"/>
      <c r="N3" s="417"/>
      <c r="O3" s="417"/>
      <c r="P3" s="417"/>
      <c r="Q3" s="417"/>
      <c r="R3" s="417"/>
      <c r="S3" s="417"/>
      <c r="T3" s="417"/>
      <c r="U3" s="417"/>
      <c r="V3" s="418"/>
    </row>
    <row r="4" spans="1:22" ht="14.1" customHeight="1" x14ac:dyDescent="0.25">
      <c r="A4" s="416"/>
      <c r="B4" s="417"/>
      <c r="C4" s="417"/>
      <c r="D4" s="417"/>
      <c r="E4" s="417"/>
      <c r="F4" s="417"/>
      <c r="G4" s="417"/>
      <c r="H4" s="417"/>
      <c r="I4" s="417"/>
      <c r="J4" s="417"/>
      <c r="K4" s="417"/>
      <c r="L4" s="417"/>
      <c r="M4" s="417"/>
      <c r="N4" s="417"/>
      <c r="O4" s="417"/>
      <c r="P4" s="417"/>
      <c r="Q4" s="417"/>
      <c r="R4" s="417"/>
      <c r="S4" s="417"/>
      <c r="T4" s="417"/>
      <c r="U4" s="417"/>
      <c r="V4" s="418"/>
    </row>
    <row r="5" spans="1:22" ht="14.1" customHeight="1" x14ac:dyDescent="0.25">
      <c r="A5" s="416"/>
      <c r="B5" s="417"/>
      <c r="C5" s="417"/>
      <c r="D5" s="417"/>
      <c r="E5" s="417"/>
      <c r="F5" s="417"/>
      <c r="G5" s="417"/>
      <c r="H5" s="417"/>
      <c r="I5" s="417"/>
      <c r="J5" s="417"/>
      <c r="K5" s="417"/>
      <c r="L5" s="417"/>
      <c r="M5" s="417"/>
      <c r="N5" s="417"/>
      <c r="O5" s="417"/>
      <c r="P5" s="417"/>
      <c r="Q5" s="417"/>
      <c r="R5" s="417"/>
      <c r="S5" s="417"/>
      <c r="T5" s="417"/>
      <c r="U5" s="417"/>
      <c r="V5" s="418"/>
    </row>
    <row r="6" spans="1:22" ht="14.1" customHeight="1" x14ac:dyDescent="0.25">
      <c r="A6" s="419"/>
      <c r="B6" s="420"/>
      <c r="C6" s="420"/>
      <c r="D6" s="420"/>
      <c r="E6" s="420"/>
      <c r="F6" s="420"/>
      <c r="G6" s="420"/>
      <c r="H6" s="420"/>
      <c r="I6" s="420"/>
      <c r="J6" s="420"/>
      <c r="K6" s="420"/>
      <c r="L6" s="420"/>
      <c r="M6" s="420"/>
      <c r="N6" s="420"/>
      <c r="O6" s="420"/>
      <c r="P6" s="420"/>
      <c r="Q6" s="420"/>
      <c r="R6" s="420"/>
      <c r="S6" s="420"/>
      <c r="T6" s="420"/>
      <c r="U6" s="420"/>
      <c r="V6" s="421"/>
    </row>
    <row r="7" spans="1:22" ht="14.1" customHeight="1" x14ac:dyDescent="0.25">
      <c r="A7" s="138"/>
      <c r="B7" s="139"/>
      <c r="C7" s="317" t="s">
        <v>13130</v>
      </c>
      <c r="D7" s="317"/>
      <c r="E7" s="317" t="str">
        <f>IF(Planilla!W2="","¿…?",Planilla!W2)</f>
        <v>ELE</v>
      </c>
      <c r="F7" s="317"/>
      <c r="G7" s="317"/>
      <c r="H7" s="317"/>
      <c r="I7" s="317"/>
      <c r="J7" s="317"/>
      <c r="K7" s="317"/>
      <c r="L7" s="317"/>
      <c r="M7" s="317"/>
      <c r="N7" s="317"/>
      <c r="O7" s="317"/>
      <c r="P7" s="317"/>
      <c r="Q7" s="317"/>
      <c r="R7" s="317"/>
      <c r="S7" s="317"/>
      <c r="T7" s="317"/>
      <c r="U7" s="317"/>
      <c r="V7" s="140"/>
    </row>
    <row r="8" spans="1:22" ht="14.1" customHeight="1" x14ac:dyDescent="0.25">
      <c r="A8" s="429" t="s">
        <v>13404</v>
      </c>
      <c r="B8" s="430"/>
      <c r="C8" s="430"/>
      <c r="D8" s="430"/>
      <c r="E8" s="430"/>
      <c r="F8" s="430"/>
      <c r="G8" s="430"/>
      <c r="H8" s="430"/>
      <c r="I8" s="430"/>
      <c r="J8" s="430"/>
      <c r="K8" s="430"/>
      <c r="L8" s="430"/>
      <c r="M8" s="430"/>
      <c r="N8" s="430"/>
      <c r="O8" s="430"/>
      <c r="P8" s="430"/>
      <c r="Q8" s="430"/>
      <c r="R8" s="430"/>
      <c r="S8" s="430"/>
      <c r="T8" s="430"/>
      <c r="U8" s="430"/>
      <c r="V8" s="431"/>
    </row>
    <row r="9" spans="1:22" ht="14.1" customHeight="1" x14ac:dyDescent="0.25">
      <c r="A9" s="432"/>
      <c r="B9" s="433"/>
      <c r="C9" s="433"/>
      <c r="D9" s="433"/>
      <c r="E9" s="433"/>
      <c r="F9" s="433"/>
      <c r="G9" s="433"/>
      <c r="H9" s="433"/>
      <c r="I9" s="433"/>
      <c r="J9" s="433"/>
      <c r="K9" s="433"/>
      <c r="L9" s="433"/>
      <c r="M9" s="433"/>
      <c r="N9" s="433"/>
      <c r="O9" s="433"/>
      <c r="P9" s="433"/>
      <c r="Q9" s="433"/>
      <c r="R9" s="433"/>
      <c r="S9" s="433"/>
      <c r="T9" s="433"/>
      <c r="U9" s="433"/>
      <c r="V9" s="434"/>
    </row>
    <row r="10" spans="1:22" ht="14.1" customHeight="1" x14ac:dyDescent="0.25">
      <c r="A10" s="435"/>
      <c r="B10" s="436"/>
      <c r="C10" s="436"/>
      <c r="D10" s="436"/>
      <c r="E10" s="436"/>
      <c r="F10" s="436"/>
      <c r="G10" s="436"/>
      <c r="H10" s="436"/>
      <c r="I10" s="436"/>
      <c r="J10" s="436"/>
      <c r="K10" s="436"/>
      <c r="L10" s="436"/>
      <c r="M10" s="436"/>
      <c r="N10" s="436"/>
      <c r="O10" s="436"/>
      <c r="P10" s="436"/>
      <c r="Q10" s="436"/>
      <c r="R10" s="436"/>
      <c r="S10" s="436"/>
      <c r="T10" s="436"/>
      <c r="U10" s="436"/>
      <c r="V10" s="437"/>
    </row>
    <row r="11" spans="1:22" ht="4.5" customHeight="1" x14ac:dyDescent="0.25">
      <c r="A11" s="162"/>
      <c r="B11" s="141"/>
      <c r="C11" s="142"/>
      <c r="D11" s="142"/>
      <c r="E11" s="142"/>
      <c r="F11" s="142"/>
      <c r="G11" s="142"/>
      <c r="H11" s="142"/>
      <c r="I11" s="142"/>
      <c r="J11" s="142"/>
      <c r="K11" s="143"/>
      <c r="L11" s="143"/>
      <c r="M11" s="144"/>
      <c r="N11" s="144"/>
      <c r="O11" s="144"/>
      <c r="P11" s="144"/>
      <c r="Q11" s="144"/>
      <c r="R11" s="144"/>
      <c r="S11" s="144"/>
      <c r="T11" s="144"/>
      <c r="U11" s="144"/>
      <c r="V11" s="145"/>
    </row>
    <row r="12" spans="1:22" ht="4.5" customHeight="1" x14ac:dyDescent="0.25">
      <c r="A12" s="163"/>
      <c r="B12" s="161"/>
      <c r="C12" s="438"/>
      <c r="D12" s="438"/>
      <c r="E12" s="438"/>
      <c r="F12" s="438"/>
      <c r="G12" s="438"/>
      <c r="H12" s="438"/>
      <c r="I12" s="438"/>
      <c r="J12" s="438"/>
      <c r="K12" s="438"/>
      <c r="L12" s="438"/>
      <c r="M12" s="438"/>
      <c r="N12" s="438"/>
      <c r="O12" s="160"/>
      <c r="P12" s="439"/>
      <c r="Q12" s="439"/>
      <c r="R12" s="439"/>
      <c r="S12" s="439"/>
      <c r="T12" s="439"/>
      <c r="U12" s="439"/>
      <c r="V12" s="159"/>
    </row>
    <row r="13" spans="1:22" ht="4.5" customHeight="1" x14ac:dyDescent="0.25">
      <c r="A13" s="163"/>
      <c r="B13" s="161"/>
      <c r="C13" s="438"/>
      <c r="D13" s="438"/>
      <c r="E13" s="438"/>
      <c r="F13" s="438"/>
      <c r="G13" s="438"/>
      <c r="H13" s="438"/>
      <c r="I13" s="438"/>
      <c r="J13" s="438"/>
      <c r="K13" s="438"/>
      <c r="L13" s="438"/>
      <c r="M13" s="438"/>
      <c r="N13" s="438"/>
      <c r="O13" s="160"/>
      <c r="P13" s="439"/>
      <c r="Q13" s="439"/>
      <c r="R13" s="439"/>
      <c r="S13" s="439"/>
      <c r="T13" s="439"/>
      <c r="U13" s="439"/>
      <c r="V13" s="159"/>
    </row>
    <row r="14" spans="1:22" ht="14.1" customHeight="1" x14ac:dyDescent="0.25">
      <c r="A14" s="146"/>
      <c r="B14" s="147"/>
      <c r="C14" s="148"/>
      <c r="D14" s="149"/>
      <c r="E14" s="150"/>
      <c r="F14" s="150"/>
      <c r="G14" s="150"/>
      <c r="H14" s="150"/>
      <c r="I14" s="150"/>
      <c r="J14" s="150"/>
      <c r="K14" s="150"/>
      <c r="L14" s="150"/>
      <c r="M14" s="150"/>
      <c r="N14" s="150"/>
      <c r="O14" s="150"/>
      <c r="P14" s="150"/>
      <c r="Q14" s="150"/>
      <c r="R14" s="150"/>
      <c r="S14" s="150"/>
      <c r="T14" s="150"/>
      <c r="U14" s="150"/>
      <c r="V14" s="151"/>
    </row>
    <row r="15" spans="1:22" ht="14.1" customHeight="1" x14ac:dyDescent="0.25">
      <c r="A15" s="422"/>
      <c r="B15" s="168"/>
      <c r="C15" s="166"/>
      <c r="D15" s="167"/>
      <c r="E15" s="167"/>
      <c r="F15" s="167"/>
      <c r="G15" s="167"/>
      <c r="H15" s="167"/>
      <c r="I15" s="167"/>
      <c r="J15" s="167"/>
      <c r="K15" s="167"/>
      <c r="L15" s="167"/>
      <c r="M15" s="167"/>
      <c r="N15" s="167"/>
      <c r="O15" s="167"/>
      <c r="P15" s="167"/>
      <c r="Q15" s="167"/>
      <c r="R15" s="167"/>
      <c r="S15" s="167"/>
      <c r="T15" s="167"/>
      <c r="U15" s="167"/>
      <c r="V15" s="164"/>
    </row>
    <row r="16" spans="1:22" ht="14.1" customHeight="1" x14ac:dyDescent="0.25">
      <c r="A16" s="423"/>
      <c r="B16" s="168"/>
      <c r="C16" s="357" t="s">
        <v>13937</v>
      </c>
      <c r="D16" s="358"/>
      <c r="E16" s="358"/>
      <c r="F16" s="358"/>
      <c r="G16" s="358"/>
      <c r="H16" s="358"/>
      <c r="I16" s="358"/>
      <c r="J16" s="358"/>
      <c r="K16" s="358"/>
      <c r="L16" s="358"/>
      <c r="M16" s="358"/>
      <c r="N16" s="358"/>
      <c r="O16" s="425" t="s">
        <v>13133</v>
      </c>
      <c r="P16" s="425"/>
      <c r="Q16" s="425"/>
      <c r="R16" s="362">
        <v>38476336</v>
      </c>
      <c r="S16" s="363"/>
      <c r="T16" s="363"/>
      <c r="U16" s="364"/>
      <c r="V16" s="164"/>
    </row>
    <row r="17" spans="1:22" ht="14.1" customHeight="1" x14ac:dyDescent="0.25">
      <c r="A17" s="423"/>
      <c r="B17" s="168"/>
      <c r="C17" s="359"/>
      <c r="D17" s="360"/>
      <c r="E17" s="360"/>
      <c r="F17" s="360"/>
      <c r="G17" s="360"/>
      <c r="H17" s="360"/>
      <c r="I17" s="360"/>
      <c r="J17" s="360"/>
      <c r="K17" s="360"/>
      <c r="L17" s="360"/>
      <c r="M17" s="360"/>
      <c r="N17" s="360"/>
      <c r="O17" s="152"/>
      <c r="P17" s="153"/>
      <c r="Q17" s="153"/>
      <c r="R17" s="153"/>
      <c r="S17" s="153"/>
      <c r="T17" s="153"/>
      <c r="U17" s="154"/>
      <c r="V17" s="164"/>
    </row>
    <row r="18" spans="1:22" ht="14.1" customHeight="1" x14ac:dyDescent="0.25">
      <c r="A18" s="423"/>
      <c r="B18" s="168"/>
      <c r="C18" s="426" t="s">
        <v>13403</v>
      </c>
      <c r="D18" s="427"/>
      <c r="E18" s="427"/>
      <c r="F18" s="428">
        <f ca="1">TODAY()</f>
        <v>45182</v>
      </c>
      <c r="G18" s="427"/>
      <c r="H18" s="427"/>
      <c r="I18" s="427"/>
      <c r="J18" s="427"/>
      <c r="K18" s="427"/>
      <c r="L18" s="427"/>
      <c r="M18" s="427"/>
      <c r="N18" s="152"/>
      <c r="O18" s="443"/>
      <c r="P18" s="443"/>
      <c r="Q18" s="443"/>
      <c r="R18" s="443"/>
      <c r="S18" s="444"/>
      <c r="T18" s="444"/>
      <c r="U18" s="445"/>
      <c r="V18" s="164"/>
    </row>
    <row r="19" spans="1:22" ht="14.1" customHeight="1" x14ac:dyDescent="0.25">
      <c r="A19" s="423"/>
      <c r="B19" s="168"/>
      <c r="C19" s="426"/>
      <c r="D19" s="427"/>
      <c r="E19" s="427"/>
      <c r="F19" s="427"/>
      <c r="G19" s="427"/>
      <c r="H19" s="427"/>
      <c r="I19" s="427"/>
      <c r="J19" s="427"/>
      <c r="K19" s="427"/>
      <c r="L19" s="427"/>
      <c r="M19" s="427"/>
      <c r="N19" s="155"/>
      <c r="O19" s="443"/>
      <c r="P19" s="443"/>
      <c r="Q19" s="443"/>
      <c r="R19" s="443"/>
      <c r="S19" s="444"/>
      <c r="T19" s="444"/>
      <c r="U19" s="445"/>
      <c r="V19" s="164"/>
    </row>
    <row r="20" spans="1:22" ht="14.1" customHeight="1" x14ac:dyDescent="0.25">
      <c r="A20" s="423"/>
      <c r="B20" s="168"/>
      <c r="C20" s="446"/>
      <c r="D20" s="447"/>
      <c r="E20" s="447"/>
      <c r="F20" s="447"/>
      <c r="H20" s="448"/>
      <c r="I20" s="448"/>
      <c r="J20" s="448"/>
      <c r="K20" s="448"/>
      <c r="L20" s="448"/>
      <c r="M20" s="448"/>
      <c r="N20" s="448"/>
      <c r="O20" s="448"/>
      <c r="P20" s="448"/>
      <c r="Q20" s="448"/>
      <c r="R20" s="448"/>
      <c r="S20" s="448"/>
      <c r="T20" s="448"/>
      <c r="U20" s="449"/>
      <c r="V20" s="164"/>
    </row>
    <row r="21" spans="1:22" ht="14.1" customHeight="1" x14ac:dyDescent="0.25">
      <c r="A21" s="423"/>
      <c r="B21" s="168"/>
      <c r="C21" s="426" t="s">
        <v>13402</v>
      </c>
      <c r="D21" s="427"/>
      <c r="E21" s="427"/>
      <c r="F21" s="427"/>
      <c r="G21" s="427"/>
      <c r="H21" s="427"/>
      <c r="I21" s="427"/>
      <c r="J21" s="427"/>
      <c r="K21" s="427"/>
      <c r="L21" s="427"/>
      <c r="M21" s="427"/>
      <c r="N21" s="155"/>
      <c r="O21" s="156"/>
      <c r="P21" s="156"/>
      <c r="Q21" s="157"/>
      <c r="R21" s="157"/>
      <c r="S21" s="157"/>
      <c r="T21" s="157"/>
      <c r="U21" s="158"/>
      <c r="V21" s="164"/>
    </row>
    <row r="22" spans="1:22" ht="14.1" customHeight="1" x14ac:dyDescent="0.25">
      <c r="A22" s="423"/>
      <c r="B22" s="168"/>
      <c r="C22" s="440"/>
      <c r="D22" s="441"/>
      <c r="E22" s="441"/>
      <c r="F22" s="441"/>
      <c r="G22" s="441"/>
      <c r="H22" s="441"/>
      <c r="I22" s="441"/>
      <c r="J22" s="441"/>
      <c r="K22" s="441"/>
      <c r="L22" s="441"/>
      <c r="M22" s="441"/>
      <c r="N22" s="442" t="s">
        <v>13155</v>
      </c>
      <c r="O22" s="442"/>
      <c r="P22" s="442"/>
      <c r="Q22" s="442"/>
      <c r="R22" s="383">
        <v>2613157782</v>
      </c>
      <c r="S22" s="384"/>
      <c r="T22" s="384"/>
      <c r="U22" s="385"/>
      <c r="V22" s="164"/>
    </row>
    <row r="23" spans="1:22" ht="14.1" customHeight="1" thickBot="1" x14ac:dyDescent="0.3">
      <c r="A23" s="424"/>
      <c r="B23" s="169"/>
      <c r="C23" s="170"/>
      <c r="D23" s="170"/>
      <c r="E23" s="170"/>
      <c r="F23" s="170"/>
      <c r="G23" s="170"/>
      <c r="H23" s="170"/>
      <c r="I23" s="170"/>
      <c r="J23" s="170"/>
      <c r="K23" s="170"/>
      <c r="L23" s="170"/>
      <c r="M23" s="170"/>
      <c r="N23" s="170"/>
      <c r="O23" s="170"/>
      <c r="P23" s="170"/>
      <c r="Q23" s="170"/>
      <c r="R23" s="170"/>
      <c r="S23" s="170"/>
      <c r="T23" s="170"/>
      <c r="U23" s="170"/>
      <c r="V23" s="165"/>
    </row>
    <row r="24" spans="1:22" ht="14.1" customHeight="1" x14ac:dyDescent="0.25"/>
    <row r="25" spans="1:22" ht="14.1" customHeight="1" x14ac:dyDescent="0.25"/>
  </sheetData>
  <sheetProtection password="C68E" sheet="1" objects="1" scenarios="1"/>
  <mergeCells count="19">
    <mergeCell ref="S18:U19"/>
    <mergeCell ref="C20:F20"/>
    <mergeCell ref="H20:U20"/>
    <mergeCell ref="A2:V6"/>
    <mergeCell ref="A15:A23"/>
    <mergeCell ref="C16:N17"/>
    <mergeCell ref="O16:Q16"/>
    <mergeCell ref="R16:U16"/>
    <mergeCell ref="C18:E19"/>
    <mergeCell ref="F18:M19"/>
    <mergeCell ref="C7:D7"/>
    <mergeCell ref="E7:U7"/>
    <mergeCell ref="A8:V10"/>
    <mergeCell ref="C12:N13"/>
    <mergeCell ref="P12:U13"/>
    <mergeCell ref="C21:M22"/>
    <mergeCell ref="N22:Q22"/>
    <mergeCell ref="R22:U22"/>
    <mergeCell ref="O18:R19"/>
  </mergeCells>
  <pageMargins left="0.25" right="0.25" top="0.75" bottom="0.75" header="0.3" footer="0.3"/>
  <pageSetup paperSize="9" scale="124" orientation="portrait" horizontalDpi="0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Z2761"/>
  <sheetViews>
    <sheetView topLeftCell="A1280" workbookViewId="0">
      <selection activeCell="F1301" sqref="F1301"/>
    </sheetView>
  </sheetViews>
  <sheetFormatPr baseColWidth="10" defaultRowHeight="15" x14ac:dyDescent="0.25"/>
  <cols>
    <col min="1" max="1" width="13.85546875" style="127" customWidth="1"/>
    <col min="2" max="2" width="33.85546875" style="127" bestFit="1" customWidth="1"/>
    <col min="3" max="3" width="14.140625" style="127" customWidth="1"/>
    <col min="4" max="4" width="43.42578125" style="127" bestFit="1" customWidth="1"/>
    <col min="5" max="5" width="6.5703125" style="127" customWidth="1"/>
    <col min="6" max="6" width="11.28515625" style="127" bestFit="1" customWidth="1"/>
    <col min="7" max="7" width="33.5703125" style="127" bestFit="1" customWidth="1"/>
    <col min="8" max="8" width="21" style="127" bestFit="1" customWidth="1"/>
    <col min="9" max="9" width="33.85546875" style="127" bestFit="1" customWidth="1"/>
    <col min="10" max="10" width="10.5703125" style="127" bestFit="1" customWidth="1"/>
    <col min="11" max="11" width="34" customWidth="1"/>
  </cols>
  <sheetData>
    <row r="1" spans="1:11" s="1" customFormat="1" ht="18.75" x14ac:dyDescent="0.3">
      <c r="A1" s="450" t="s">
        <v>7957</v>
      </c>
      <c r="B1" s="450"/>
      <c r="C1" s="450"/>
      <c r="D1" s="450"/>
      <c r="E1" s="450"/>
      <c r="F1" s="450"/>
      <c r="G1" s="450"/>
      <c r="H1" s="450"/>
      <c r="I1" s="450"/>
      <c r="J1" s="450"/>
    </row>
    <row r="2" spans="1:11" s="1" customFormat="1" x14ac:dyDescent="0.25">
      <c r="A2" s="110"/>
      <c r="B2" s="107"/>
      <c r="C2" s="107"/>
      <c r="D2" s="108"/>
      <c r="E2" s="109"/>
      <c r="F2" s="110"/>
      <c r="G2" s="109"/>
      <c r="H2" s="109"/>
      <c r="I2" s="107"/>
      <c r="J2" s="107"/>
    </row>
    <row r="3" spans="1:11" s="2" customFormat="1" ht="30" x14ac:dyDescent="0.25">
      <c r="A3" s="131" t="s">
        <v>7958</v>
      </c>
      <c r="B3" s="132" t="s">
        <v>7959</v>
      </c>
      <c r="C3" s="132" t="s">
        <v>13161</v>
      </c>
      <c r="D3" s="132" t="s">
        <v>7960</v>
      </c>
      <c r="E3" s="132" t="s">
        <v>7961</v>
      </c>
      <c r="F3" s="132" t="s">
        <v>7923</v>
      </c>
      <c r="G3" s="132" t="s">
        <v>7962</v>
      </c>
      <c r="H3" s="133" t="s">
        <v>7924</v>
      </c>
      <c r="I3" s="132" t="s">
        <v>7959</v>
      </c>
      <c r="J3" s="132" t="s">
        <v>7963</v>
      </c>
      <c r="K3" s="132" t="s">
        <v>13162</v>
      </c>
    </row>
    <row r="4" spans="1:11" s="1" customFormat="1" x14ac:dyDescent="0.25">
      <c r="A4" t="s">
        <v>11862</v>
      </c>
      <c r="B4" t="s">
        <v>11863</v>
      </c>
      <c r="C4" s="111"/>
      <c r="D4" t="s">
        <v>10187</v>
      </c>
      <c r="E4">
        <v>160</v>
      </c>
      <c r="F4" t="s">
        <v>11864</v>
      </c>
      <c r="G4" t="s">
        <v>11863</v>
      </c>
      <c r="H4" t="s">
        <v>11863</v>
      </c>
      <c r="I4" t="s">
        <v>11863</v>
      </c>
      <c r="J4" t="s">
        <v>11864</v>
      </c>
      <c r="K4" t="s">
        <v>13163</v>
      </c>
    </row>
    <row r="5" spans="1:11" s="1" customFormat="1" x14ac:dyDescent="0.25">
      <c r="A5" t="s">
        <v>11865</v>
      </c>
      <c r="B5" t="s">
        <v>11866</v>
      </c>
      <c r="C5" s="111"/>
      <c r="D5" t="s">
        <v>9199</v>
      </c>
      <c r="E5">
        <v>99</v>
      </c>
      <c r="F5" t="s">
        <v>11867</v>
      </c>
      <c r="G5" t="s">
        <v>11866</v>
      </c>
      <c r="H5" t="s">
        <v>11863</v>
      </c>
      <c r="I5" t="s">
        <v>11866</v>
      </c>
      <c r="J5" t="s">
        <v>11867</v>
      </c>
      <c r="K5" t="s">
        <v>9916</v>
      </c>
    </row>
    <row r="6" spans="1:11" s="1" customFormat="1" x14ac:dyDescent="0.25">
      <c r="A6" t="s">
        <v>11868</v>
      </c>
      <c r="B6" t="s">
        <v>11869</v>
      </c>
      <c r="C6" s="111"/>
      <c r="D6" t="s">
        <v>11870</v>
      </c>
      <c r="E6">
        <v>100</v>
      </c>
      <c r="F6" t="s">
        <v>11871</v>
      </c>
      <c r="G6" t="s">
        <v>11869</v>
      </c>
      <c r="H6" t="s">
        <v>11863</v>
      </c>
      <c r="I6" t="s">
        <v>11869</v>
      </c>
      <c r="J6" t="s">
        <v>11871</v>
      </c>
      <c r="K6" t="s">
        <v>13164</v>
      </c>
    </row>
    <row r="7" spans="1:11" s="1" customFormat="1" x14ac:dyDescent="0.25">
      <c r="A7" t="s">
        <v>11872</v>
      </c>
      <c r="B7" t="s">
        <v>11873</v>
      </c>
      <c r="C7" s="111"/>
      <c r="D7" t="s">
        <v>8121</v>
      </c>
      <c r="E7">
        <v>102</v>
      </c>
      <c r="F7" t="s">
        <v>11874</v>
      </c>
      <c r="G7" t="s">
        <v>11873</v>
      </c>
      <c r="H7" t="s">
        <v>11863</v>
      </c>
      <c r="I7" t="s">
        <v>11873</v>
      </c>
      <c r="J7" t="s">
        <v>11874</v>
      </c>
      <c r="K7" t="s">
        <v>11873</v>
      </c>
    </row>
    <row r="8" spans="1:11" s="1" customFormat="1" x14ac:dyDescent="0.25">
      <c r="A8" t="s">
        <v>11875</v>
      </c>
      <c r="B8" t="s">
        <v>11876</v>
      </c>
      <c r="C8" s="111"/>
      <c r="D8" t="s">
        <v>11877</v>
      </c>
      <c r="E8">
        <v>197</v>
      </c>
      <c r="F8" t="s">
        <v>11878</v>
      </c>
      <c r="G8" t="s">
        <v>11876</v>
      </c>
      <c r="H8" t="s">
        <v>11863</v>
      </c>
      <c r="I8" t="s">
        <v>11876</v>
      </c>
      <c r="J8" t="s">
        <v>11878</v>
      </c>
      <c r="K8" t="s">
        <v>11876</v>
      </c>
    </row>
    <row r="9" spans="1:11" s="1" customFormat="1" x14ac:dyDescent="0.25">
      <c r="A9" t="s">
        <v>11879</v>
      </c>
      <c r="B9" t="s">
        <v>11880</v>
      </c>
      <c r="C9" s="111"/>
      <c r="D9" t="s">
        <v>11035</v>
      </c>
      <c r="E9">
        <v>601</v>
      </c>
      <c r="F9" t="s">
        <v>11882</v>
      </c>
      <c r="G9" t="s">
        <v>11881</v>
      </c>
      <c r="H9" t="s">
        <v>11863</v>
      </c>
      <c r="I9" t="s">
        <v>11880</v>
      </c>
      <c r="J9" t="s">
        <v>11882</v>
      </c>
      <c r="K9" t="s">
        <v>11938</v>
      </c>
    </row>
    <row r="10" spans="1:11" s="1" customFormat="1" x14ac:dyDescent="0.25">
      <c r="A10" t="s">
        <v>11883</v>
      </c>
      <c r="B10" t="s">
        <v>11884</v>
      </c>
      <c r="C10" s="111"/>
      <c r="D10" t="s">
        <v>8503</v>
      </c>
      <c r="E10">
        <v>215</v>
      </c>
      <c r="F10" t="s">
        <v>11885</v>
      </c>
      <c r="G10" t="s">
        <v>11884</v>
      </c>
      <c r="H10" t="s">
        <v>11863</v>
      </c>
      <c r="I10" t="s">
        <v>11884</v>
      </c>
      <c r="J10" t="s">
        <v>11885</v>
      </c>
      <c r="K10" t="s">
        <v>11884</v>
      </c>
    </row>
    <row r="11" spans="1:11" s="1" customFormat="1" x14ac:dyDescent="0.25">
      <c r="A11" t="s">
        <v>11886</v>
      </c>
      <c r="B11" t="s">
        <v>11887</v>
      </c>
      <c r="C11" s="111"/>
      <c r="D11" t="s">
        <v>11888</v>
      </c>
      <c r="E11">
        <v>195</v>
      </c>
      <c r="F11" t="s">
        <v>11889</v>
      </c>
      <c r="G11" t="s">
        <v>11887</v>
      </c>
      <c r="H11" t="s">
        <v>11863</v>
      </c>
      <c r="I11" t="s">
        <v>11887</v>
      </c>
      <c r="J11" t="s">
        <v>11889</v>
      </c>
      <c r="K11" t="s">
        <v>11887</v>
      </c>
    </row>
    <row r="12" spans="1:11" s="1" customFormat="1" x14ac:dyDescent="0.25">
      <c r="A12" t="s">
        <v>11890</v>
      </c>
      <c r="B12" t="s">
        <v>11891</v>
      </c>
      <c r="C12" s="111"/>
      <c r="D12" t="s">
        <v>7965</v>
      </c>
      <c r="E12">
        <v>318</v>
      </c>
      <c r="F12" t="s">
        <v>11892</v>
      </c>
      <c r="G12" t="s">
        <v>11891</v>
      </c>
      <c r="H12" t="s">
        <v>11863</v>
      </c>
      <c r="I12" t="s">
        <v>11891</v>
      </c>
      <c r="J12" t="s">
        <v>11892</v>
      </c>
      <c r="K12" t="s">
        <v>13165</v>
      </c>
    </row>
    <row r="13" spans="1:11" s="1" customFormat="1" x14ac:dyDescent="0.25">
      <c r="A13" t="s">
        <v>11893</v>
      </c>
      <c r="B13" t="s">
        <v>11894</v>
      </c>
      <c r="C13" s="111"/>
      <c r="D13" t="s">
        <v>11895</v>
      </c>
      <c r="E13">
        <v>100</v>
      </c>
      <c r="F13" t="s">
        <v>11896</v>
      </c>
      <c r="G13" t="s">
        <v>11894</v>
      </c>
      <c r="H13" t="s">
        <v>11863</v>
      </c>
      <c r="I13" t="s">
        <v>11894</v>
      </c>
      <c r="J13" t="s">
        <v>11896</v>
      </c>
      <c r="K13" t="s">
        <v>11887</v>
      </c>
    </row>
    <row r="14" spans="1:11" s="1" customFormat="1" x14ac:dyDescent="0.25">
      <c r="A14" t="s">
        <v>11897</v>
      </c>
      <c r="B14" t="s">
        <v>11898</v>
      </c>
      <c r="C14" s="111"/>
      <c r="D14" t="s">
        <v>8020</v>
      </c>
      <c r="E14">
        <v>569</v>
      </c>
      <c r="F14" t="s">
        <v>11899</v>
      </c>
      <c r="G14" t="s">
        <v>11898</v>
      </c>
      <c r="H14" t="s">
        <v>11863</v>
      </c>
      <c r="I14" t="s">
        <v>11898</v>
      </c>
      <c r="J14" t="s">
        <v>11899</v>
      </c>
      <c r="K14" t="s">
        <v>11919</v>
      </c>
    </row>
    <row r="15" spans="1:11" s="1" customFormat="1" x14ac:dyDescent="0.25">
      <c r="A15" t="s">
        <v>11900</v>
      </c>
      <c r="B15" t="s">
        <v>11901</v>
      </c>
      <c r="C15" s="111"/>
      <c r="D15" t="s">
        <v>11902</v>
      </c>
      <c r="E15">
        <v>351</v>
      </c>
      <c r="F15" t="s">
        <v>11903</v>
      </c>
      <c r="G15" t="s">
        <v>11901</v>
      </c>
      <c r="H15" t="s">
        <v>11863</v>
      </c>
      <c r="I15" t="s">
        <v>11901</v>
      </c>
      <c r="J15" t="s">
        <v>11903</v>
      </c>
      <c r="K15" t="s">
        <v>9916</v>
      </c>
    </row>
    <row r="16" spans="1:11" s="1" customFormat="1" x14ac:dyDescent="0.25">
      <c r="A16" t="s">
        <v>11904</v>
      </c>
      <c r="B16" t="s">
        <v>11905</v>
      </c>
      <c r="C16" s="111"/>
      <c r="D16" t="s">
        <v>11906</v>
      </c>
      <c r="E16">
        <v>0</v>
      </c>
      <c r="F16" t="s">
        <v>11908</v>
      </c>
      <c r="G16" t="s">
        <v>11907</v>
      </c>
      <c r="H16" t="s">
        <v>11863</v>
      </c>
      <c r="I16" t="s">
        <v>11905</v>
      </c>
      <c r="J16" t="s">
        <v>11908</v>
      </c>
      <c r="K16" t="s">
        <v>9916</v>
      </c>
    </row>
    <row r="17" spans="1:11" s="1" customFormat="1" x14ac:dyDescent="0.25">
      <c r="A17" t="s">
        <v>11909</v>
      </c>
      <c r="B17" t="s">
        <v>11910</v>
      </c>
      <c r="C17" s="111"/>
      <c r="D17" t="s">
        <v>11911</v>
      </c>
      <c r="E17">
        <v>201</v>
      </c>
      <c r="F17" t="s">
        <v>11912</v>
      </c>
      <c r="G17" t="s">
        <v>11910</v>
      </c>
      <c r="H17" t="s">
        <v>11863</v>
      </c>
      <c r="I17" t="s">
        <v>11910</v>
      </c>
      <c r="J17" t="s">
        <v>11912</v>
      </c>
      <c r="K17" t="s">
        <v>11910</v>
      </c>
    </row>
    <row r="18" spans="1:11" s="1" customFormat="1" x14ac:dyDescent="0.25">
      <c r="A18" t="s">
        <v>11913</v>
      </c>
      <c r="B18" t="s">
        <v>9203</v>
      </c>
      <c r="C18" s="111"/>
      <c r="D18" t="s">
        <v>9199</v>
      </c>
      <c r="E18">
        <v>0</v>
      </c>
      <c r="F18" t="s">
        <v>11914</v>
      </c>
      <c r="G18" t="s">
        <v>9203</v>
      </c>
      <c r="H18" t="s">
        <v>11863</v>
      </c>
      <c r="I18" t="s">
        <v>9203</v>
      </c>
      <c r="J18" t="s">
        <v>11914</v>
      </c>
      <c r="K18" t="s">
        <v>13165</v>
      </c>
    </row>
    <row r="19" spans="1:11" s="1" customFormat="1" x14ac:dyDescent="0.25">
      <c r="A19" t="s">
        <v>11915</v>
      </c>
      <c r="B19" t="s">
        <v>11916</v>
      </c>
      <c r="C19" s="111"/>
      <c r="D19" t="s">
        <v>8640</v>
      </c>
      <c r="E19">
        <v>315</v>
      </c>
      <c r="F19" t="s">
        <v>11917</v>
      </c>
      <c r="G19" t="s">
        <v>11317</v>
      </c>
      <c r="H19" t="s">
        <v>11863</v>
      </c>
      <c r="I19" t="s">
        <v>11916</v>
      </c>
      <c r="J19" t="s">
        <v>11917</v>
      </c>
      <c r="K19" t="s">
        <v>13164</v>
      </c>
    </row>
    <row r="20" spans="1:11" s="1" customFormat="1" x14ac:dyDescent="0.25">
      <c r="A20" t="s">
        <v>11918</v>
      </c>
      <c r="B20" t="s">
        <v>11919</v>
      </c>
      <c r="C20" s="111"/>
      <c r="D20" t="s">
        <v>11920</v>
      </c>
      <c r="E20">
        <v>358</v>
      </c>
      <c r="F20" t="s">
        <v>11921</v>
      </c>
      <c r="G20" t="s">
        <v>11919</v>
      </c>
      <c r="H20" t="s">
        <v>11863</v>
      </c>
      <c r="I20" t="s">
        <v>11919</v>
      </c>
      <c r="J20" t="s">
        <v>11921</v>
      </c>
      <c r="K20" t="s">
        <v>11919</v>
      </c>
    </row>
    <row r="21" spans="1:11" s="1" customFormat="1" x14ac:dyDescent="0.25">
      <c r="A21" t="s">
        <v>11922</v>
      </c>
      <c r="B21" t="s">
        <v>11923</v>
      </c>
      <c r="C21" s="111"/>
      <c r="D21" t="s">
        <v>9875</v>
      </c>
      <c r="E21">
        <v>625</v>
      </c>
      <c r="F21" t="s">
        <v>11924</v>
      </c>
      <c r="G21" t="s">
        <v>11923</v>
      </c>
      <c r="H21" t="s">
        <v>11863</v>
      </c>
      <c r="I21" t="s">
        <v>11923</v>
      </c>
      <c r="J21" t="s">
        <v>11924</v>
      </c>
      <c r="K21" t="s">
        <v>13165</v>
      </c>
    </row>
    <row r="22" spans="1:11" s="1" customFormat="1" x14ac:dyDescent="0.25">
      <c r="A22" t="s">
        <v>11925</v>
      </c>
      <c r="B22" t="s">
        <v>11926</v>
      </c>
      <c r="C22" s="111"/>
      <c r="D22" t="s">
        <v>8697</v>
      </c>
      <c r="E22">
        <v>100</v>
      </c>
      <c r="F22" t="s">
        <v>11928</v>
      </c>
      <c r="G22" t="s">
        <v>11927</v>
      </c>
      <c r="H22" t="s">
        <v>11863</v>
      </c>
      <c r="I22" t="s">
        <v>11926</v>
      </c>
      <c r="J22" t="s">
        <v>11928</v>
      </c>
      <c r="K22" t="s">
        <v>9916</v>
      </c>
    </row>
    <row r="23" spans="1:11" s="1" customFormat="1" x14ac:dyDescent="0.25">
      <c r="A23" t="s">
        <v>11929</v>
      </c>
      <c r="B23" t="s">
        <v>8397</v>
      </c>
      <c r="C23" s="111"/>
      <c r="D23" t="s">
        <v>11930</v>
      </c>
      <c r="E23">
        <v>100</v>
      </c>
      <c r="F23" t="s">
        <v>11931</v>
      </c>
      <c r="G23" t="s">
        <v>8397</v>
      </c>
      <c r="H23" t="s">
        <v>11863</v>
      </c>
      <c r="I23" t="s">
        <v>8397</v>
      </c>
      <c r="J23" t="s">
        <v>11931</v>
      </c>
      <c r="K23" t="s">
        <v>8397</v>
      </c>
    </row>
    <row r="24" spans="1:11" s="1" customFormat="1" x14ac:dyDescent="0.25">
      <c r="A24" t="s">
        <v>11932</v>
      </c>
      <c r="B24" t="s">
        <v>11933</v>
      </c>
      <c r="C24" s="111"/>
      <c r="D24" t="s">
        <v>11934</v>
      </c>
      <c r="E24">
        <v>296</v>
      </c>
      <c r="F24" t="s">
        <v>11935</v>
      </c>
      <c r="G24" t="s">
        <v>11933</v>
      </c>
      <c r="H24" t="s">
        <v>11863</v>
      </c>
      <c r="I24" t="s">
        <v>11933</v>
      </c>
      <c r="J24" t="s">
        <v>11935</v>
      </c>
      <c r="K24" t="s">
        <v>11933</v>
      </c>
    </row>
    <row r="25" spans="1:11" s="1" customFormat="1" x14ac:dyDescent="0.25">
      <c r="A25" t="s">
        <v>11936</v>
      </c>
      <c r="B25" t="s">
        <v>11937</v>
      </c>
      <c r="C25" s="111"/>
      <c r="D25" t="s">
        <v>10456</v>
      </c>
      <c r="E25">
        <v>201</v>
      </c>
      <c r="F25" t="s">
        <v>11939</v>
      </c>
      <c r="G25" t="s">
        <v>11938</v>
      </c>
      <c r="H25" t="s">
        <v>11863</v>
      </c>
      <c r="I25" t="s">
        <v>11937</v>
      </c>
      <c r="J25" t="s">
        <v>11939</v>
      </c>
      <c r="K25" t="s">
        <v>11938</v>
      </c>
    </row>
    <row r="26" spans="1:11" s="1" customFormat="1" x14ac:dyDescent="0.25">
      <c r="A26" t="s">
        <v>11940</v>
      </c>
      <c r="B26" t="s">
        <v>11941</v>
      </c>
      <c r="C26" s="111"/>
      <c r="D26" t="s">
        <v>11942</v>
      </c>
      <c r="E26">
        <v>20</v>
      </c>
      <c r="F26" t="s">
        <v>11944</v>
      </c>
      <c r="G26" t="s">
        <v>11943</v>
      </c>
      <c r="H26" t="s">
        <v>11863</v>
      </c>
      <c r="I26" t="s">
        <v>11941</v>
      </c>
      <c r="J26" t="s">
        <v>11944</v>
      </c>
      <c r="K26" t="s">
        <v>13166</v>
      </c>
    </row>
    <row r="27" spans="1:11" s="1" customFormat="1" x14ac:dyDescent="0.25">
      <c r="A27" t="s">
        <v>11945</v>
      </c>
      <c r="B27" t="s">
        <v>10302</v>
      </c>
      <c r="C27" s="111"/>
      <c r="D27" t="s">
        <v>9199</v>
      </c>
      <c r="E27">
        <v>1</v>
      </c>
      <c r="F27" t="s">
        <v>11946</v>
      </c>
      <c r="G27" t="s">
        <v>10302</v>
      </c>
      <c r="H27" t="s">
        <v>11863</v>
      </c>
      <c r="I27" t="s">
        <v>10302</v>
      </c>
      <c r="J27" t="s">
        <v>11946</v>
      </c>
      <c r="K27" t="s">
        <v>10302</v>
      </c>
    </row>
    <row r="28" spans="1:11" s="1" customFormat="1" x14ac:dyDescent="0.25">
      <c r="A28" t="s">
        <v>11947</v>
      </c>
      <c r="B28" t="s">
        <v>11948</v>
      </c>
      <c r="C28" s="111"/>
      <c r="D28" t="s">
        <v>11949</v>
      </c>
      <c r="E28">
        <v>402</v>
      </c>
      <c r="F28" t="s">
        <v>11950</v>
      </c>
      <c r="G28" t="s">
        <v>11948</v>
      </c>
      <c r="H28" t="s">
        <v>11863</v>
      </c>
      <c r="I28" t="s">
        <v>11948</v>
      </c>
      <c r="J28" t="s">
        <v>11950</v>
      </c>
      <c r="K28" t="s">
        <v>13165</v>
      </c>
    </row>
    <row r="29" spans="1:11" s="1" customFormat="1" x14ac:dyDescent="0.25">
      <c r="A29" t="s">
        <v>11951</v>
      </c>
      <c r="B29" t="s">
        <v>11952</v>
      </c>
      <c r="C29" s="111"/>
      <c r="D29" t="s">
        <v>11953</v>
      </c>
      <c r="E29">
        <v>150</v>
      </c>
      <c r="F29" t="s">
        <v>11954</v>
      </c>
      <c r="G29" t="s">
        <v>11952</v>
      </c>
      <c r="H29" t="s">
        <v>11863</v>
      </c>
      <c r="I29" t="s">
        <v>11952</v>
      </c>
      <c r="J29" t="s">
        <v>11954</v>
      </c>
      <c r="K29" t="s">
        <v>13167</v>
      </c>
    </row>
    <row r="30" spans="1:11" s="1" customFormat="1" x14ac:dyDescent="0.25">
      <c r="A30" t="s">
        <v>11955</v>
      </c>
      <c r="B30" t="s">
        <v>11956</v>
      </c>
      <c r="C30" s="111"/>
      <c r="D30" t="s">
        <v>8380</v>
      </c>
      <c r="E30">
        <v>153</v>
      </c>
      <c r="F30" t="s">
        <v>11958</v>
      </c>
      <c r="G30" t="s">
        <v>11957</v>
      </c>
      <c r="H30" t="s">
        <v>11863</v>
      </c>
      <c r="I30" t="s">
        <v>11956</v>
      </c>
      <c r="J30" t="s">
        <v>11958</v>
      </c>
      <c r="K30" t="s">
        <v>13168</v>
      </c>
    </row>
    <row r="31" spans="1:11" s="1" customFormat="1" x14ac:dyDescent="0.25">
      <c r="A31" t="s">
        <v>11959</v>
      </c>
      <c r="B31" t="s">
        <v>11960</v>
      </c>
      <c r="C31" s="111"/>
      <c r="D31" t="s">
        <v>9199</v>
      </c>
      <c r="E31">
        <v>501</v>
      </c>
      <c r="F31" t="s">
        <v>11961</v>
      </c>
      <c r="G31" t="s">
        <v>11960</v>
      </c>
      <c r="H31" t="s">
        <v>11863</v>
      </c>
      <c r="I31" t="s">
        <v>11960</v>
      </c>
      <c r="J31" t="s">
        <v>11961</v>
      </c>
      <c r="K31" t="s">
        <v>9916</v>
      </c>
    </row>
    <row r="32" spans="1:11" s="1" customFormat="1" x14ac:dyDescent="0.25">
      <c r="A32" t="s">
        <v>11962</v>
      </c>
      <c r="B32" t="s">
        <v>11963</v>
      </c>
      <c r="C32" s="111"/>
      <c r="D32" t="s">
        <v>8442</v>
      </c>
      <c r="E32">
        <v>0</v>
      </c>
      <c r="F32" t="s">
        <v>11964</v>
      </c>
      <c r="G32" t="s">
        <v>11963</v>
      </c>
      <c r="H32" t="s">
        <v>11863</v>
      </c>
      <c r="I32" t="s">
        <v>11963</v>
      </c>
      <c r="J32" t="s">
        <v>11964</v>
      </c>
      <c r="K32" t="s">
        <v>11963</v>
      </c>
    </row>
    <row r="33" spans="1:26" s="1" customFormat="1" x14ac:dyDescent="0.25">
      <c r="A33" t="s">
        <v>11965</v>
      </c>
      <c r="B33" t="s">
        <v>11966</v>
      </c>
      <c r="C33" s="111"/>
      <c r="D33" t="s">
        <v>10005</v>
      </c>
      <c r="E33"/>
      <c r="F33" t="s">
        <v>11967</v>
      </c>
      <c r="G33" t="s">
        <v>11966</v>
      </c>
      <c r="H33" t="s">
        <v>11863</v>
      </c>
      <c r="I33" t="s">
        <v>11966</v>
      </c>
      <c r="J33" t="s">
        <v>11967</v>
      </c>
      <c r="K33" t="s">
        <v>13163</v>
      </c>
    </row>
    <row r="34" spans="1:26" s="1" customFormat="1" x14ac:dyDescent="0.25">
      <c r="A34" t="s">
        <v>11968</v>
      </c>
      <c r="B34" t="s">
        <v>11969</v>
      </c>
      <c r="C34" s="111"/>
      <c r="D34" t="s">
        <v>11166</v>
      </c>
      <c r="E34"/>
      <c r="F34" t="s">
        <v>11970</v>
      </c>
      <c r="G34" t="s">
        <v>11969</v>
      </c>
      <c r="H34" t="s">
        <v>11863</v>
      </c>
      <c r="I34" t="s">
        <v>11969</v>
      </c>
      <c r="J34" t="s">
        <v>11970</v>
      </c>
      <c r="K34" t="s">
        <v>11938</v>
      </c>
    </row>
    <row r="35" spans="1:26" s="1" customFormat="1" x14ac:dyDescent="0.25">
      <c r="A35" t="s">
        <v>11971</v>
      </c>
      <c r="B35" t="s">
        <v>11972</v>
      </c>
      <c r="C35" s="111"/>
      <c r="D35" t="s">
        <v>10875</v>
      </c>
      <c r="E35">
        <v>998</v>
      </c>
      <c r="F35" t="s">
        <v>11973</v>
      </c>
      <c r="G35" t="s">
        <v>11863</v>
      </c>
      <c r="H35" t="s">
        <v>11863</v>
      </c>
      <c r="I35" t="s">
        <v>11972</v>
      </c>
      <c r="J35" t="s">
        <v>11973</v>
      </c>
      <c r="K35" t="s">
        <v>13163</v>
      </c>
    </row>
    <row r="36" spans="1:26" s="1" customFormat="1" x14ac:dyDescent="0.25">
      <c r="A36" t="s">
        <v>11974</v>
      </c>
      <c r="B36" t="s">
        <v>11975</v>
      </c>
      <c r="C36" s="111"/>
      <c r="D36" t="s">
        <v>8020</v>
      </c>
      <c r="E36">
        <v>117</v>
      </c>
      <c r="F36" t="s">
        <v>11976</v>
      </c>
      <c r="G36" t="s">
        <v>11975</v>
      </c>
      <c r="H36" t="s">
        <v>11863</v>
      </c>
      <c r="I36" t="s">
        <v>11975</v>
      </c>
      <c r="J36" t="s">
        <v>11976</v>
      </c>
      <c r="K36" t="s">
        <v>11975</v>
      </c>
    </row>
    <row r="37" spans="1:26" s="3" customFormat="1" x14ac:dyDescent="0.25">
      <c r="A37" t="s">
        <v>11977</v>
      </c>
      <c r="B37" t="s">
        <v>11978</v>
      </c>
      <c r="C37" s="111"/>
      <c r="D37" t="s">
        <v>11979</v>
      </c>
      <c r="E37"/>
      <c r="F37" t="s">
        <v>11980</v>
      </c>
      <c r="G37" t="s">
        <v>11978</v>
      </c>
      <c r="H37" t="s">
        <v>11863</v>
      </c>
      <c r="I37" t="s">
        <v>11978</v>
      </c>
      <c r="J37" t="s">
        <v>11980</v>
      </c>
      <c r="K37" t="s">
        <v>8397</v>
      </c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s="1" customFormat="1" x14ac:dyDescent="0.25">
      <c r="A38" t="s">
        <v>11981</v>
      </c>
      <c r="B38" t="s">
        <v>11982</v>
      </c>
      <c r="C38" s="111"/>
      <c r="D38" t="s">
        <v>11983</v>
      </c>
      <c r="E38"/>
      <c r="F38" t="s">
        <v>11985</v>
      </c>
      <c r="G38" t="s">
        <v>11984</v>
      </c>
      <c r="H38" t="s">
        <v>11863</v>
      </c>
      <c r="I38" t="s">
        <v>11982</v>
      </c>
      <c r="J38" t="s">
        <v>11985</v>
      </c>
      <c r="K38" t="s">
        <v>8397</v>
      </c>
    </row>
    <row r="39" spans="1:26" s="1" customFormat="1" x14ac:dyDescent="0.25">
      <c r="A39" t="s">
        <v>11986</v>
      </c>
      <c r="B39" t="s">
        <v>11987</v>
      </c>
      <c r="C39" s="111"/>
      <c r="D39" t="s">
        <v>9613</v>
      </c>
      <c r="E39">
        <v>0</v>
      </c>
      <c r="F39" t="s">
        <v>11988</v>
      </c>
      <c r="G39" t="s">
        <v>11863</v>
      </c>
      <c r="H39" t="s">
        <v>11863</v>
      </c>
      <c r="I39" t="s">
        <v>11987</v>
      </c>
      <c r="J39" t="s">
        <v>11988</v>
      </c>
      <c r="K39" t="s">
        <v>13163</v>
      </c>
    </row>
    <row r="40" spans="1:26" s="1" customFormat="1" x14ac:dyDescent="0.25">
      <c r="A40" t="s">
        <v>11989</v>
      </c>
      <c r="B40" t="s">
        <v>11990</v>
      </c>
      <c r="C40" s="111"/>
      <c r="D40" t="s">
        <v>11991</v>
      </c>
      <c r="E40">
        <v>0</v>
      </c>
      <c r="F40" t="s">
        <v>11992</v>
      </c>
      <c r="G40" t="s">
        <v>11863</v>
      </c>
      <c r="H40" t="s">
        <v>11863</v>
      </c>
      <c r="I40" t="s">
        <v>11990</v>
      </c>
      <c r="J40" t="s">
        <v>11992</v>
      </c>
      <c r="K40" t="s">
        <v>13163</v>
      </c>
    </row>
    <row r="41" spans="1:26" s="1" customFormat="1" x14ac:dyDescent="0.25">
      <c r="A41" t="s">
        <v>11993</v>
      </c>
      <c r="B41" t="s">
        <v>11994</v>
      </c>
      <c r="C41" s="111"/>
      <c r="D41" t="s">
        <v>8738</v>
      </c>
      <c r="E41">
        <v>0</v>
      </c>
      <c r="F41" t="s">
        <v>11995</v>
      </c>
      <c r="G41" t="s">
        <v>11994</v>
      </c>
      <c r="H41" t="s">
        <v>11863</v>
      </c>
      <c r="I41" t="s">
        <v>11994</v>
      </c>
      <c r="J41" t="s">
        <v>11995</v>
      </c>
      <c r="K41" t="s">
        <v>13164</v>
      </c>
    </row>
    <row r="42" spans="1:26" s="1" customFormat="1" x14ac:dyDescent="0.25">
      <c r="A42" t="s">
        <v>11996</v>
      </c>
      <c r="B42" t="s">
        <v>11997</v>
      </c>
      <c r="C42" s="111"/>
      <c r="D42" t="s">
        <v>11998</v>
      </c>
      <c r="E42">
        <v>0</v>
      </c>
      <c r="F42" t="s">
        <v>11999</v>
      </c>
      <c r="G42" t="s">
        <v>11863</v>
      </c>
      <c r="H42" t="s">
        <v>11863</v>
      </c>
      <c r="I42" t="s">
        <v>11997</v>
      </c>
      <c r="J42" t="s">
        <v>11999</v>
      </c>
      <c r="K42" t="s">
        <v>13163</v>
      </c>
    </row>
    <row r="43" spans="1:26" s="1" customFormat="1" x14ac:dyDescent="0.25">
      <c r="A43" t="s">
        <v>7964</v>
      </c>
      <c r="B43" t="s">
        <v>7965</v>
      </c>
      <c r="C43" s="111"/>
      <c r="D43" t="s">
        <v>7966</v>
      </c>
      <c r="E43">
        <v>1951</v>
      </c>
      <c r="F43" t="s">
        <v>7969</v>
      </c>
      <c r="G43" t="s">
        <v>7967</v>
      </c>
      <c r="H43" t="s">
        <v>7968</v>
      </c>
      <c r="I43" t="s">
        <v>7965</v>
      </c>
      <c r="J43" t="s">
        <v>7969</v>
      </c>
      <c r="K43" t="s">
        <v>7967</v>
      </c>
    </row>
    <row r="44" spans="1:26" s="1" customFormat="1" x14ac:dyDescent="0.25">
      <c r="A44" t="s">
        <v>7970</v>
      </c>
      <c r="B44" t="s">
        <v>7971</v>
      </c>
      <c r="C44" s="111"/>
      <c r="D44" t="s">
        <v>7972</v>
      </c>
      <c r="E44">
        <v>1140</v>
      </c>
      <c r="F44" t="s">
        <v>7973</v>
      </c>
      <c r="G44" t="s">
        <v>7971</v>
      </c>
      <c r="H44" t="s">
        <v>7968</v>
      </c>
      <c r="I44" t="s">
        <v>7971</v>
      </c>
      <c r="J44" t="s">
        <v>7973</v>
      </c>
      <c r="K44" t="s">
        <v>7971</v>
      </c>
    </row>
    <row r="45" spans="1:26" s="1" customFormat="1" x14ac:dyDescent="0.25">
      <c r="A45" t="s">
        <v>7974</v>
      </c>
      <c r="B45" t="s">
        <v>7975</v>
      </c>
      <c r="C45" s="111"/>
      <c r="D45" t="s">
        <v>7976</v>
      </c>
      <c r="E45">
        <v>1202</v>
      </c>
      <c r="F45" t="s">
        <v>7977</v>
      </c>
      <c r="G45" t="s">
        <v>7975</v>
      </c>
      <c r="H45" t="s">
        <v>7968</v>
      </c>
      <c r="I45" t="s">
        <v>7975</v>
      </c>
      <c r="J45" t="s">
        <v>7977</v>
      </c>
      <c r="K45" t="s">
        <v>7975</v>
      </c>
    </row>
    <row r="46" spans="1:26" s="1" customFormat="1" x14ac:dyDescent="0.25">
      <c r="A46" t="s">
        <v>7978</v>
      </c>
      <c r="B46" t="s">
        <v>7979</v>
      </c>
      <c r="C46" s="111"/>
      <c r="D46" t="s">
        <v>7980</v>
      </c>
      <c r="E46">
        <v>6001</v>
      </c>
      <c r="F46" t="s">
        <v>7981</v>
      </c>
      <c r="G46" t="s">
        <v>7979</v>
      </c>
      <c r="H46" t="s">
        <v>7968</v>
      </c>
      <c r="I46" t="s">
        <v>7979</v>
      </c>
      <c r="J46" t="s">
        <v>7981</v>
      </c>
      <c r="K46" t="s">
        <v>8046</v>
      </c>
    </row>
    <row r="47" spans="1:26" s="1" customFormat="1" x14ac:dyDescent="0.25">
      <c r="A47" t="s">
        <v>7982</v>
      </c>
      <c r="B47" t="s">
        <v>7983</v>
      </c>
      <c r="C47" s="111"/>
      <c r="D47" t="s">
        <v>7975</v>
      </c>
      <c r="E47">
        <v>3044</v>
      </c>
      <c r="F47" t="s">
        <v>7984</v>
      </c>
      <c r="G47" t="s">
        <v>7983</v>
      </c>
      <c r="H47" t="s">
        <v>7968</v>
      </c>
      <c r="I47" t="s">
        <v>7983</v>
      </c>
      <c r="J47" t="s">
        <v>7984</v>
      </c>
      <c r="K47" t="s">
        <v>7967</v>
      </c>
    </row>
    <row r="48" spans="1:26" s="1" customFormat="1" x14ac:dyDescent="0.25">
      <c r="A48" t="s">
        <v>7985</v>
      </c>
      <c r="B48" t="s">
        <v>7986</v>
      </c>
      <c r="C48" s="111"/>
      <c r="D48" t="s">
        <v>7987</v>
      </c>
      <c r="E48">
        <v>3586</v>
      </c>
      <c r="F48" t="s">
        <v>7988</v>
      </c>
      <c r="G48" t="s">
        <v>7986</v>
      </c>
      <c r="H48" t="s">
        <v>7968</v>
      </c>
      <c r="I48" t="s">
        <v>7986</v>
      </c>
      <c r="J48" t="s">
        <v>7988</v>
      </c>
      <c r="K48" t="s">
        <v>7975</v>
      </c>
    </row>
    <row r="49" spans="1:11" s="1" customFormat="1" x14ac:dyDescent="0.25">
      <c r="A49" t="s">
        <v>7989</v>
      </c>
      <c r="B49" t="s">
        <v>7990</v>
      </c>
      <c r="C49" s="111"/>
      <c r="D49" t="s">
        <v>7968</v>
      </c>
      <c r="E49">
        <v>7479</v>
      </c>
      <c r="F49" t="s">
        <v>7991</v>
      </c>
      <c r="G49" t="s">
        <v>7990</v>
      </c>
      <c r="H49" t="s">
        <v>7968</v>
      </c>
      <c r="I49" t="s">
        <v>7990</v>
      </c>
      <c r="J49" t="s">
        <v>7991</v>
      </c>
      <c r="K49" t="s">
        <v>7967</v>
      </c>
    </row>
    <row r="50" spans="1:11" s="1" customFormat="1" x14ac:dyDescent="0.25">
      <c r="A50" t="s">
        <v>7992</v>
      </c>
      <c r="B50" t="s">
        <v>7993</v>
      </c>
      <c r="C50" s="111"/>
      <c r="D50" t="s">
        <v>7994</v>
      </c>
      <c r="E50">
        <v>9718</v>
      </c>
      <c r="F50" t="s">
        <v>7995</v>
      </c>
      <c r="G50" t="s">
        <v>7993</v>
      </c>
      <c r="H50" t="s">
        <v>7968</v>
      </c>
      <c r="I50" t="s">
        <v>7993</v>
      </c>
      <c r="J50" t="s">
        <v>7995</v>
      </c>
      <c r="K50" t="s">
        <v>13169</v>
      </c>
    </row>
    <row r="51" spans="1:11" s="1" customFormat="1" x14ac:dyDescent="0.25">
      <c r="A51" t="s">
        <v>7996</v>
      </c>
      <c r="B51" t="s">
        <v>7997</v>
      </c>
      <c r="C51" s="111"/>
      <c r="D51" t="s">
        <v>7998</v>
      </c>
      <c r="E51">
        <v>766</v>
      </c>
      <c r="F51" t="s">
        <v>7999</v>
      </c>
      <c r="G51" t="s">
        <v>7997</v>
      </c>
      <c r="H51" t="s">
        <v>7968</v>
      </c>
      <c r="I51" t="s">
        <v>7997</v>
      </c>
      <c r="J51" t="s">
        <v>7999</v>
      </c>
      <c r="K51" t="s">
        <v>8046</v>
      </c>
    </row>
    <row r="52" spans="1:11" s="1" customFormat="1" x14ac:dyDescent="0.25">
      <c r="A52" t="s">
        <v>8000</v>
      </c>
      <c r="B52" t="s">
        <v>8001</v>
      </c>
      <c r="C52" s="111"/>
      <c r="D52" t="s">
        <v>8002</v>
      </c>
      <c r="E52">
        <v>2647</v>
      </c>
      <c r="F52" t="s">
        <v>8004</v>
      </c>
      <c r="G52" t="s">
        <v>8003</v>
      </c>
      <c r="H52" t="s">
        <v>7968</v>
      </c>
      <c r="I52" t="s">
        <v>8001</v>
      </c>
      <c r="J52" t="s">
        <v>8004</v>
      </c>
      <c r="K52" t="s">
        <v>8046</v>
      </c>
    </row>
    <row r="53" spans="1:11" s="1" customFormat="1" x14ac:dyDescent="0.25">
      <c r="A53" t="s">
        <v>8005</v>
      </c>
      <c r="B53" t="s">
        <v>8006</v>
      </c>
      <c r="C53" s="111"/>
      <c r="D53" t="s">
        <v>7980</v>
      </c>
      <c r="E53">
        <v>3745</v>
      </c>
      <c r="F53" t="s">
        <v>8008</v>
      </c>
      <c r="G53" t="s">
        <v>8007</v>
      </c>
      <c r="H53" t="s">
        <v>7968</v>
      </c>
      <c r="I53" t="s">
        <v>8006</v>
      </c>
      <c r="J53" t="s">
        <v>8008</v>
      </c>
      <c r="K53" t="s">
        <v>8046</v>
      </c>
    </row>
    <row r="54" spans="1:11" s="1" customFormat="1" x14ac:dyDescent="0.25">
      <c r="A54" t="s">
        <v>8009</v>
      </c>
      <c r="B54" t="s">
        <v>8010</v>
      </c>
      <c r="C54" s="111"/>
      <c r="D54" t="s">
        <v>8011</v>
      </c>
      <c r="E54">
        <v>14</v>
      </c>
      <c r="F54" t="s">
        <v>8013</v>
      </c>
      <c r="G54" t="s">
        <v>8012</v>
      </c>
      <c r="H54" t="s">
        <v>7968</v>
      </c>
      <c r="I54" t="s">
        <v>8010</v>
      </c>
      <c r="J54" t="s">
        <v>8013</v>
      </c>
      <c r="K54" t="s">
        <v>9212</v>
      </c>
    </row>
    <row r="55" spans="1:11" s="1" customFormat="1" x14ac:dyDescent="0.25">
      <c r="A55" t="s">
        <v>8014</v>
      </c>
      <c r="B55" t="s">
        <v>8015</v>
      </c>
      <c r="C55" s="111"/>
      <c r="D55" t="s">
        <v>8016</v>
      </c>
      <c r="E55">
        <v>2579</v>
      </c>
      <c r="F55" t="s">
        <v>8017</v>
      </c>
      <c r="G55" t="s">
        <v>8015</v>
      </c>
      <c r="H55" t="s">
        <v>7968</v>
      </c>
      <c r="I55" t="s">
        <v>8015</v>
      </c>
      <c r="J55" t="s">
        <v>8017</v>
      </c>
      <c r="K55" t="s">
        <v>8042</v>
      </c>
    </row>
    <row r="56" spans="1:11" s="1" customFormat="1" x14ac:dyDescent="0.25">
      <c r="A56" t="s">
        <v>8018</v>
      </c>
      <c r="B56" t="s">
        <v>8019</v>
      </c>
      <c r="C56" s="111"/>
      <c r="D56" t="s">
        <v>8020</v>
      </c>
      <c r="E56">
        <v>2849</v>
      </c>
      <c r="F56" t="s">
        <v>8021</v>
      </c>
      <c r="G56" t="s">
        <v>8019</v>
      </c>
      <c r="H56" t="s">
        <v>7968</v>
      </c>
      <c r="I56" t="s">
        <v>8019</v>
      </c>
      <c r="J56" t="s">
        <v>8021</v>
      </c>
      <c r="K56" t="s">
        <v>7975</v>
      </c>
    </row>
    <row r="57" spans="1:11" s="1" customFormat="1" x14ac:dyDescent="0.25">
      <c r="A57" t="s">
        <v>8022</v>
      </c>
      <c r="B57" t="s">
        <v>8023</v>
      </c>
      <c r="C57" s="111"/>
      <c r="D57" t="s">
        <v>8024</v>
      </c>
      <c r="E57">
        <v>532</v>
      </c>
      <c r="F57" t="s">
        <v>8025</v>
      </c>
      <c r="G57" t="s">
        <v>8023</v>
      </c>
      <c r="H57" t="s">
        <v>7968</v>
      </c>
      <c r="I57" t="s">
        <v>8023</v>
      </c>
      <c r="J57" t="s">
        <v>8025</v>
      </c>
      <c r="K57" t="s">
        <v>7971</v>
      </c>
    </row>
    <row r="58" spans="1:11" s="1" customFormat="1" x14ac:dyDescent="0.25">
      <c r="A58" t="s">
        <v>8026</v>
      </c>
      <c r="B58" t="s">
        <v>8027</v>
      </c>
      <c r="C58" s="111"/>
      <c r="D58" t="s">
        <v>8028</v>
      </c>
      <c r="E58">
        <v>4041</v>
      </c>
      <c r="F58" t="s">
        <v>8029</v>
      </c>
      <c r="G58" t="s">
        <v>8027</v>
      </c>
      <c r="H58" t="s">
        <v>7968</v>
      </c>
      <c r="I58" t="s">
        <v>8027</v>
      </c>
      <c r="J58" t="s">
        <v>8029</v>
      </c>
      <c r="K58" t="s">
        <v>7967</v>
      </c>
    </row>
    <row r="59" spans="1:11" s="1" customFormat="1" x14ac:dyDescent="0.25">
      <c r="A59" t="s">
        <v>8030</v>
      </c>
      <c r="B59" t="s">
        <v>8031</v>
      </c>
      <c r="C59" s="111"/>
      <c r="D59" t="s">
        <v>8032</v>
      </c>
      <c r="E59">
        <v>2683</v>
      </c>
      <c r="F59" t="s">
        <v>8033</v>
      </c>
      <c r="G59" t="s">
        <v>8031</v>
      </c>
      <c r="H59" t="s">
        <v>7968</v>
      </c>
      <c r="I59" t="s">
        <v>8031</v>
      </c>
      <c r="J59" t="s">
        <v>8033</v>
      </c>
      <c r="K59" t="s">
        <v>7975</v>
      </c>
    </row>
    <row r="60" spans="1:11" s="1" customFormat="1" x14ac:dyDescent="0.25">
      <c r="A60" t="s">
        <v>8034</v>
      </c>
      <c r="B60" t="s">
        <v>8035</v>
      </c>
      <c r="C60" s="111"/>
      <c r="D60" t="s">
        <v>8032</v>
      </c>
      <c r="E60">
        <v>438</v>
      </c>
      <c r="F60" t="s">
        <v>8036</v>
      </c>
      <c r="G60" t="s">
        <v>8019</v>
      </c>
      <c r="H60" t="s">
        <v>7968</v>
      </c>
      <c r="I60" t="s">
        <v>8035</v>
      </c>
      <c r="J60" t="s">
        <v>8036</v>
      </c>
      <c r="K60" t="s">
        <v>7975</v>
      </c>
    </row>
    <row r="61" spans="1:11" s="1" customFormat="1" x14ac:dyDescent="0.25">
      <c r="A61" t="s">
        <v>8037</v>
      </c>
      <c r="B61" t="s">
        <v>8038</v>
      </c>
      <c r="C61" s="111"/>
      <c r="D61" t="s">
        <v>8039</v>
      </c>
      <c r="E61">
        <v>3063</v>
      </c>
      <c r="F61" t="s">
        <v>8040</v>
      </c>
      <c r="G61" t="s">
        <v>8038</v>
      </c>
      <c r="H61" t="s">
        <v>7968</v>
      </c>
      <c r="I61" t="s">
        <v>8038</v>
      </c>
      <c r="J61" t="s">
        <v>8040</v>
      </c>
      <c r="K61" t="s">
        <v>7967</v>
      </c>
    </row>
    <row r="62" spans="1:11" s="1" customFormat="1" x14ac:dyDescent="0.25">
      <c r="A62" t="s">
        <v>8041</v>
      </c>
      <c r="B62" t="s">
        <v>8042</v>
      </c>
      <c r="C62" s="111"/>
      <c r="D62" t="s">
        <v>8043</v>
      </c>
      <c r="E62">
        <v>555</v>
      </c>
      <c r="F62" t="s">
        <v>8044</v>
      </c>
      <c r="G62" t="s">
        <v>8042</v>
      </c>
      <c r="H62" t="s">
        <v>7968</v>
      </c>
      <c r="I62" t="s">
        <v>8042</v>
      </c>
      <c r="J62" t="s">
        <v>8044</v>
      </c>
      <c r="K62" t="s">
        <v>8042</v>
      </c>
    </row>
    <row r="63" spans="1:11" s="1" customFormat="1" x14ac:dyDescent="0.25">
      <c r="A63" t="s">
        <v>8045</v>
      </c>
      <c r="B63" t="s">
        <v>8046</v>
      </c>
      <c r="C63" s="111"/>
      <c r="D63" t="s">
        <v>8047</v>
      </c>
      <c r="E63">
        <v>102</v>
      </c>
      <c r="F63" t="s">
        <v>8048</v>
      </c>
      <c r="G63" t="s">
        <v>8046</v>
      </c>
      <c r="H63" t="s">
        <v>7968</v>
      </c>
      <c r="I63" t="s">
        <v>8046</v>
      </c>
      <c r="J63" t="s">
        <v>8048</v>
      </c>
      <c r="K63" t="s">
        <v>8046</v>
      </c>
    </row>
    <row r="64" spans="1:11" s="1" customFormat="1" x14ac:dyDescent="0.25">
      <c r="A64" t="s">
        <v>8049</v>
      </c>
      <c r="B64" t="s">
        <v>8050</v>
      </c>
      <c r="C64" s="111"/>
      <c r="D64" t="s">
        <v>8051</v>
      </c>
      <c r="E64">
        <v>1398</v>
      </c>
      <c r="F64" t="s">
        <v>8052</v>
      </c>
      <c r="G64" t="s">
        <v>8050</v>
      </c>
      <c r="H64" t="s">
        <v>7968</v>
      </c>
      <c r="I64" t="s">
        <v>8050</v>
      </c>
      <c r="J64" t="s">
        <v>8052</v>
      </c>
      <c r="K64" t="s">
        <v>8050</v>
      </c>
    </row>
    <row r="65" spans="1:11" s="1" customFormat="1" x14ac:dyDescent="0.25">
      <c r="A65" t="s">
        <v>8053</v>
      </c>
      <c r="B65" t="s">
        <v>8054</v>
      </c>
      <c r="C65" s="111"/>
      <c r="D65" t="s">
        <v>8055</v>
      </c>
      <c r="E65">
        <v>1090</v>
      </c>
      <c r="F65" t="s">
        <v>8056</v>
      </c>
      <c r="G65" t="s">
        <v>8054</v>
      </c>
      <c r="H65" t="s">
        <v>7968</v>
      </c>
      <c r="I65" t="s">
        <v>8054</v>
      </c>
      <c r="J65" t="s">
        <v>8056</v>
      </c>
      <c r="K65" t="s">
        <v>8050</v>
      </c>
    </row>
    <row r="66" spans="1:11" s="1" customFormat="1" x14ac:dyDescent="0.25">
      <c r="A66" t="s">
        <v>8057</v>
      </c>
      <c r="B66" t="s">
        <v>8003</v>
      </c>
      <c r="C66" s="111"/>
      <c r="D66" t="s">
        <v>8058</v>
      </c>
      <c r="E66">
        <v>2384</v>
      </c>
      <c r="F66" t="s">
        <v>8059</v>
      </c>
      <c r="G66" t="s">
        <v>8003</v>
      </c>
      <c r="H66" t="s">
        <v>7968</v>
      </c>
      <c r="I66" t="s">
        <v>8003</v>
      </c>
      <c r="J66" t="s">
        <v>8059</v>
      </c>
      <c r="K66" t="s">
        <v>8046</v>
      </c>
    </row>
    <row r="67" spans="1:11" s="1" customFormat="1" x14ac:dyDescent="0.25">
      <c r="A67" t="s">
        <v>8060</v>
      </c>
      <c r="B67" t="s">
        <v>8061</v>
      </c>
      <c r="C67" s="111"/>
      <c r="D67" t="s">
        <v>8062</v>
      </c>
      <c r="E67">
        <v>1008</v>
      </c>
      <c r="F67" t="s">
        <v>8063</v>
      </c>
      <c r="G67" t="s">
        <v>8061</v>
      </c>
      <c r="H67" t="s">
        <v>7968</v>
      </c>
      <c r="I67" t="s">
        <v>8061</v>
      </c>
      <c r="J67" t="s">
        <v>8063</v>
      </c>
      <c r="K67" t="s">
        <v>8061</v>
      </c>
    </row>
    <row r="68" spans="1:11" s="1" customFormat="1" x14ac:dyDescent="0.25">
      <c r="A68" t="s">
        <v>8064</v>
      </c>
      <c r="B68" t="s">
        <v>8065</v>
      </c>
      <c r="C68" s="111"/>
      <c r="D68" t="s">
        <v>13969</v>
      </c>
      <c r="E68">
        <v>5009</v>
      </c>
      <c r="F68" t="s">
        <v>8067</v>
      </c>
      <c r="G68" t="s">
        <v>8066</v>
      </c>
      <c r="H68" t="s">
        <v>7968</v>
      </c>
      <c r="I68" t="s">
        <v>8065</v>
      </c>
      <c r="J68" t="s">
        <v>8067</v>
      </c>
      <c r="K68" t="s">
        <v>8066</v>
      </c>
    </row>
    <row r="69" spans="1:11" s="1" customFormat="1" x14ac:dyDescent="0.25">
      <c r="A69" t="s">
        <v>8068</v>
      </c>
      <c r="B69" t="s">
        <v>8069</v>
      </c>
      <c r="C69" s="111"/>
      <c r="D69" t="s">
        <v>8070</v>
      </c>
      <c r="E69">
        <v>444</v>
      </c>
      <c r="F69" t="s">
        <v>8072</v>
      </c>
      <c r="G69" t="s">
        <v>8071</v>
      </c>
      <c r="H69" t="s">
        <v>7968</v>
      </c>
      <c r="I69" t="s">
        <v>8069</v>
      </c>
      <c r="J69" t="s">
        <v>8072</v>
      </c>
      <c r="K69" t="s">
        <v>8061</v>
      </c>
    </row>
    <row r="70" spans="1:11" s="1" customFormat="1" x14ac:dyDescent="0.25">
      <c r="A70" t="s">
        <v>8073</v>
      </c>
      <c r="B70" t="s">
        <v>8074</v>
      </c>
      <c r="C70" s="111"/>
      <c r="D70" t="s">
        <v>8075</v>
      </c>
      <c r="E70">
        <v>1539</v>
      </c>
      <c r="F70" t="s">
        <v>8076</v>
      </c>
      <c r="G70" t="s">
        <v>8074</v>
      </c>
      <c r="H70" t="s">
        <v>7968</v>
      </c>
      <c r="I70" t="s">
        <v>8074</v>
      </c>
      <c r="J70" t="s">
        <v>8076</v>
      </c>
      <c r="K70" t="s">
        <v>7971</v>
      </c>
    </row>
    <row r="71" spans="1:11" s="1" customFormat="1" x14ac:dyDescent="0.25">
      <c r="A71" t="s">
        <v>8077</v>
      </c>
      <c r="B71" t="s">
        <v>8078</v>
      </c>
      <c r="C71" s="111"/>
      <c r="D71" t="s">
        <v>8079</v>
      </c>
      <c r="E71">
        <v>1722</v>
      </c>
      <c r="F71" t="s">
        <v>8080</v>
      </c>
      <c r="G71" t="s">
        <v>8078</v>
      </c>
      <c r="H71" t="s">
        <v>7968</v>
      </c>
      <c r="I71" t="s">
        <v>8078</v>
      </c>
      <c r="J71" t="s">
        <v>8080</v>
      </c>
      <c r="K71" t="s">
        <v>8511</v>
      </c>
    </row>
    <row r="72" spans="1:11" s="1" customFormat="1" x14ac:dyDescent="0.25">
      <c r="A72" t="s">
        <v>8081</v>
      </c>
      <c r="B72" t="s">
        <v>8082</v>
      </c>
      <c r="C72" s="111"/>
      <c r="D72" t="s">
        <v>8083</v>
      </c>
      <c r="E72">
        <v>1395</v>
      </c>
      <c r="F72" t="s">
        <v>8084</v>
      </c>
      <c r="G72" t="s">
        <v>8082</v>
      </c>
      <c r="H72" t="s">
        <v>7968</v>
      </c>
      <c r="I72" t="s">
        <v>8082</v>
      </c>
      <c r="J72" t="s">
        <v>8084</v>
      </c>
      <c r="K72" t="s">
        <v>8901</v>
      </c>
    </row>
    <row r="73" spans="1:11" s="1" customFormat="1" x14ac:dyDescent="0.25">
      <c r="A73" t="s">
        <v>8085</v>
      </c>
      <c r="B73" t="s">
        <v>8086</v>
      </c>
      <c r="C73" s="111"/>
      <c r="D73" t="s">
        <v>8087</v>
      </c>
      <c r="E73">
        <v>2639</v>
      </c>
      <c r="F73" t="s">
        <v>8088</v>
      </c>
      <c r="G73" t="s">
        <v>8086</v>
      </c>
      <c r="H73" t="s">
        <v>7968</v>
      </c>
      <c r="I73" t="s">
        <v>8086</v>
      </c>
      <c r="J73" t="s">
        <v>8088</v>
      </c>
      <c r="K73" t="s">
        <v>8511</v>
      </c>
    </row>
    <row r="74" spans="1:11" s="1" customFormat="1" x14ac:dyDescent="0.25">
      <c r="A74" t="s">
        <v>8089</v>
      </c>
      <c r="B74" t="s">
        <v>8090</v>
      </c>
      <c r="C74" s="111"/>
      <c r="D74" t="s">
        <v>8091</v>
      </c>
      <c r="E74">
        <v>22</v>
      </c>
      <c r="F74" t="s">
        <v>8092</v>
      </c>
      <c r="G74" t="s">
        <v>8090</v>
      </c>
      <c r="H74" t="s">
        <v>7968</v>
      </c>
      <c r="I74" t="s">
        <v>8090</v>
      </c>
      <c r="J74" t="s">
        <v>8092</v>
      </c>
      <c r="K74" t="s">
        <v>8511</v>
      </c>
    </row>
    <row r="75" spans="1:11" s="1" customFormat="1" x14ac:dyDescent="0.25">
      <c r="A75" t="s">
        <v>8093</v>
      </c>
      <c r="B75" t="s">
        <v>8094</v>
      </c>
      <c r="C75" s="111"/>
      <c r="D75" t="s">
        <v>8095</v>
      </c>
      <c r="E75">
        <v>2882</v>
      </c>
      <c r="F75" t="s">
        <v>8096</v>
      </c>
      <c r="G75" t="s">
        <v>8094</v>
      </c>
      <c r="H75" t="s">
        <v>7968</v>
      </c>
      <c r="I75" t="s">
        <v>8094</v>
      </c>
      <c r="J75" t="s">
        <v>8096</v>
      </c>
      <c r="K75" t="s">
        <v>7971</v>
      </c>
    </row>
    <row r="76" spans="1:11" s="1" customFormat="1" x14ac:dyDescent="0.25">
      <c r="A76" t="s">
        <v>8097</v>
      </c>
      <c r="B76" t="s">
        <v>8098</v>
      </c>
      <c r="C76" s="111"/>
      <c r="D76" t="s">
        <v>8099</v>
      </c>
      <c r="E76">
        <v>1899</v>
      </c>
      <c r="F76" t="s">
        <v>8101</v>
      </c>
      <c r="G76" t="s">
        <v>8100</v>
      </c>
      <c r="H76" t="s">
        <v>7968</v>
      </c>
      <c r="I76" t="s">
        <v>8098</v>
      </c>
      <c r="J76" t="s">
        <v>8101</v>
      </c>
      <c r="K76" t="s">
        <v>8112</v>
      </c>
    </row>
    <row r="77" spans="1:11" s="1" customFormat="1" x14ac:dyDescent="0.25">
      <c r="A77" t="s">
        <v>8102</v>
      </c>
      <c r="B77" t="s">
        <v>8103</v>
      </c>
      <c r="C77" s="111"/>
      <c r="D77" t="s">
        <v>8104</v>
      </c>
      <c r="E77">
        <v>0</v>
      </c>
      <c r="F77" t="s">
        <v>8105</v>
      </c>
      <c r="G77" t="s">
        <v>8103</v>
      </c>
      <c r="H77" t="s">
        <v>7968</v>
      </c>
      <c r="I77" t="s">
        <v>8103</v>
      </c>
      <c r="J77" t="s">
        <v>8105</v>
      </c>
      <c r="K77" t="s">
        <v>8237</v>
      </c>
    </row>
    <row r="78" spans="1:11" s="1" customFormat="1" x14ac:dyDescent="0.25">
      <c r="A78" t="s">
        <v>8106</v>
      </c>
      <c r="B78" t="s">
        <v>8107</v>
      </c>
      <c r="C78" s="111"/>
      <c r="D78" t="s">
        <v>8108</v>
      </c>
      <c r="E78">
        <v>1076</v>
      </c>
      <c r="F78" t="s">
        <v>8110</v>
      </c>
      <c r="G78" t="s">
        <v>8109</v>
      </c>
      <c r="H78" t="s">
        <v>7968</v>
      </c>
      <c r="I78" t="s">
        <v>8107</v>
      </c>
      <c r="J78" t="s">
        <v>8110</v>
      </c>
      <c r="K78" t="s">
        <v>11654</v>
      </c>
    </row>
    <row r="79" spans="1:11" s="1" customFormat="1" x14ac:dyDescent="0.25">
      <c r="A79" t="s">
        <v>8111</v>
      </c>
      <c r="B79" t="s">
        <v>8112</v>
      </c>
      <c r="C79" s="111"/>
      <c r="D79" t="s">
        <v>8113</v>
      </c>
      <c r="E79">
        <v>390</v>
      </c>
      <c r="F79" t="s">
        <v>8114</v>
      </c>
      <c r="G79" t="s">
        <v>8112</v>
      </c>
      <c r="H79" t="s">
        <v>7968</v>
      </c>
      <c r="I79" t="s">
        <v>8112</v>
      </c>
      <c r="J79" t="s">
        <v>8114</v>
      </c>
      <c r="K79" t="s">
        <v>8112</v>
      </c>
    </row>
    <row r="80" spans="1:11" s="1" customFormat="1" x14ac:dyDescent="0.25">
      <c r="A80" t="s">
        <v>8115</v>
      </c>
      <c r="B80" t="s">
        <v>8116</v>
      </c>
      <c r="C80" s="111"/>
      <c r="D80" t="s">
        <v>8117</v>
      </c>
      <c r="E80">
        <v>4751</v>
      </c>
      <c r="F80" t="s">
        <v>8118</v>
      </c>
      <c r="G80" t="s">
        <v>8116</v>
      </c>
      <c r="H80" t="s">
        <v>7968</v>
      </c>
      <c r="I80" t="s">
        <v>8116</v>
      </c>
      <c r="J80" t="s">
        <v>8118</v>
      </c>
      <c r="K80" t="s">
        <v>8116</v>
      </c>
    </row>
    <row r="81" spans="1:11" s="1" customFormat="1" x14ac:dyDescent="0.25">
      <c r="A81" t="s">
        <v>8119</v>
      </c>
      <c r="B81" t="s">
        <v>8120</v>
      </c>
      <c r="C81" s="111"/>
      <c r="D81" t="s">
        <v>8121</v>
      </c>
      <c r="E81">
        <v>4155</v>
      </c>
      <c r="F81" t="s">
        <v>8122</v>
      </c>
      <c r="G81" t="s">
        <v>8120</v>
      </c>
      <c r="H81" t="s">
        <v>7968</v>
      </c>
      <c r="I81" t="s">
        <v>8120</v>
      </c>
      <c r="J81" t="s">
        <v>8122</v>
      </c>
      <c r="K81" t="s">
        <v>13170</v>
      </c>
    </row>
    <row r="82" spans="1:11" s="1" customFormat="1" x14ac:dyDescent="0.25">
      <c r="A82" t="s">
        <v>8123</v>
      </c>
      <c r="B82" t="s">
        <v>8124</v>
      </c>
      <c r="C82" s="111"/>
      <c r="D82" t="s">
        <v>13970</v>
      </c>
      <c r="E82">
        <v>3212</v>
      </c>
      <c r="F82" t="s">
        <v>8125</v>
      </c>
      <c r="G82" t="s">
        <v>8124</v>
      </c>
      <c r="H82" t="s">
        <v>7968</v>
      </c>
      <c r="I82" t="s">
        <v>8124</v>
      </c>
      <c r="J82" t="s">
        <v>8125</v>
      </c>
      <c r="K82" t="s">
        <v>8124</v>
      </c>
    </row>
    <row r="83" spans="1:11" s="1" customFormat="1" x14ac:dyDescent="0.25">
      <c r="A83" t="s">
        <v>8126</v>
      </c>
      <c r="B83" t="s">
        <v>8127</v>
      </c>
      <c r="C83" s="111"/>
      <c r="D83" t="s">
        <v>8128</v>
      </c>
      <c r="E83">
        <v>2317</v>
      </c>
      <c r="F83" t="s">
        <v>8129</v>
      </c>
      <c r="G83" t="s">
        <v>8127</v>
      </c>
      <c r="H83" t="s">
        <v>7968</v>
      </c>
      <c r="I83" t="s">
        <v>8127</v>
      </c>
      <c r="J83" t="s">
        <v>8129</v>
      </c>
      <c r="K83" t="s">
        <v>8139</v>
      </c>
    </row>
    <row r="84" spans="1:11" s="1" customFormat="1" x14ac:dyDescent="0.25">
      <c r="A84" t="s">
        <v>8130</v>
      </c>
      <c r="B84" t="s">
        <v>8131</v>
      </c>
      <c r="C84" s="111"/>
      <c r="D84" t="s">
        <v>8132</v>
      </c>
      <c r="E84">
        <v>6801</v>
      </c>
      <c r="F84" t="s">
        <v>8133</v>
      </c>
      <c r="G84" t="s">
        <v>8131</v>
      </c>
      <c r="H84" t="s">
        <v>7968</v>
      </c>
      <c r="I84" t="s">
        <v>8131</v>
      </c>
      <c r="J84" t="s">
        <v>8133</v>
      </c>
      <c r="K84" t="s">
        <v>13170</v>
      </c>
    </row>
    <row r="85" spans="1:11" s="1" customFormat="1" x14ac:dyDescent="0.25">
      <c r="A85" t="s">
        <v>8134</v>
      </c>
      <c r="B85" t="s">
        <v>8135</v>
      </c>
      <c r="C85" s="111"/>
      <c r="D85" t="s">
        <v>8136</v>
      </c>
      <c r="E85">
        <v>2204</v>
      </c>
      <c r="F85" t="s">
        <v>8137</v>
      </c>
      <c r="G85" t="s">
        <v>8135</v>
      </c>
      <c r="H85" t="s">
        <v>7968</v>
      </c>
      <c r="I85" t="s">
        <v>8135</v>
      </c>
      <c r="J85" t="s">
        <v>8137</v>
      </c>
      <c r="K85" t="s">
        <v>11654</v>
      </c>
    </row>
    <row r="86" spans="1:11" s="1" customFormat="1" x14ac:dyDescent="0.25">
      <c r="A86" t="s">
        <v>8138</v>
      </c>
      <c r="B86" t="s">
        <v>8139</v>
      </c>
      <c r="C86" s="111"/>
      <c r="D86" t="s">
        <v>8140</v>
      </c>
      <c r="E86">
        <v>2055</v>
      </c>
      <c r="F86" t="s">
        <v>8142</v>
      </c>
      <c r="G86" t="s">
        <v>8141</v>
      </c>
      <c r="H86" t="s">
        <v>7968</v>
      </c>
      <c r="I86" t="s">
        <v>8139</v>
      </c>
      <c r="J86" t="s">
        <v>8142</v>
      </c>
      <c r="K86" t="s">
        <v>8139</v>
      </c>
    </row>
    <row r="87" spans="1:11" s="1" customFormat="1" x14ac:dyDescent="0.25">
      <c r="A87" t="s">
        <v>8143</v>
      </c>
      <c r="B87" t="s">
        <v>8144</v>
      </c>
      <c r="C87" s="111"/>
      <c r="D87" t="s">
        <v>8145</v>
      </c>
      <c r="E87">
        <v>2407</v>
      </c>
      <c r="F87" t="s">
        <v>8147</v>
      </c>
      <c r="G87" t="s">
        <v>8146</v>
      </c>
      <c r="H87" t="s">
        <v>7968</v>
      </c>
      <c r="I87" t="s">
        <v>8144</v>
      </c>
      <c r="J87" t="s">
        <v>8147</v>
      </c>
      <c r="K87" t="s">
        <v>13170</v>
      </c>
    </row>
    <row r="88" spans="1:11" s="1" customFormat="1" x14ac:dyDescent="0.25">
      <c r="A88" t="s">
        <v>8148</v>
      </c>
      <c r="B88" t="s">
        <v>8149</v>
      </c>
      <c r="C88" s="111"/>
      <c r="D88" t="s">
        <v>8132</v>
      </c>
      <c r="E88">
        <v>691</v>
      </c>
      <c r="F88" t="s">
        <v>8150</v>
      </c>
      <c r="G88" t="s">
        <v>8149</v>
      </c>
      <c r="H88" t="s">
        <v>7968</v>
      </c>
      <c r="I88" t="s">
        <v>8149</v>
      </c>
      <c r="J88" t="s">
        <v>8150</v>
      </c>
      <c r="K88" t="s">
        <v>13170</v>
      </c>
    </row>
    <row r="89" spans="1:11" s="1" customFormat="1" x14ac:dyDescent="0.25">
      <c r="A89" t="s">
        <v>8151</v>
      </c>
      <c r="B89" t="s">
        <v>8152</v>
      </c>
      <c r="C89" s="111"/>
      <c r="D89" t="s">
        <v>8128</v>
      </c>
      <c r="E89">
        <v>6133</v>
      </c>
      <c r="F89" t="s">
        <v>8153</v>
      </c>
      <c r="G89" t="s">
        <v>8152</v>
      </c>
      <c r="H89" t="s">
        <v>7968</v>
      </c>
      <c r="I89" t="s">
        <v>8152</v>
      </c>
      <c r="J89" t="s">
        <v>8153</v>
      </c>
      <c r="K89" t="s">
        <v>8139</v>
      </c>
    </row>
    <row r="90" spans="1:11" s="1" customFormat="1" x14ac:dyDescent="0.25">
      <c r="A90" t="s">
        <v>8154</v>
      </c>
      <c r="B90" t="s">
        <v>8155</v>
      </c>
      <c r="C90" s="111"/>
      <c r="D90" t="s">
        <v>8156</v>
      </c>
      <c r="E90">
        <v>3171</v>
      </c>
      <c r="F90" t="s">
        <v>8157</v>
      </c>
      <c r="G90" t="s">
        <v>8155</v>
      </c>
      <c r="H90" t="s">
        <v>7968</v>
      </c>
      <c r="I90" t="s">
        <v>8155</v>
      </c>
      <c r="J90" t="s">
        <v>8157</v>
      </c>
      <c r="K90" t="s">
        <v>13170</v>
      </c>
    </row>
    <row r="91" spans="1:11" s="1" customFormat="1" x14ac:dyDescent="0.25">
      <c r="A91" t="s">
        <v>8158</v>
      </c>
      <c r="B91" t="s">
        <v>8159</v>
      </c>
      <c r="C91" s="111"/>
      <c r="D91" t="s">
        <v>8160</v>
      </c>
      <c r="E91">
        <v>3035</v>
      </c>
      <c r="F91" t="s">
        <v>8161</v>
      </c>
      <c r="G91" t="s">
        <v>8159</v>
      </c>
      <c r="H91" t="s">
        <v>7968</v>
      </c>
      <c r="I91" t="s">
        <v>8159</v>
      </c>
      <c r="J91" t="s">
        <v>8161</v>
      </c>
      <c r="K91" t="s">
        <v>13170</v>
      </c>
    </row>
    <row r="92" spans="1:11" s="1" customFormat="1" x14ac:dyDescent="0.25">
      <c r="A92" t="s">
        <v>8162</v>
      </c>
      <c r="B92" t="s">
        <v>8163</v>
      </c>
      <c r="C92" s="111"/>
      <c r="D92" t="s">
        <v>8164</v>
      </c>
      <c r="E92">
        <v>13</v>
      </c>
      <c r="F92" t="s">
        <v>8165</v>
      </c>
      <c r="G92" t="s">
        <v>8146</v>
      </c>
      <c r="H92" t="s">
        <v>7968</v>
      </c>
      <c r="I92" t="s">
        <v>8163</v>
      </c>
      <c r="J92" t="s">
        <v>8165</v>
      </c>
      <c r="K92" t="s">
        <v>13170</v>
      </c>
    </row>
    <row r="93" spans="1:11" s="1" customFormat="1" x14ac:dyDescent="0.25">
      <c r="A93" t="s">
        <v>8166</v>
      </c>
      <c r="B93" t="s">
        <v>8167</v>
      </c>
      <c r="C93" s="111"/>
      <c r="D93" t="s">
        <v>8168</v>
      </c>
      <c r="E93">
        <v>3394</v>
      </c>
      <c r="F93" t="s">
        <v>8169</v>
      </c>
      <c r="G93" t="s">
        <v>8167</v>
      </c>
      <c r="H93" t="s">
        <v>7968</v>
      </c>
      <c r="I93" t="s">
        <v>8167</v>
      </c>
      <c r="J93" t="s">
        <v>8169</v>
      </c>
      <c r="K93" t="s">
        <v>9219</v>
      </c>
    </row>
    <row r="94" spans="1:11" s="1" customFormat="1" x14ac:dyDescent="0.25">
      <c r="A94" t="s">
        <v>8170</v>
      </c>
      <c r="B94" t="s">
        <v>8171</v>
      </c>
      <c r="C94" s="111"/>
      <c r="D94" t="s">
        <v>8172</v>
      </c>
      <c r="E94">
        <v>664</v>
      </c>
      <c r="F94" t="s">
        <v>8173</v>
      </c>
      <c r="G94" t="s">
        <v>8171</v>
      </c>
      <c r="H94" t="s">
        <v>7968</v>
      </c>
      <c r="I94" t="s">
        <v>8171</v>
      </c>
      <c r="J94" t="s">
        <v>8173</v>
      </c>
      <c r="K94" t="s">
        <v>8139</v>
      </c>
    </row>
    <row r="95" spans="1:11" s="1" customFormat="1" x14ac:dyDescent="0.25">
      <c r="A95" t="s">
        <v>8174</v>
      </c>
      <c r="B95" t="s">
        <v>8175</v>
      </c>
      <c r="C95" s="111"/>
      <c r="D95" t="s">
        <v>8176</v>
      </c>
      <c r="E95">
        <v>3395</v>
      </c>
      <c r="F95" t="s">
        <v>8177</v>
      </c>
      <c r="G95" t="s">
        <v>8175</v>
      </c>
      <c r="H95" t="s">
        <v>7968</v>
      </c>
      <c r="I95" t="s">
        <v>8175</v>
      </c>
      <c r="J95" t="s">
        <v>8177</v>
      </c>
      <c r="K95" t="s">
        <v>11654</v>
      </c>
    </row>
    <row r="96" spans="1:11" s="1" customFormat="1" x14ac:dyDescent="0.25">
      <c r="A96" t="s">
        <v>8178</v>
      </c>
      <c r="B96" t="s">
        <v>8179</v>
      </c>
      <c r="C96" s="111"/>
      <c r="D96" t="s">
        <v>8180</v>
      </c>
      <c r="E96">
        <v>2498</v>
      </c>
      <c r="F96" t="s">
        <v>8181</v>
      </c>
      <c r="G96" t="s">
        <v>8179</v>
      </c>
      <c r="H96" t="s">
        <v>7968</v>
      </c>
      <c r="I96" t="s">
        <v>8179</v>
      </c>
      <c r="J96" t="s">
        <v>8181</v>
      </c>
      <c r="K96" t="s">
        <v>9212</v>
      </c>
    </row>
    <row r="97" spans="1:26" s="1" customFormat="1" x14ac:dyDescent="0.25">
      <c r="A97" t="s">
        <v>8182</v>
      </c>
      <c r="B97" t="s">
        <v>8183</v>
      </c>
      <c r="C97" s="111"/>
      <c r="D97" t="s">
        <v>8099</v>
      </c>
      <c r="E97">
        <v>3317</v>
      </c>
      <c r="F97" t="s">
        <v>8184</v>
      </c>
      <c r="G97" t="s">
        <v>8098</v>
      </c>
      <c r="H97" t="s">
        <v>7968</v>
      </c>
      <c r="I97" t="s">
        <v>8183</v>
      </c>
      <c r="J97" t="s">
        <v>8184</v>
      </c>
      <c r="K97" t="s">
        <v>8112</v>
      </c>
    </row>
    <row r="98" spans="1:26" s="1" customFormat="1" x14ac:dyDescent="0.25">
      <c r="A98" t="s">
        <v>8185</v>
      </c>
      <c r="B98" t="s">
        <v>8186</v>
      </c>
      <c r="C98" s="111"/>
      <c r="D98" t="s">
        <v>8187</v>
      </c>
      <c r="E98">
        <v>1638</v>
      </c>
      <c r="F98" t="s">
        <v>8189</v>
      </c>
      <c r="G98" t="s">
        <v>8188</v>
      </c>
      <c r="H98" t="s">
        <v>7968</v>
      </c>
      <c r="I98" t="s">
        <v>8186</v>
      </c>
      <c r="J98" t="s">
        <v>8189</v>
      </c>
      <c r="K98" t="s">
        <v>8139</v>
      </c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</row>
    <row r="99" spans="1:26" s="1" customFormat="1" x14ac:dyDescent="0.25">
      <c r="A99" t="s">
        <v>8190</v>
      </c>
      <c r="B99" t="s">
        <v>8191</v>
      </c>
      <c r="C99" s="111"/>
      <c r="D99" t="s">
        <v>8192</v>
      </c>
      <c r="E99">
        <v>10</v>
      </c>
      <c r="F99" t="s">
        <v>8193</v>
      </c>
      <c r="G99" t="s">
        <v>8159</v>
      </c>
      <c r="H99" t="s">
        <v>7968</v>
      </c>
      <c r="I99" t="s">
        <v>8191</v>
      </c>
      <c r="J99" t="s">
        <v>8193</v>
      </c>
      <c r="K99" t="s">
        <v>13170</v>
      </c>
    </row>
    <row r="100" spans="1:26" s="1" customFormat="1" x14ac:dyDescent="0.25">
      <c r="A100" t="s">
        <v>8194</v>
      </c>
      <c r="B100" t="s">
        <v>8195</v>
      </c>
      <c r="C100" s="111"/>
      <c r="D100" t="s">
        <v>8196</v>
      </c>
      <c r="E100">
        <v>635</v>
      </c>
      <c r="F100" t="s">
        <v>8197</v>
      </c>
      <c r="G100" t="s">
        <v>13975</v>
      </c>
      <c r="H100" t="s">
        <v>7968</v>
      </c>
      <c r="I100" t="s">
        <v>8195</v>
      </c>
      <c r="J100" t="s">
        <v>8197</v>
      </c>
      <c r="K100" t="s">
        <v>8112</v>
      </c>
    </row>
    <row r="101" spans="1:26" s="1" customFormat="1" x14ac:dyDescent="0.25">
      <c r="A101" t="s">
        <v>8198</v>
      </c>
      <c r="B101" t="s">
        <v>8199</v>
      </c>
      <c r="C101" s="111"/>
      <c r="D101" t="s">
        <v>8200</v>
      </c>
      <c r="E101">
        <v>6185</v>
      </c>
      <c r="F101" t="s">
        <v>8201</v>
      </c>
      <c r="G101" t="s">
        <v>8199</v>
      </c>
      <c r="H101" t="s">
        <v>7968</v>
      </c>
      <c r="I101" t="s">
        <v>8199</v>
      </c>
      <c r="J101" t="s">
        <v>8201</v>
      </c>
      <c r="K101" t="s">
        <v>8112</v>
      </c>
    </row>
    <row r="102" spans="1:26" s="1" customFormat="1" x14ac:dyDescent="0.25">
      <c r="A102" t="s">
        <v>8202</v>
      </c>
      <c r="B102" t="s">
        <v>8203</v>
      </c>
      <c r="C102" s="111"/>
      <c r="D102" t="s">
        <v>8204</v>
      </c>
      <c r="E102">
        <v>1471</v>
      </c>
      <c r="F102" t="s">
        <v>8205</v>
      </c>
      <c r="G102" t="s">
        <v>8141</v>
      </c>
      <c r="H102" t="s">
        <v>7968</v>
      </c>
      <c r="I102" t="s">
        <v>8203</v>
      </c>
      <c r="J102" t="s">
        <v>8205</v>
      </c>
      <c r="K102" t="s">
        <v>8139</v>
      </c>
    </row>
    <row r="103" spans="1:26" s="1" customFormat="1" x14ac:dyDescent="0.25">
      <c r="A103" t="s">
        <v>8206</v>
      </c>
      <c r="B103" t="s">
        <v>8207</v>
      </c>
      <c r="C103" s="111"/>
      <c r="D103" t="s">
        <v>8208</v>
      </c>
      <c r="E103">
        <v>379</v>
      </c>
      <c r="F103" t="s">
        <v>8210</v>
      </c>
      <c r="G103" t="s">
        <v>8209</v>
      </c>
      <c r="H103" t="s">
        <v>7968</v>
      </c>
      <c r="I103" t="s">
        <v>8207</v>
      </c>
      <c r="J103" t="s">
        <v>8210</v>
      </c>
      <c r="K103" t="s">
        <v>9212</v>
      </c>
    </row>
    <row r="104" spans="1:26" s="1" customFormat="1" x14ac:dyDescent="0.25">
      <c r="A104" t="s">
        <v>8211</v>
      </c>
      <c r="B104" t="s">
        <v>8212</v>
      </c>
      <c r="C104" s="111"/>
      <c r="D104" t="s">
        <v>8213</v>
      </c>
      <c r="E104">
        <v>45</v>
      </c>
      <c r="F104" t="s">
        <v>8214</v>
      </c>
      <c r="G104" t="s">
        <v>8212</v>
      </c>
      <c r="H104" t="s">
        <v>7968</v>
      </c>
      <c r="I104" t="s">
        <v>8212</v>
      </c>
      <c r="J104" t="s">
        <v>8214</v>
      </c>
      <c r="K104" t="s">
        <v>9219</v>
      </c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</row>
    <row r="105" spans="1:26" s="1" customFormat="1" x14ac:dyDescent="0.25">
      <c r="A105" t="s">
        <v>8215</v>
      </c>
      <c r="B105" t="s">
        <v>8216</v>
      </c>
      <c r="C105" s="111"/>
      <c r="D105" t="s">
        <v>8217</v>
      </c>
      <c r="E105">
        <v>4115</v>
      </c>
      <c r="F105" t="s">
        <v>8218</v>
      </c>
      <c r="G105" t="s">
        <v>8216</v>
      </c>
      <c r="H105" t="s">
        <v>7968</v>
      </c>
      <c r="I105" t="s">
        <v>8216</v>
      </c>
      <c r="J105" t="s">
        <v>8218</v>
      </c>
      <c r="K105" t="s">
        <v>9212</v>
      </c>
    </row>
    <row r="106" spans="1:26" s="1" customFormat="1" x14ac:dyDescent="0.25">
      <c r="A106" t="s">
        <v>8219</v>
      </c>
      <c r="B106" t="s">
        <v>8220</v>
      </c>
      <c r="C106" s="111"/>
      <c r="D106" t="s">
        <v>8221</v>
      </c>
      <c r="E106">
        <v>6006</v>
      </c>
      <c r="F106" t="s">
        <v>8223</v>
      </c>
      <c r="G106" t="s">
        <v>8222</v>
      </c>
      <c r="H106" t="s">
        <v>7968</v>
      </c>
      <c r="I106" t="s">
        <v>8220</v>
      </c>
      <c r="J106" t="s">
        <v>8223</v>
      </c>
      <c r="K106" t="s">
        <v>13170</v>
      </c>
    </row>
    <row r="107" spans="1:26" s="1" customFormat="1" x14ac:dyDescent="0.25">
      <c r="A107" t="s">
        <v>8224</v>
      </c>
      <c r="B107" t="s">
        <v>8225</v>
      </c>
      <c r="C107" s="111"/>
      <c r="D107" t="s">
        <v>8226</v>
      </c>
      <c r="E107">
        <v>2009</v>
      </c>
      <c r="F107" t="s">
        <v>8227</v>
      </c>
      <c r="G107" t="s">
        <v>8225</v>
      </c>
      <c r="H107" t="s">
        <v>7968</v>
      </c>
      <c r="I107" t="s">
        <v>8225</v>
      </c>
      <c r="J107" t="s">
        <v>8227</v>
      </c>
      <c r="K107" t="s">
        <v>8116</v>
      </c>
    </row>
    <row r="108" spans="1:26" s="1" customFormat="1" x14ac:dyDescent="0.25">
      <c r="A108" t="s">
        <v>8228</v>
      </c>
      <c r="B108" t="s">
        <v>8229</v>
      </c>
      <c r="C108" s="111"/>
      <c r="D108" t="s">
        <v>8230</v>
      </c>
      <c r="E108">
        <v>1071</v>
      </c>
      <c r="F108" t="s">
        <v>8231</v>
      </c>
      <c r="G108" t="s">
        <v>8229</v>
      </c>
      <c r="H108" t="s">
        <v>7968</v>
      </c>
      <c r="I108" t="s">
        <v>8229</v>
      </c>
      <c r="J108" t="s">
        <v>8231</v>
      </c>
      <c r="K108" t="s">
        <v>13170</v>
      </c>
    </row>
    <row r="109" spans="1:26" s="1" customFormat="1" x14ac:dyDescent="0.25">
      <c r="A109" t="s">
        <v>8232</v>
      </c>
      <c r="B109" t="s">
        <v>8233</v>
      </c>
      <c r="C109" s="111"/>
      <c r="D109" t="s">
        <v>8234</v>
      </c>
      <c r="E109">
        <v>983</v>
      </c>
      <c r="F109" t="s">
        <v>8235</v>
      </c>
      <c r="G109" t="s">
        <v>8233</v>
      </c>
      <c r="H109" t="s">
        <v>7968</v>
      </c>
      <c r="I109" t="s">
        <v>8233</v>
      </c>
      <c r="J109" t="s">
        <v>8235</v>
      </c>
      <c r="K109" t="s">
        <v>11654</v>
      </c>
    </row>
    <row r="110" spans="1:26" s="1" customFormat="1" x14ac:dyDescent="0.25">
      <c r="A110" t="s">
        <v>8236</v>
      </c>
      <c r="B110" t="s">
        <v>8237</v>
      </c>
      <c r="C110" s="111"/>
      <c r="D110" t="s">
        <v>8238</v>
      </c>
      <c r="E110">
        <v>198</v>
      </c>
      <c r="F110" t="s">
        <v>8239</v>
      </c>
      <c r="G110" t="s">
        <v>8237</v>
      </c>
      <c r="H110" t="s">
        <v>7968</v>
      </c>
      <c r="I110" t="s">
        <v>8237</v>
      </c>
      <c r="J110" t="s">
        <v>8239</v>
      </c>
      <c r="K110" t="s">
        <v>8237</v>
      </c>
    </row>
    <row r="111" spans="1:26" s="1" customFormat="1" x14ac:dyDescent="0.25">
      <c r="A111" t="s">
        <v>8240</v>
      </c>
      <c r="B111" t="s">
        <v>8241</v>
      </c>
      <c r="C111" s="111"/>
      <c r="D111" t="s">
        <v>8242</v>
      </c>
      <c r="E111">
        <v>50</v>
      </c>
      <c r="F111" t="s">
        <v>8243</v>
      </c>
      <c r="G111" t="s">
        <v>8241</v>
      </c>
      <c r="H111" t="s">
        <v>7968</v>
      </c>
      <c r="I111" t="s">
        <v>8241</v>
      </c>
      <c r="J111" t="s">
        <v>8243</v>
      </c>
      <c r="K111" t="s">
        <v>11654</v>
      </c>
    </row>
    <row r="112" spans="1:26" s="1" customFormat="1" x14ac:dyDescent="0.25">
      <c r="A112" t="s">
        <v>8244</v>
      </c>
      <c r="B112" t="s">
        <v>8245</v>
      </c>
      <c r="C112" s="111"/>
      <c r="D112" t="s">
        <v>8246</v>
      </c>
      <c r="E112">
        <v>4491</v>
      </c>
      <c r="F112" t="s">
        <v>8247</v>
      </c>
      <c r="G112" t="s">
        <v>8245</v>
      </c>
      <c r="H112" t="s">
        <v>7968</v>
      </c>
      <c r="I112" t="s">
        <v>8245</v>
      </c>
      <c r="J112" t="s">
        <v>8247</v>
      </c>
      <c r="K112" t="s">
        <v>13170</v>
      </c>
    </row>
    <row r="113" spans="1:26" s="1" customFormat="1" x14ac:dyDescent="0.25">
      <c r="A113" t="s">
        <v>8248</v>
      </c>
      <c r="B113" t="s">
        <v>8249</v>
      </c>
      <c r="C113" s="111"/>
      <c r="D113" t="s">
        <v>8250</v>
      </c>
      <c r="E113">
        <v>5443</v>
      </c>
      <c r="F113" t="s">
        <v>8252</v>
      </c>
      <c r="G113" t="s">
        <v>8251</v>
      </c>
      <c r="H113" t="s">
        <v>7968</v>
      </c>
      <c r="I113" t="s">
        <v>8249</v>
      </c>
      <c r="J113" t="s">
        <v>8252</v>
      </c>
      <c r="K113" t="s">
        <v>8116</v>
      </c>
    </row>
    <row r="114" spans="1:26" s="1" customFormat="1" x14ac:dyDescent="0.25">
      <c r="A114" t="s">
        <v>8253</v>
      </c>
      <c r="B114" t="s">
        <v>8254</v>
      </c>
      <c r="C114" s="111"/>
      <c r="D114" t="s">
        <v>8213</v>
      </c>
      <c r="E114">
        <v>1620</v>
      </c>
      <c r="F114" t="s">
        <v>8255</v>
      </c>
      <c r="G114" t="s">
        <v>8254</v>
      </c>
      <c r="H114" t="s">
        <v>7968</v>
      </c>
      <c r="I114" t="s">
        <v>8254</v>
      </c>
      <c r="J114" t="s">
        <v>8255</v>
      </c>
      <c r="K114" t="s">
        <v>9219</v>
      </c>
    </row>
    <row r="115" spans="1:26" s="3" customFormat="1" x14ac:dyDescent="0.25">
      <c r="A115" t="s">
        <v>8256</v>
      </c>
      <c r="B115" t="s">
        <v>8257</v>
      </c>
      <c r="C115" s="111"/>
      <c r="D115" t="s">
        <v>8258</v>
      </c>
      <c r="E115">
        <v>1453</v>
      </c>
      <c r="F115" t="s">
        <v>8259</v>
      </c>
      <c r="G115" t="s">
        <v>8257</v>
      </c>
      <c r="H115" t="s">
        <v>7968</v>
      </c>
      <c r="I115" t="s">
        <v>8257</v>
      </c>
      <c r="J115" t="s">
        <v>8259</v>
      </c>
      <c r="K115" t="s">
        <v>11654</v>
      </c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s="1" customFormat="1" x14ac:dyDescent="0.25">
      <c r="A116" t="s">
        <v>8260</v>
      </c>
      <c r="B116" t="s">
        <v>8261</v>
      </c>
      <c r="C116" s="111"/>
      <c r="D116" t="s">
        <v>7968</v>
      </c>
      <c r="E116">
        <v>1758</v>
      </c>
      <c r="F116" t="s">
        <v>8262</v>
      </c>
      <c r="G116" t="s">
        <v>8261</v>
      </c>
      <c r="H116" t="s">
        <v>7968</v>
      </c>
      <c r="I116" t="s">
        <v>8261</v>
      </c>
      <c r="J116" t="s">
        <v>8262</v>
      </c>
      <c r="K116" t="s">
        <v>13171</v>
      </c>
    </row>
    <row r="117" spans="1:26" s="1" customFormat="1" x14ac:dyDescent="0.25">
      <c r="A117" t="s">
        <v>8263</v>
      </c>
      <c r="B117" t="s">
        <v>8264</v>
      </c>
      <c r="C117" s="111"/>
      <c r="D117" t="s">
        <v>7975</v>
      </c>
      <c r="E117">
        <v>448</v>
      </c>
      <c r="F117" t="s">
        <v>8265</v>
      </c>
      <c r="G117" t="s">
        <v>8264</v>
      </c>
      <c r="H117" t="s">
        <v>7968</v>
      </c>
      <c r="I117" t="s">
        <v>8264</v>
      </c>
      <c r="J117" t="s">
        <v>8265</v>
      </c>
      <c r="K117" t="s">
        <v>13171</v>
      </c>
    </row>
    <row r="118" spans="1:26" s="1" customFormat="1" x14ac:dyDescent="0.25">
      <c r="A118" t="s">
        <v>8266</v>
      </c>
      <c r="B118" t="s">
        <v>8267</v>
      </c>
      <c r="C118" s="111"/>
      <c r="D118" t="s">
        <v>8268</v>
      </c>
      <c r="E118">
        <v>3156</v>
      </c>
      <c r="F118" t="s">
        <v>8269</v>
      </c>
      <c r="G118" t="s">
        <v>8167</v>
      </c>
      <c r="H118" t="s">
        <v>7968</v>
      </c>
      <c r="I118" t="s">
        <v>8267</v>
      </c>
      <c r="J118" t="s">
        <v>8269</v>
      </c>
      <c r="K118" t="s">
        <v>9219</v>
      </c>
    </row>
    <row r="119" spans="1:26" s="1" customFormat="1" x14ac:dyDescent="0.25">
      <c r="A119" t="s">
        <v>8270</v>
      </c>
      <c r="B119" t="s">
        <v>8271</v>
      </c>
      <c r="C119" s="111"/>
      <c r="D119" t="s">
        <v>8272</v>
      </c>
      <c r="E119">
        <v>721</v>
      </c>
      <c r="F119" t="s">
        <v>8273</v>
      </c>
      <c r="G119" t="s">
        <v>8271</v>
      </c>
      <c r="H119" t="s">
        <v>7968</v>
      </c>
      <c r="I119" t="s">
        <v>8271</v>
      </c>
      <c r="J119" t="s">
        <v>8273</v>
      </c>
      <c r="K119" t="s">
        <v>8116</v>
      </c>
    </row>
    <row r="120" spans="1:26" s="1" customFormat="1" x14ac:dyDescent="0.25">
      <c r="A120" t="s">
        <v>8274</v>
      </c>
      <c r="B120" t="s">
        <v>8275</v>
      </c>
      <c r="C120" s="111"/>
      <c r="D120" t="s">
        <v>8276</v>
      </c>
      <c r="E120">
        <v>0</v>
      </c>
      <c r="F120" t="s">
        <v>8277</v>
      </c>
      <c r="G120" t="s">
        <v>8163</v>
      </c>
      <c r="H120" t="s">
        <v>7968</v>
      </c>
      <c r="I120" t="s">
        <v>8275</v>
      </c>
      <c r="J120" t="s">
        <v>8277</v>
      </c>
      <c r="K120" t="s">
        <v>13170</v>
      </c>
    </row>
    <row r="121" spans="1:26" s="1" customFormat="1" x14ac:dyDescent="0.25">
      <c r="A121" t="s">
        <v>8278</v>
      </c>
      <c r="B121" t="s">
        <v>8279</v>
      </c>
      <c r="C121" s="111"/>
      <c r="D121" t="s">
        <v>8280</v>
      </c>
      <c r="E121">
        <v>6385</v>
      </c>
      <c r="F121" t="s">
        <v>8281</v>
      </c>
      <c r="G121" t="s">
        <v>8124</v>
      </c>
      <c r="H121" t="s">
        <v>7968</v>
      </c>
      <c r="I121" t="s">
        <v>8279</v>
      </c>
      <c r="J121" t="s">
        <v>8281</v>
      </c>
      <c r="K121" t="s">
        <v>8124</v>
      </c>
    </row>
    <row r="122" spans="1:26" s="1" customFormat="1" x14ac:dyDescent="0.25">
      <c r="A122" t="s">
        <v>8282</v>
      </c>
      <c r="B122" t="s">
        <v>8283</v>
      </c>
      <c r="C122" s="111"/>
      <c r="D122" t="s">
        <v>8284</v>
      </c>
      <c r="E122">
        <v>4826</v>
      </c>
      <c r="F122" t="s">
        <v>8285</v>
      </c>
      <c r="G122" t="s">
        <v>8283</v>
      </c>
      <c r="H122" t="s">
        <v>7968</v>
      </c>
      <c r="I122" t="s">
        <v>8283</v>
      </c>
      <c r="J122" t="s">
        <v>8285</v>
      </c>
      <c r="K122" t="s">
        <v>13169</v>
      </c>
    </row>
    <row r="123" spans="1:26" s="1" customFormat="1" x14ac:dyDescent="0.25">
      <c r="A123" t="s">
        <v>8286</v>
      </c>
      <c r="B123" t="s">
        <v>8287</v>
      </c>
      <c r="C123" s="111"/>
      <c r="D123" t="s">
        <v>8288</v>
      </c>
      <c r="E123">
        <v>484</v>
      </c>
      <c r="F123" t="s">
        <v>8289</v>
      </c>
      <c r="G123" t="s">
        <v>8287</v>
      </c>
      <c r="H123" t="s">
        <v>7968</v>
      </c>
      <c r="I123" t="s">
        <v>8287</v>
      </c>
      <c r="J123" t="s">
        <v>8289</v>
      </c>
      <c r="K123" t="s">
        <v>9222</v>
      </c>
    </row>
    <row r="124" spans="1:26" s="1" customFormat="1" x14ac:dyDescent="0.25">
      <c r="A124" t="s">
        <v>8290</v>
      </c>
      <c r="B124" t="s">
        <v>8291</v>
      </c>
      <c r="C124" s="111"/>
      <c r="D124" t="s">
        <v>8292</v>
      </c>
      <c r="E124">
        <v>12580</v>
      </c>
      <c r="F124" t="s">
        <v>8293</v>
      </c>
      <c r="G124" t="s">
        <v>8291</v>
      </c>
      <c r="H124" t="s">
        <v>7968</v>
      </c>
      <c r="I124" t="s">
        <v>8291</v>
      </c>
      <c r="J124" t="s">
        <v>8293</v>
      </c>
      <c r="K124" t="s">
        <v>13169</v>
      </c>
    </row>
    <row r="125" spans="1:26" s="1" customFormat="1" x14ac:dyDescent="0.25">
      <c r="A125" t="s">
        <v>8294</v>
      </c>
      <c r="B125" t="s">
        <v>8295</v>
      </c>
      <c r="C125" s="111"/>
      <c r="D125" t="s">
        <v>8296</v>
      </c>
      <c r="E125">
        <v>6595</v>
      </c>
      <c r="F125" t="s">
        <v>8298</v>
      </c>
      <c r="G125" t="s">
        <v>8297</v>
      </c>
      <c r="H125" t="s">
        <v>7968</v>
      </c>
      <c r="I125" t="s">
        <v>8295</v>
      </c>
      <c r="J125" t="s">
        <v>8298</v>
      </c>
      <c r="K125" t="s">
        <v>13169</v>
      </c>
    </row>
    <row r="126" spans="1:26" s="1" customFormat="1" x14ac:dyDescent="0.25">
      <c r="A126" t="s">
        <v>8299</v>
      </c>
      <c r="B126" t="s">
        <v>8095</v>
      </c>
      <c r="C126" s="111"/>
      <c r="D126" t="s">
        <v>8300</v>
      </c>
      <c r="E126">
        <v>728</v>
      </c>
      <c r="F126" t="s">
        <v>8301</v>
      </c>
      <c r="G126" t="s">
        <v>8095</v>
      </c>
      <c r="H126" t="s">
        <v>7968</v>
      </c>
      <c r="I126" t="s">
        <v>8095</v>
      </c>
      <c r="J126" t="s">
        <v>8301</v>
      </c>
      <c r="K126" t="s">
        <v>8095</v>
      </c>
    </row>
    <row r="127" spans="1:26" s="1" customFormat="1" x14ac:dyDescent="0.25">
      <c r="A127" t="s">
        <v>8302</v>
      </c>
      <c r="B127" t="s">
        <v>8303</v>
      </c>
      <c r="C127" s="111"/>
      <c r="D127" t="s">
        <v>8304</v>
      </c>
      <c r="E127">
        <v>2670</v>
      </c>
      <c r="F127" t="s">
        <v>8305</v>
      </c>
      <c r="G127" t="s">
        <v>8303</v>
      </c>
      <c r="H127" t="s">
        <v>7968</v>
      </c>
      <c r="I127" t="s">
        <v>8303</v>
      </c>
      <c r="J127" t="s">
        <v>8305</v>
      </c>
      <c r="K127" t="s">
        <v>8310</v>
      </c>
    </row>
    <row r="128" spans="1:26" s="1" customFormat="1" x14ac:dyDescent="0.25">
      <c r="A128" t="s">
        <v>8306</v>
      </c>
      <c r="B128" t="s">
        <v>8307</v>
      </c>
      <c r="C128" s="111"/>
      <c r="D128" t="s">
        <v>8292</v>
      </c>
      <c r="E128">
        <v>16380</v>
      </c>
      <c r="F128" t="s">
        <v>8308</v>
      </c>
      <c r="G128" t="s">
        <v>8307</v>
      </c>
      <c r="H128" t="s">
        <v>7968</v>
      </c>
      <c r="I128" t="s">
        <v>8307</v>
      </c>
      <c r="J128" t="s">
        <v>8308</v>
      </c>
      <c r="K128" t="s">
        <v>9222</v>
      </c>
    </row>
    <row r="129" spans="1:11" s="1" customFormat="1" x14ac:dyDescent="0.25">
      <c r="A129" t="s">
        <v>8309</v>
      </c>
      <c r="B129" t="s">
        <v>8310</v>
      </c>
      <c r="C129" s="111"/>
      <c r="D129" t="s">
        <v>7976</v>
      </c>
      <c r="E129">
        <v>556</v>
      </c>
      <c r="F129" t="s">
        <v>8311</v>
      </c>
      <c r="G129" t="s">
        <v>8310</v>
      </c>
      <c r="H129" t="s">
        <v>7968</v>
      </c>
      <c r="I129" t="s">
        <v>8310</v>
      </c>
      <c r="J129" t="s">
        <v>8311</v>
      </c>
      <c r="K129" t="s">
        <v>8310</v>
      </c>
    </row>
    <row r="130" spans="1:11" s="1" customFormat="1" x14ac:dyDescent="0.25">
      <c r="A130" t="s">
        <v>8312</v>
      </c>
      <c r="B130" t="s">
        <v>8313</v>
      </c>
      <c r="C130" s="111"/>
      <c r="D130" t="s">
        <v>8314</v>
      </c>
      <c r="E130">
        <v>2402</v>
      </c>
      <c r="F130" t="s">
        <v>8315</v>
      </c>
      <c r="G130" t="s">
        <v>8313</v>
      </c>
      <c r="H130" t="s">
        <v>7968</v>
      </c>
      <c r="I130" t="s">
        <v>8313</v>
      </c>
      <c r="J130" t="s">
        <v>8315</v>
      </c>
      <c r="K130" t="s">
        <v>8313</v>
      </c>
    </row>
    <row r="131" spans="1:11" s="1" customFormat="1" x14ac:dyDescent="0.25">
      <c r="A131" t="s">
        <v>8316</v>
      </c>
      <c r="B131" t="s">
        <v>8317</v>
      </c>
      <c r="C131" s="111"/>
      <c r="D131" t="s">
        <v>8292</v>
      </c>
      <c r="E131">
        <v>14178</v>
      </c>
      <c r="F131" t="s">
        <v>8318</v>
      </c>
      <c r="G131" t="s">
        <v>8317</v>
      </c>
      <c r="H131" t="s">
        <v>7968</v>
      </c>
      <c r="I131" t="s">
        <v>8317</v>
      </c>
      <c r="J131" t="s">
        <v>8318</v>
      </c>
      <c r="K131" t="s">
        <v>13170</v>
      </c>
    </row>
    <row r="132" spans="1:11" s="1" customFormat="1" x14ac:dyDescent="0.25">
      <c r="A132" t="s">
        <v>8319</v>
      </c>
      <c r="B132" t="s">
        <v>8320</v>
      </c>
      <c r="C132" s="111"/>
      <c r="D132" t="s">
        <v>13971</v>
      </c>
      <c r="E132">
        <v>1846</v>
      </c>
      <c r="F132" t="s">
        <v>8321</v>
      </c>
      <c r="G132" t="s">
        <v>8320</v>
      </c>
      <c r="H132" t="s">
        <v>7968</v>
      </c>
      <c r="I132" t="s">
        <v>8320</v>
      </c>
      <c r="J132" t="s">
        <v>8321</v>
      </c>
      <c r="K132" t="s">
        <v>13169</v>
      </c>
    </row>
    <row r="133" spans="1:11" s="1" customFormat="1" x14ac:dyDescent="0.25">
      <c r="A133" t="s">
        <v>8322</v>
      </c>
      <c r="B133" t="s">
        <v>8323</v>
      </c>
      <c r="C133" s="111"/>
      <c r="D133" t="s">
        <v>8324</v>
      </c>
      <c r="E133">
        <v>202</v>
      </c>
      <c r="F133" t="s">
        <v>8325</v>
      </c>
      <c r="G133" t="s">
        <v>8323</v>
      </c>
      <c r="H133" t="s">
        <v>7968</v>
      </c>
      <c r="I133" t="s">
        <v>8323</v>
      </c>
      <c r="J133" t="s">
        <v>8325</v>
      </c>
      <c r="K133" t="s">
        <v>8310</v>
      </c>
    </row>
    <row r="134" spans="1:11" s="1" customFormat="1" x14ac:dyDescent="0.25">
      <c r="A134" t="s">
        <v>8326</v>
      </c>
      <c r="B134" t="s">
        <v>8327</v>
      </c>
      <c r="C134" s="111"/>
      <c r="D134" t="s">
        <v>8328</v>
      </c>
      <c r="E134">
        <v>6121</v>
      </c>
      <c r="F134" t="s">
        <v>8329</v>
      </c>
      <c r="G134" t="s">
        <v>8327</v>
      </c>
      <c r="H134" t="s">
        <v>7968</v>
      </c>
      <c r="I134" t="s">
        <v>8327</v>
      </c>
      <c r="J134" t="s">
        <v>8329</v>
      </c>
      <c r="K134" t="s">
        <v>13169</v>
      </c>
    </row>
    <row r="135" spans="1:11" s="1" customFormat="1" x14ac:dyDescent="0.25">
      <c r="A135" t="s">
        <v>8330</v>
      </c>
      <c r="B135" t="s">
        <v>8331</v>
      </c>
      <c r="C135" s="111"/>
      <c r="D135" t="s">
        <v>8332</v>
      </c>
      <c r="E135">
        <v>52</v>
      </c>
      <c r="F135" t="s">
        <v>8333</v>
      </c>
      <c r="G135" t="s">
        <v>8331</v>
      </c>
      <c r="H135" t="s">
        <v>7968</v>
      </c>
      <c r="I135" t="s">
        <v>8331</v>
      </c>
      <c r="J135" t="s">
        <v>8333</v>
      </c>
      <c r="K135" t="s">
        <v>8313</v>
      </c>
    </row>
    <row r="136" spans="1:11" s="1" customFormat="1" x14ac:dyDescent="0.25">
      <c r="A136" t="s">
        <v>8334</v>
      </c>
      <c r="B136" t="s">
        <v>8335</v>
      </c>
      <c r="C136" s="111"/>
      <c r="D136" t="s">
        <v>8336</v>
      </c>
      <c r="E136">
        <v>2052</v>
      </c>
      <c r="F136" t="s">
        <v>8337</v>
      </c>
      <c r="G136" t="s">
        <v>8335</v>
      </c>
      <c r="H136" t="s">
        <v>7968</v>
      </c>
      <c r="I136" t="s">
        <v>8335</v>
      </c>
      <c r="J136" t="s">
        <v>8337</v>
      </c>
      <c r="K136" t="s">
        <v>8313</v>
      </c>
    </row>
    <row r="137" spans="1:11" s="1" customFormat="1" x14ac:dyDescent="0.25">
      <c r="A137" t="s">
        <v>8338</v>
      </c>
      <c r="B137" t="s">
        <v>8339</v>
      </c>
      <c r="C137" s="111"/>
      <c r="D137" t="s">
        <v>8340</v>
      </c>
      <c r="E137">
        <v>507</v>
      </c>
      <c r="F137" t="s">
        <v>8341</v>
      </c>
      <c r="G137" t="s">
        <v>8339</v>
      </c>
      <c r="H137" t="s">
        <v>7968</v>
      </c>
      <c r="I137" t="s">
        <v>8339</v>
      </c>
      <c r="J137" t="s">
        <v>8341</v>
      </c>
      <c r="K137" t="s">
        <v>8310</v>
      </c>
    </row>
    <row r="138" spans="1:11" s="1" customFormat="1" x14ac:dyDescent="0.25">
      <c r="A138" t="s">
        <v>8342</v>
      </c>
      <c r="B138" t="s">
        <v>8343</v>
      </c>
      <c r="C138" s="111"/>
      <c r="D138" t="s">
        <v>8344</v>
      </c>
      <c r="E138">
        <v>456</v>
      </c>
      <c r="F138" t="s">
        <v>8345</v>
      </c>
      <c r="G138" t="s">
        <v>8343</v>
      </c>
      <c r="H138" t="s">
        <v>7968</v>
      </c>
      <c r="I138" t="s">
        <v>8343</v>
      </c>
      <c r="J138" t="s">
        <v>8345</v>
      </c>
      <c r="K138" t="s">
        <v>8343</v>
      </c>
    </row>
    <row r="139" spans="1:11" s="1" customFormat="1" x14ac:dyDescent="0.25">
      <c r="A139" t="s">
        <v>8346</v>
      </c>
      <c r="B139" t="s">
        <v>8347</v>
      </c>
      <c r="C139" s="111"/>
      <c r="D139" t="s">
        <v>8348</v>
      </c>
      <c r="E139">
        <v>915</v>
      </c>
      <c r="F139" t="s">
        <v>8349</v>
      </c>
      <c r="G139" t="s">
        <v>8343</v>
      </c>
      <c r="H139" t="s">
        <v>7968</v>
      </c>
      <c r="I139" t="s">
        <v>8347</v>
      </c>
      <c r="J139" t="s">
        <v>8349</v>
      </c>
      <c r="K139" t="s">
        <v>8343</v>
      </c>
    </row>
    <row r="140" spans="1:11" s="1" customFormat="1" x14ac:dyDescent="0.25">
      <c r="A140" t="s">
        <v>8350</v>
      </c>
      <c r="B140" t="s">
        <v>8351</v>
      </c>
      <c r="C140" s="111"/>
      <c r="D140" t="s">
        <v>8352</v>
      </c>
      <c r="E140">
        <v>443</v>
      </c>
      <c r="F140" t="s">
        <v>8353</v>
      </c>
      <c r="G140" t="s">
        <v>8343</v>
      </c>
      <c r="H140" t="s">
        <v>7968</v>
      </c>
      <c r="I140" t="s">
        <v>8351</v>
      </c>
      <c r="J140" t="s">
        <v>8353</v>
      </c>
      <c r="K140" t="s">
        <v>8343</v>
      </c>
    </row>
    <row r="141" spans="1:11" s="1" customFormat="1" x14ac:dyDescent="0.25">
      <c r="A141" t="s">
        <v>8354</v>
      </c>
      <c r="B141" t="s">
        <v>8355</v>
      </c>
      <c r="C141" s="111"/>
      <c r="D141" t="s">
        <v>8356</v>
      </c>
      <c r="E141">
        <v>1871</v>
      </c>
      <c r="F141" t="s">
        <v>8357</v>
      </c>
      <c r="G141" t="s">
        <v>8343</v>
      </c>
      <c r="H141" t="s">
        <v>7968</v>
      </c>
      <c r="I141" t="s">
        <v>8355</v>
      </c>
      <c r="J141" t="s">
        <v>8357</v>
      </c>
      <c r="K141" t="s">
        <v>8343</v>
      </c>
    </row>
    <row r="142" spans="1:11" s="1" customFormat="1" x14ac:dyDescent="0.25">
      <c r="A142" t="s">
        <v>8358</v>
      </c>
      <c r="B142" t="s">
        <v>8359</v>
      </c>
      <c r="C142" s="111"/>
      <c r="D142" t="s">
        <v>8360</v>
      </c>
      <c r="E142">
        <v>1921</v>
      </c>
      <c r="F142" t="s">
        <v>8361</v>
      </c>
      <c r="G142" t="s">
        <v>8343</v>
      </c>
      <c r="H142" t="s">
        <v>7968</v>
      </c>
      <c r="I142" t="s">
        <v>8359</v>
      </c>
      <c r="J142" t="s">
        <v>8361</v>
      </c>
      <c r="K142" t="s">
        <v>8343</v>
      </c>
    </row>
    <row r="143" spans="1:11" s="1" customFormat="1" x14ac:dyDescent="0.25">
      <c r="A143" t="s">
        <v>8362</v>
      </c>
      <c r="B143" t="s">
        <v>8363</v>
      </c>
      <c r="C143" s="111"/>
      <c r="D143" t="s">
        <v>8364</v>
      </c>
      <c r="E143">
        <v>1493</v>
      </c>
      <c r="F143" t="s">
        <v>8365</v>
      </c>
      <c r="G143" t="s">
        <v>8343</v>
      </c>
      <c r="H143" t="s">
        <v>7968</v>
      </c>
      <c r="I143" t="s">
        <v>8363</v>
      </c>
      <c r="J143" t="s">
        <v>8365</v>
      </c>
      <c r="K143" t="s">
        <v>8343</v>
      </c>
    </row>
    <row r="144" spans="1:11" s="1" customFormat="1" x14ac:dyDescent="0.25">
      <c r="A144" t="s">
        <v>8366</v>
      </c>
      <c r="B144" t="s">
        <v>8367</v>
      </c>
      <c r="C144" s="111"/>
      <c r="D144" t="s">
        <v>8368</v>
      </c>
      <c r="E144">
        <v>1398</v>
      </c>
      <c r="F144" t="s">
        <v>8369</v>
      </c>
      <c r="G144" t="s">
        <v>8343</v>
      </c>
      <c r="H144" t="s">
        <v>7968</v>
      </c>
      <c r="I144" t="s">
        <v>8367</v>
      </c>
      <c r="J144" t="s">
        <v>8369</v>
      </c>
      <c r="K144" t="s">
        <v>8343</v>
      </c>
    </row>
    <row r="145" spans="1:11" s="1" customFormat="1" x14ac:dyDescent="0.25">
      <c r="A145" t="s">
        <v>8370</v>
      </c>
      <c r="B145" t="s">
        <v>8371</v>
      </c>
      <c r="C145" s="111"/>
      <c r="D145" t="s">
        <v>8372</v>
      </c>
      <c r="E145">
        <v>1422</v>
      </c>
      <c r="F145" t="s">
        <v>8373</v>
      </c>
      <c r="G145" t="s">
        <v>8343</v>
      </c>
      <c r="H145" t="s">
        <v>7968</v>
      </c>
      <c r="I145" t="s">
        <v>8371</v>
      </c>
      <c r="J145" t="s">
        <v>8373</v>
      </c>
      <c r="K145" t="s">
        <v>8343</v>
      </c>
    </row>
    <row r="146" spans="1:11" s="1" customFormat="1" x14ac:dyDescent="0.25">
      <c r="A146" t="s">
        <v>8374</v>
      </c>
      <c r="B146" t="s">
        <v>8375</v>
      </c>
      <c r="C146" s="111"/>
      <c r="D146" t="s">
        <v>8376</v>
      </c>
      <c r="E146">
        <v>4984</v>
      </c>
      <c r="F146" t="s">
        <v>8377</v>
      </c>
      <c r="G146" t="s">
        <v>8375</v>
      </c>
      <c r="H146" t="s">
        <v>7968</v>
      </c>
      <c r="I146" t="s">
        <v>8375</v>
      </c>
      <c r="J146" t="s">
        <v>8377</v>
      </c>
      <c r="K146" t="s">
        <v>9357</v>
      </c>
    </row>
    <row r="147" spans="1:11" s="1" customFormat="1" x14ac:dyDescent="0.25">
      <c r="A147" t="s">
        <v>8378</v>
      </c>
      <c r="B147" t="s">
        <v>8379</v>
      </c>
      <c r="C147" s="111"/>
      <c r="D147" t="s">
        <v>8380</v>
      </c>
      <c r="E147">
        <v>744</v>
      </c>
      <c r="F147" t="s">
        <v>8381</v>
      </c>
      <c r="G147" t="s">
        <v>8379</v>
      </c>
      <c r="H147" t="s">
        <v>7968</v>
      </c>
      <c r="I147" t="s">
        <v>8379</v>
      </c>
      <c r="J147" t="s">
        <v>8381</v>
      </c>
      <c r="K147" t="s">
        <v>8379</v>
      </c>
    </row>
    <row r="148" spans="1:11" s="1" customFormat="1" x14ac:dyDescent="0.25">
      <c r="A148" t="s">
        <v>8382</v>
      </c>
      <c r="B148" t="s">
        <v>8383</v>
      </c>
      <c r="C148" s="111"/>
      <c r="D148" t="s">
        <v>8384</v>
      </c>
      <c r="E148">
        <v>4419</v>
      </c>
      <c r="F148" t="s">
        <v>8385</v>
      </c>
      <c r="G148" t="s">
        <v>8383</v>
      </c>
      <c r="H148" t="s">
        <v>7968</v>
      </c>
      <c r="I148" t="s">
        <v>8383</v>
      </c>
      <c r="J148" t="s">
        <v>8385</v>
      </c>
      <c r="K148" t="s">
        <v>8383</v>
      </c>
    </row>
    <row r="149" spans="1:11" s="1" customFormat="1" x14ac:dyDescent="0.25">
      <c r="A149" t="s">
        <v>8386</v>
      </c>
      <c r="B149" t="s">
        <v>8387</v>
      </c>
      <c r="C149" s="111"/>
      <c r="D149" t="s">
        <v>8388</v>
      </c>
      <c r="E149">
        <v>120</v>
      </c>
      <c r="F149" t="s">
        <v>8389</v>
      </c>
      <c r="G149" t="s">
        <v>8387</v>
      </c>
      <c r="H149" t="s">
        <v>7968</v>
      </c>
      <c r="I149" t="s">
        <v>8387</v>
      </c>
      <c r="J149" t="s">
        <v>8389</v>
      </c>
      <c r="K149" t="s">
        <v>9004</v>
      </c>
    </row>
    <row r="150" spans="1:11" s="1" customFormat="1" x14ac:dyDescent="0.25">
      <c r="A150" t="s">
        <v>8390</v>
      </c>
      <c r="B150" t="s">
        <v>13939</v>
      </c>
      <c r="C150" s="111"/>
      <c r="D150" t="s">
        <v>7965</v>
      </c>
      <c r="E150">
        <v>466</v>
      </c>
      <c r="F150" t="s">
        <v>8391</v>
      </c>
      <c r="G150" t="s">
        <v>13939</v>
      </c>
      <c r="H150" t="s">
        <v>7968</v>
      </c>
      <c r="I150" t="s">
        <v>13939</v>
      </c>
      <c r="J150" t="s">
        <v>8391</v>
      </c>
      <c r="K150" t="s">
        <v>13939</v>
      </c>
    </row>
    <row r="151" spans="1:11" s="1" customFormat="1" x14ac:dyDescent="0.25">
      <c r="A151" t="s">
        <v>8392</v>
      </c>
      <c r="B151" t="s">
        <v>8393</v>
      </c>
      <c r="C151" s="111"/>
      <c r="D151" t="s">
        <v>8051</v>
      </c>
      <c r="E151">
        <v>1611</v>
      </c>
      <c r="F151" t="s">
        <v>8394</v>
      </c>
      <c r="G151" t="s">
        <v>8393</v>
      </c>
      <c r="H151" t="s">
        <v>7968</v>
      </c>
      <c r="I151" t="s">
        <v>8393</v>
      </c>
      <c r="J151" t="s">
        <v>8394</v>
      </c>
      <c r="K151" t="s">
        <v>8983</v>
      </c>
    </row>
    <row r="152" spans="1:11" s="1" customFormat="1" x14ac:dyDescent="0.25">
      <c r="A152" t="s">
        <v>8395</v>
      </c>
      <c r="B152" t="s">
        <v>8396</v>
      </c>
      <c r="C152" s="111"/>
      <c r="D152" t="s">
        <v>8397</v>
      </c>
      <c r="E152">
        <v>210</v>
      </c>
      <c r="F152" t="s">
        <v>8398</v>
      </c>
      <c r="G152" t="s">
        <v>8396</v>
      </c>
      <c r="H152" t="s">
        <v>7968</v>
      </c>
      <c r="I152" t="s">
        <v>8396</v>
      </c>
      <c r="J152" t="s">
        <v>8398</v>
      </c>
      <c r="K152" t="s">
        <v>8396</v>
      </c>
    </row>
    <row r="153" spans="1:11" s="1" customFormat="1" x14ac:dyDescent="0.25">
      <c r="A153" t="s">
        <v>8399</v>
      </c>
      <c r="B153" t="s">
        <v>8400</v>
      </c>
      <c r="C153" s="111"/>
      <c r="D153" t="s">
        <v>8401</v>
      </c>
      <c r="E153">
        <v>211</v>
      </c>
      <c r="F153" t="s">
        <v>8402</v>
      </c>
      <c r="G153" t="s">
        <v>8400</v>
      </c>
      <c r="H153" t="s">
        <v>7968</v>
      </c>
      <c r="I153" t="s">
        <v>8400</v>
      </c>
      <c r="J153" t="s">
        <v>8402</v>
      </c>
      <c r="K153" t="s">
        <v>8400</v>
      </c>
    </row>
    <row r="154" spans="1:11" s="1" customFormat="1" x14ac:dyDescent="0.25">
      <c r="A154" t="s">
        <v>8403</v>
      </c>
      <c r="B154" t="s">
        <v>8404</v>
      </c>
      <c r="C154" s="111"/>
      <c r="D154" t="s">
        <v>8405</v>
      </c>
      <c r="E154">
        <v>1357</v>
      </c>
      <c r="F154" t="s">
        <v>8406</v>
      </c>
      <c r="G154" t="s">
        <v>8404</v>
      </c>
      <c r="H154" t="s">
        <v>7968</v>
      </c>
      <c r="I154" t="s">
        <v>8404</v>
      </c>
      <c r="J154" t="s">
        <v>8406</v>
      </c>
      <c r="K154" t="s">
        <v>8343</v>
      </c>
    </row>
    <row r="155" spans="1:11" s="1" customFormat="1" x14ac:dyDescent="0.25">
      <c r="A155" t="s">
        <v>8407</v>
      </c>
      <c r="B155" t="s">
        <v>8408</v>
      </c>
      <c r="C155" s="111"/>
      <c r="D155" t="s">
        <v>8409</v>
      </c>
      <c r="E155">
        <v>1167</v>
      </c>
      <c r="F155" t="s">
        <v>8411</v>
      </c>
      <c r="G155" t="s">
        <v>8410</v>
      </c>
      <c r="H155" t="s">
        <v>7968</v>
      </c>
      <c r="I155" t="s">
        <v>8408</v>
      </c>
      <c r="J155" t="s">
        <v>8411</v>
      </c>
      <c r="K155" t="s">
        <v>8410</v>
      </c>
    </row>
    <row r="156" spans="1:11" s="1" customFormat="1" x14ac:dyDescent="0.25">
      <c r="A156" t="s">
        <v>8412</v>
      </c>
      <c r="B156" t="s">
        <v>8413</v>
      </c>
      <c r="C156" s="111"/>
      <c r="D156" t="s">
        <v>7968</v>
      </c>
      <c r="E156">
        <v>132</v>
      </c>
      <c r="F156" t="s">
        <v>8414</v>
      </c>
      <c r="G156" t="s">
        <v>8413</v>
      </c>
      <c r="H156" t="s">
        <v>7968</v>
      </c>
      <c r="I156" t="s">
        <v>8413</v>
      </c>
      <c r="J156" t="s">
        <v>8414</v>
      </c>
      <c r="K156" t="s">
        <v>8413</v>
      </c>
    </row>
    <row r="157" spans="1:11" s="1" customFormat="1" x14ac:dyDescent="0.25">
      <c r="A157" t="s">
        <v>8415</v>
      </c>
      <c r="B157" t="s">
        <v>8416</v>
      </c>
      <c r="C157" s="111"/>
      <c r="D157" t="s">
        <v>8417</v>
      </c>
      <c r="E157">
        <v>110</v>
      </c>
      <c r="F157" t="s">
        <v>8418</v>
      </c>
      <c r="G157" t="s">
        <v>8416</v>
      </c>
      <c r="H157" t="s">
        <v>7968</v>
      </c>
      <c r="I157" t="s">
        <v>8416</v>
      </c>
      <c r="J157" t="s">
        <v>8418</v>
      </c>
      <c r="K157" t="s">
        <v>8416</v>
      </c>
    </row>
    <row r="158" spans="1:11" s="1" customFormat="1" x14ac:dyDescent="0.25">
      <c r="A158" t="s">
        <v>8419</v>
      </c>
      <c r="B158" t="s">
        <v>8420</v>
      </c>
      <c r="C158" s="111"/>
      <c r="D158" t="s">
        <v>8420</v>
      </c>
      <c r="E158"/>
      <c r="F158" t="s">
        <v>8422</v>
      </c>
      <c r="G158" t="s">
        <v>8421</v>
      </c>
      <c r="H158" t="s">
        <v>7968</v>
      </c>
      <c r="I158" t="s">
        <v>8420</v>
      </c>
      <c r="J158" t="s">
        <v>8422</v>
      </c>
      <c r="K158" t="s">
        <v>8416</v>
      </c>
    </row>
    <row r="159" spans="1:11" s="1" customFormat="1" x14ac:dyDescent="0.25">
      <c r="A159" t="s">
        <v>8423</v>
      </c>
      <c r="B159" t="s">
        <v>8424</v>
      </c>
      <c r="C159" s="111"/>
      <c r="D159" t="s">
        <v>8020</v>
      </c>
      <c r="E159">
        <v>1191</v>
      </c>
      <c r="F159" t="s">
        <v>8425</v>
      </c>
      <c r="G159" t="s">
        <v>8424</v>
      </c>
      <c r="H159" t="s">
        <v>7968</v>
      </c>
      <c r="I159" t="s">
        <v>8424</v>
      </c>
      <c r="J159" t="s">
        <v>8425</v>
      </c>
      <c r="K159" t="s">
        <v>8424</v>
      </c>
    </row>
    <row r="160" spans="1:11" s="1" customFormat="1" x14ac:dyDescent="0.25">
      <c r="A160" t="s">
        <v>8426</v>
      </c>
      <c r="B160" t="s">
        <v>8427</v>
      </c>
      <c r="C160" s="111"/>
      <c r="D160" t="s">
        <v>8428</v>
      </c>
      <c r="E160">
        <v>632</v>
      </c>
      <c r="F160" t="s">
        <v>8430</v>
      </c>
      <c r="G160" t="s">
        <v>8429</v>
      </c>
      <c r="H160" t="s">
        <v>7968</v>
      </c>
      <c r="I160" t="s">
        <v>8427</v>
      </c>
      <c r="J160" t="s">
        <v>8430</v>
      </c>
      <c r="K160" t="s">
        <v>8429</v>
      </c>
    </row>
    <row r="161" spans="1:11" s="1" customFormat="1" x14ac:dyDescent="0.25">
      <c r="A161" t="s">
        <v>8431</v>
      </c>
      <c r="B161" t="s">
        <v>8432</v>
      </c>
      <c r="C161" s="111"/>
      <c r="D161" t="s">
        <v>8433</v>
      </c>
      <c r="E161">
        <v>86</v>
      </c>
      <c r="F161" t="s">
        <v>8435</v>
      </c>
      <c r="G161" t="s">
        <v>8434</v>
      </c>
      <c r="H161" t="s">
        <v>7968</v>
      </c>
      <c r="I161" t="s">
        <v>8432</v>
      </c>
      <c r="J161" t="s">
        <v>8435</v>
      </c>
      <c r="K161" t="s">
        <v>13172</v>
      </c>
    </row>
    <row r="162" spans="1:11" s="1" customFormat="1" x14ac:dyDescent="0.25">
      <c r="A162" t="s">
        <v>8436</v>
      </c>
      <c r="B162" t="s">
        <v>8437</v>
      </c>
      <c r="C162" s="111"/>
      <c r="D162" t="s">
        <v>8438</v>
      </c>
      <c r="E162">
        <v>260</v>
      </c>
      <c r="F162" t="s">
        <v>8439</v>
      </c>
      <c r="G162" t="s">
        <v>8437</v>
      </c>
      <c r="H162" t="s">
        <v>7968</v>
      </c>
      <c r="I162" t="s">
        <v>8437</v>
      </c>
      <c r="J162" t="s">
        <v>8439</v>
      </c>
      <c r="K162" t="s">
        <v>13173</v>
      </c>
    </row>
    <row r="163" spans="1:11" s="1" customFormat="1" x14ac:dyDescent="0.25">
      <c r="A163" t="s">
        <v>8440</v>
      </c>
      <c r="B163" t="s">
        <v>8441</v>
      </c>
      <c r="C163" s="111"/>
      <c r="D163" t="s">
        <v>8442</v>
      </c>
      <c r="E163">
        <v>562</v>
      </c>
      <c r="F163" t="s">
        <v>8443</v>
      </c>
      <c r="G163" t="s">
        <v>8441</v>
      </c>
      <c r="H163" t="s">
        <v>7968</v>
      </c>
      <c r="I163" t="s">
        <v>8441</v>
      </c>
      <c r="J163" t="s">
        <v>8443</v>
      </c>
      <c r="K163" t="s">
        <v>8410</v>
      </c>
    </row>
    <row r="164" spans="1:11" s="1" customFormat="1" x14ac:dyDescent="0.25">
      <c r="A164" t="s">
        <v>8444</v>
      </c>
      <c r="B164" t="s">
        <v>8445</v>
      </c>
      <c r="C164" s="111"/>
      <c r="D164" t="s">
        <v>8446</v>
      </c>
      <c r="E164">
        <v>899</v>
      </c>
      <c r="F164" t="s">
        <v>8447</v>
      </c>
      <c r="G164" t="s">
        <v>8445</v>
      </c>
      <c r="H164" t="s">
        <v>7968</v>
      </c>
      <c r="I164" t="s">
        <v>8445</v>
      </c>
      <c r="J164" t="s">
        <v>8447</v>
      </c>
      <c r="K164" t="s">
        <v>13174</v>
      </c>
    </row>
    <row r="165" spans="1:11" s="1" customFormat="1" x14ac:dyDescent="0.25">
      <c r="A165" t="s">
        <v>8448</v>
      </c>
      <c r="B165" t="s">
        <v>8449</v>
      </c>
      <c r="C165" s="111"/>
      <c r="D165" t="s">
        <v>8450</v>
      </c>
      <c r="E165">
        <v>564</v>
      </c>
      <c r="F165" t="s">
        <v>8451</v>
      </c>
      <c r="G165" t="s">
        <v>8449</v>
      </c>
      <c r="H165" t="s">
        <v>7968</v>
      </c>
      <c r="I165" t="s">
        <v>8449</v>
      </c>
      <c r="J165" t="s">
        <v>8451</v>
      </c>
      <c r="K165" t="s">
        <v>8449</v>
      </c>
    </row>
    <row r="166" spans="1:11" s="1" customFormat="1" x14ac:dyDescent="0.25">
      <c r="A166" t="s">
        <v>8452</v>
      </c>
      <c r="B166" t="s">
        <v>8453</v>
      </c>
      <c r="C166" s="111"/>
      <c r="D166" t="s">
        <v>8454</v>
      </c>
      <c r="E166">
        <v>969</v>
      </c>
      <c r="F166" t="s">
        <v>8456</v>
      </c>
      <c r="G166" t="s">
        <v>8455</v>
      </c>
      <c r="H166" t="s">
        <v>7968</v>
      </c>
      <c r="I166" t="s">
        <v>8453</v>
      </c>
      <c r="J166" t="s">
        <v>8456</v>
      </c>
      <c r="K166" t="s">
        <v>8455</v>
      </c>
    </row>
    <row r="167" spans="1:11" s="1" customFormat="1" x14ac:dyDescent="0.25">
      <c r="A167" t="s">
        <v>8457</v>
      </c>
      <c r="B167" t="s">
        <v>8458</v>
      </c>
      <c r="C167" s="111"/>
      <c r="D167" t="s">
        <v>8459</v>
      </c>
      <c r="E167">
        <v>132</v>
      </c>
      <c r="F167" t="s">
        <v>8460</v>
      </c>
      <c r="G167" t="s">
        <v>8458</v>
      </c>
      <c r="H167" t="s">
        <v>7968</v>
      </c>
      <c r="I167" t="s">
        <v>8458</v>
      </c>
      <c r="J167" t="s">
        <v>8460</v>
      </c>
      <c r="K167" t="s">
        <v>8458</v>
      </c>
    </row>
    <row r="168" spans="1:11" s="1" customFormat="1" x14ac:dyDescent="0.25">
      <c r="A168" t="s">
        <v>8461</v>
      </c>
      <c r="B168" t="s">
        <v>8462</v>
      </c>
      <c r="C168" s="111"/>
      <c r="D168" t="s">
        <v>8356</v>
      </c>
      <c r="E168">
        <v>5278</v>
      </c>
      <c r="F168" t="s">
        <v>8464</v>
      </c>
      <c r="G168" t="s">
        <v>8463</v>
      </c>
      <c r="H168" t="s">
        <v>7968</v>
      </c>
      <c r="I168" t="s">
        <v>8462</v>
      </c>
      <c r="J168" t="s">
        <v>8464</v>
      </c>
      <c r="K168" t="s">
        <v>8343</v>
      </c>
    </row>
    <row r="169" spans="1:11" s="1" customFormat="1" x14ac:dyDescent="0.25">
      <c r="A169" t="s">
        <v>8465</v>
      </c>
      <c r="B169" t="s">
        <v>8466</v>
      </c>
      <c r="C169" s="111"/>
      <c r="D169" t="s">
        <v>8467</v>
      </c>
      <c r="E169">
        <v>299</v>
      </c>
      <c r="F169" t="s">
        <v>8468</v>
      </c>
      <c r="G169" t="s">
        <v>8466</v>
      </c>
      <c r="H169" t="s">
        <v>7968</v>
      </c>
      <c r="I169" t="s">
        <v>8466</v>
      </c>
      <c r="J169" t="s">
        <v>8468</v>
      </c>
      <c r="K169" t="s">
        <v>8466</v>
      </c>
    </row>
    <row r="170" spans="1:11" s="1" customFormat="1" x14ac:dyDescent="0.25">
      <c r="A170" t="s">
        <v>8469</v>
      </c>
      <c r="B170" t="s">
        <v>8470</v>
      </c>
      <c r="C170" s="111"/>
      <c r="D170" t="s">
        <v>8471</v>
      </c>
      <c r="E170">
        <v>7476</v>
      </c>
      <c r="F170" t="s">
        <v>8472</v>
      </c>
      <c r="G170" t="s">
        <v>8470</v>
      </c>
      <c r="H170" t="s">
        <v>7968</v>
      </c>
      <c r="I170" t="s">
        <v>8470</v>
      </c>
      <c r="J170" t="s">
        <v>8472</v>
      </c>
      <c r="K170" t="s">
        <v>8343</v>
      </c>
    </row>
    <row r="171" spans="1:11" s="1" customFormat="1" x14ac:dyDescent="0.25">
      <c r="A171" t="s">
        <v>8473</v>
      </c>
      <c r="B171" t="s">
        <v>8474</v>
      </c>
      <c r="C171" s="111"/>
      <c r="D171" t="s">
        <v>8475</v>
      </c>
      <c r="E171">
        <v>811</v>
      </c>
      <c r="F171" t="s">
        <v>8476</v>
      </c>
      <c r="G171" t="s">
        <v>8474</v>
      </c>
      <c r="H171" t="s">
        <v>7968</v>
      </c>
      <c r="I171" t="s">
        <v>8474</v>
      </c>
      <c r="J171" t="s">
        <v>8476</v>
      </c>
      <c r="K171" t="s">
        <v>8474</v>
      </c>
    </row>
    <row r="172" spans="1:11" s="1" customFormat="1" x14ac:dyDescent="0.25">
      <c r="A172" t="s">
        <v>8477</v>
      </c>
      <c r="B172" t="s">
        <v>8478</v>
      </c>
      <c r="C172" s="111"/>
      <c r="D172" t="s">
        <v>8258</v>
      </c>
      <c r="E172">
        <v>2097</v>
      </c>
      <c r="F172" t="s">
        <v>8479</v>
      </c>
      <c r="G172" t="s">
        <v>8478</v>
      </c>
      <c r="H172" t="s">
        <v>7968</v>
      </c>
      <c r="I172" t="s">
        <v>8478</v>
      </c>
      <c r="J172" t="s">
        <v>8479</v>
      </c>
      <c r="K172" t="s">
        <v>8478</v>
      </c>
    </row>
    <row r="173" spans="1:11" s="1" customFormat="1" x14ac:dyDescent="0.25">
      <c r="A173" t="s">
        <v>8480</v>
      </c>
      <c r="B173" t="s">
        <v>8481</v>
      </c>
      <c r="C173" s="111"/>
      <c r="D173" t="s">
        <v>8482</v>
      </c>
      <c r="E173">
        <v>878</v>
      </c>
      <c r="F173" t="s">
        <v>8483</v>
      </c>
      <c r="G173" t="s">
        <v>8481</v>
      </c>
      <c r="H173" t="s">
        <v>7968</v>
      </c>
      <c r="I173" t="s">
        <v>8481</v>
      </c>
      <c r="J173" t="s">
        <v>8483</v>
      </c>
      <c r="K173" t="s">
        <v>13175</v>
      </c>
    </row>
    <row r="174" spans="1:11" s="1" customFormat="1" x14ac:dyDescent="0.25">
      <c r="A174" t="s">
        <v>8484</v>
      </c>
      <c r="B174" t="s">
        <v>8485</v>
      </c>
      <c r="C174" s="111"/>
      <c r="D174" t="s">
        <v>8486</v>
      </c>
      <c r="E174">
        <v>2032</v>
      </c>
      <c r="F174" t="s">
        <v>8488</v>
      </c>
      <c r="G174" t="s">
        <v>8487</v>
      </c>
      <c r="H174" t="s">
        <v>7968</v>
      </c>
      <c r="I174" t="s">
        <v>8485</v>
      </c>
      <c r="J174" t="s">
        <v>8488</v>
      </c>
      <c r="K174" t="s">
        <v>8343</v>
      </c>
    </row>
    <row r="175" spans="1:11" s="1" customFormat="1" x14ac:dyDescent="0.25">
      <c r="A175" t="s">
        <v>8489</v>
      </c>
      <c r="B175" t="s">
        <v>8490</v>
      </c>
      <c r="C175" s="111"/>
      <c r="D175" t="s">
        <v>8491</v>
      </c>
      <c r="E175">
        <v>645</v>
      </c>
      <c r="F175" t="s">
        <v>8492</v>
      </c>
      <c r="G175" t="s">
        <v>8490</v>
      </c>
      <c r="H175" t="s">
        <v>7968</v>
      </c>
      <c r="I175" t="s">
        <v>8490</v>
      </c>
      <c r="J175" t="s">
        <v>8492</v>
      </c>
      <c r="K175" t="s">
        <v>8490</v>
      </c>
    </row>
    <row r="176" spans="1:11" s="1" customFormat="1" x14ac:dyDescent="0.25">
      <c r="A176" t="s">
        <v>8493</v>
      </c>
      <c r="B176" t="s">
        <v>8494</v>
      </c>
      <c r="C176" s="111"/>
      <c r="D176" t="s">
        <v>8495</v>
      </c>
      <c r="E176">
        <v>187</v>
      </c>
      <c r="F176" t="s">
        <v>8496</v>
      </c>
      <c r="G176" t="s">
        <v>8494</v>
      </c>
      <c r="H176" t="s">
        <v>7968</v>
      </c>
      <c r="I176" t="s">
        <v>8494</v>
      </c>
      <c r="J176" t="s">
        <v>8496</v>
      </c>
      <c r="K176" t="s">
        <v>8633</v>
      </c>
    </row>
    <row r="177" spans="1:26" s="1" customFormat="1" x14ac:dyDescent="0.25">
      <c r="A177" t="s">
        <v>8497</v>
      </c>
      <c r="B177" t="s">
        <v>8498</v>
      </c>
      <c r="C177" s="111"/>
      <c r="D177" t="s">
        <v>7965</v>
      </c>
      <c r="E177">
        <v>152</v>
      </c>
      <c r="F177" t="s">
        <v>8499</v>
      </c>
      <c r="G177" t="s">
        <v>8498</v>
      </c>
      <c r="H177" t="s">
        <v>7968</v>
      </c>
      <c r="I177" t="s">
        <v>8498</v>
      </c>
      <c r="J177" t="s">
        <v>8499</v>
      </c>
      <c r="K177" t="s">
        <v>8498</v>
      </c>
    </row>
    <row r="178" spans="1:26" s="1" customFormat="1" x14ac:dyDescent="0.25">
      <c r="A178" t="s">
        <v>8500</v>
      </c>
      <c r="B178" t="s">
        <v>8501</v>
      </c>
      <c r="C178" s="111"/>
      <c r="D178" t="s">
        <v>8502</v>
      </c>
      <c r="E178">
        <v>670</v>
      </c>
      <c r="F178" t="s">
        <v>8504</v>
      </c>
      <c r="G178" t="s">
        <v>8503</v>
      </c>
      <c r="H178" t="s">
        <v>7968</v>
      </c>
      <c r="I178" t="s">
        <v>8501</v>
      </c>
      <c r="J178" t="s">
        <v>8504</v>
      </c>
      <c r="K178" t="s">
        <v>8503</v>
      </c>
    </row>
    <row r="179" spans="1:26" s="1" customFormat="1" x14ac:dyDescent="0.25">
      <c r="A179" t="s">
        <v>8505</v>
      </c>
      <c r="B179" t="s">
        <v>8506</v>
      </c>
      <c r="C179" s="111"/>
      <c r="D179" t="s">
        <v>8507</v>
      </c>
      <c r="E179">
        <v>221</v>
      </c>
      <c r="F179" t="s">
        <v>8508</v>
      </c>
      <c r="G179" t="s">
        <v>8506</v>
      </c>
      <c r="H179" t="s">
        <v>7968</v>
      </c>
      <c r="I179" t="s">
        <v>8506</v>
      </c>
      <c r="J179" t="s">
        <v>8508</v>
      </c>
      <c r="K179" t="s">
        <v>8397</v>
      </c>
    </row>
    <row r="180" spans="1:26" s="1" customFormat="1" x14ac:dyDescent="0.25">
      <c r="A180" t="s">
        <v>8509</v>
      </c>
      <c r="B180" t="s">
        <v>8510</v>
      </c>
      <c r="C180" s="111"/>
      <c r="D180" t="s">
        <v>8511</v>
      </c>
      <c r="E180">
        <v>264</v>
      </c>
      <c r="F180" t="s">
        <v>8512</v>
      </c>
      <c r="G180" t="s">
        <v>8510</v>
      </c>
      <c r="H180" t="s">
        <v>7968</v>
      </c>
      <c r="I180" t="s">
        <v>8510</v>
      </c>
      <c r="J180" t="s">
        <v>8512</v>
      </c>
      <c r="K180" t="s">
        <v>8681</v>
      </c>
    </row>
    <row r="181" spans="1:26" s="1" customFormat="1" x14ac:dyDescent="0.25">
      <c r="A181" t="s">
        <v>8513</v>
      </c>
      <c r="B181" t="s">
        <v>13940</v>
      </c>
      <c r="C181" s="111"/>
      <c r="D181" t="s">
        <v>8514</v>
      </c>
      <c r="E181">
        <v>30</v>
      </c>
      <c r="F181" t="s">
        <v>8515</v>
      </c>
      <c r="G181" t="s">
        <v>13940</v>
      </c>
      <c r="H181" t="s">
        <v>7968</v>
      </c>
      <c r="I181" t="s">
        <v>13940</v>
      </c>
      <c r="J181" t="s">
        <v>8515</v>
      </c>
      <c r="K181" t="s">
        <v>8617</v>
      </c>
    </row>
    <row r="182" spans="1:26" s="1" customFormat="1" x14ac:dyDescent="0.25">
      <c r="A182" t="s">
        <v>8516</v>
      </c>
      <c r="B182" t="s">
        <v>8517</v>
      </c>
      <c r="C182" s="111"/>
      <c r="D182" t="s">
        <v>8292</v>
      </c>
      <c r="E182">
        <v>0</v>
      </c>
      <c r="F182" t="s">
        <v>8518</v>
      </c>
      <c r="G182" t="s">
        <v>8517</v>
      </c>
      <c r="H182" t="s">
        <v>7968</v>
      </c>
      <c r="I182" t="s">
        <v>8517</v>
      </c>
      <c r="J182" t="s">
        <v>8518</v>
      </c>
      <c r="K182" t="s">
        <v>8771</v>
      </c>
    </row>
    <row r="183" spans="1:26" s="1" customFormat="1" x14ac:dyDescent="0.25">
      <c r="A183" t="s">
        <v>8519</v>
      </c>
      <c r="B183" t="s">
        <v>8520</v>
      </c>
      <c r="C183" s="111"/>
      <c r="D183" t="s">
        <v>8521</v>
      </c>
      <c r="E183">
        <v>36</v>
      </c>
      <c r="F183" t="s">
        <v>8523</v>
      </c>
      <c r="G183" t="s">
        <v>8522</v>
      </c>
      <c r="H183" t="s">
        <v>7968</v>
      </c>
      <c r="I183" t="s">
        <v>8520</v>
      </c>
      <c r="J183" t="s">
        <v>8523</v>
      </c>
      <c r="K183" t="s">
        <v>8617</v>
      </c>
    </row>
    <row r="184" spans="1:26" s="1" customFormat="1" x14ac:dyDescent="0.25">
      <c r="A184" t="s">
        <v>8524</v>
      </c>
      <c r="B184" t="s">
        <v>8525</v>
      </c>
      <c r="C184" s="111"/>
      <c r="D184" t="s">
        <v>8442</v>
      </c>
      <c r="E184">
        <v>206</v>
      </c>
      <c r="F184" t="s">
        <v>8526</v>
      </c>
      <c r="G184" t="s">
        <v>8525</v>
      </c>
      <c r="H184" t="s">
        <v>7968</v>
      </c>
      <c r="I184" t="s">
        <v>8525</v>
      </c>
      <c r="J184" t="s">
        <v>8526</v>
      </c>
      <c r="K184" t="s">
        <v>13176</v>
      </c>
    </row>
    <row r="185" spans="1:26" s="1" customFormat="1" x14ac:dyDescent="0.25">
      <c r="A185" t="s">
        <v>8527</v>
      </c>
      <c r="B185" t="s">
        <v>8528</v>
      </c>
      <c r="C185" s="111"/>
      <c r="D185" t="s">
        <v>8529</v>
      </c>
      <c r="E185">
        <v>105</v>
      </c>
      <c r="F185" t="s">
        <v>8530</v>
      </c>
      <c r="G185" t="s">
        <v>8528</v>
      </c>
      <c r="H185" t="s">
        <v>7968</v>
      </c>
      <c r="I185" t="s">
        <v>8528</v>
      </c>
      <c r="J185" t="s">
        <v>8530</v>
      </c>
      <c r="K185" t="s">
        <v>8633</v>
      </c>
    </row>
    <row r="186" spans="1:26" s="3" customFormat="1" x14ac:dyDescent="0.25">
      <c r="A186" t="s">
        <v>8531</v>
      </c>
      <c r="B186" t="s">
        <v>8532</v>
      </c>
      <c r="C186" s="111"/>
      <c r="D186" t="s">
        <v>8533</v>
      </c>
      <c r="E186">
        <v>0</v>
      </c>
      <c r="F186" t="s">
        <v>8534</v>
      </c>
      <c r="G186" t="s">
        <v>8532</v>
      </c>
      <c r="H186" t="s">
        <v>7968</v>
      </c>
      <c r="I186" t="s">
        <v>8532</v>
      </c>
      <c r="J186" t="s">
        <v>8534</v>
      </c>
      <c r="K186" t="s">
        <v>8681</v>
      </c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s="1" customFormat="1" x14ac:dyDescent="0.25">
      <c r="A187" t="s">
        <v>8535</v>
      </c>
      <c r="B187" t="s">
        <v>8536</v>
      </c>
      <c r="C187" s="111"/>
      <c r="D187" t="s">
        <v>8537</v>
      </c>
      <c r="E187">
        <v>551</v>
      </c>
      <c r="F187" t="s">
        <v>8539</v>
      </c>
      <c r="G187" t="s">
        <v>8538</v>
      </c>
      <c r="H187" t="s">
        <v>7968</v>
      </c>
      <c r="I187" t="s">
        <v>8536</v>
      </c>
      <c r="J187" t="s">
        <v>8539</v>
      </c>
      <c r="K187" t="s">
        <v>8795</v>
      </c>
    </row>
    <row r="188" spans="1:26" s="1" customFormat="1" x14ac:dyDescent="0.25">
      <c r="A188" t="s">
        <v>8540</v>
      </c>
      <c r="B188" t="s">
        <v>8541</v>
      </c>
      <c r="C188" s="111"/>
      <c r="D188" t="s">
        <v>8495</v>
      </c>
      <c r="E188">
        <v>174</v>
      </c>
      <c r="F188" t="s">
        <v>8542</v>
      </c>
      <c r="G188" t="s">
        <v>8541</v>
      </c>
      <c r="H188" t="s">
        <v>7968</v>
      </c>
      <c r="I188" t="s">
        <v>8541</v>
      </c>
      <c r="J188" t="s">
        <v>8542</v>
      </c>
      <c r="K188" t="s">
        <v>8503</v>
      </c>
    </row>
    <row r="189" spans="1:26" s="1" customFormat="1" x14ac:dyDescent="0.25">
      <c r="A189" t="s">
        <v>8543</v>
      </c>
      <c r="B189" t="s">
        <v>8544</v>
      </c>
      <c r="C189" s="111"/>
      <c r="D189" t="s">
        <v>8545</v>
      </c>
      <c r="E189">
        <v>202</v>
      </c>
      <c r="F189" t="s">
        <v>8546</v>
      </c>
      <c r="G189" t="s">
        <v>8544</v>
      </c>
      <c r="H189" t="s">
        <v>7968</v>
      </c>
      <c r="I189" t="s">
        <v>8544</v>
      </c>
      <c r="J189" t="s">
        <v>8546</v>
      </c>
      <c r="K189" t="s">
        <v>8544</v>
      </c>
    </row>
    <row r="190" spans="1:26" s="1" customFormat="1" x14ac:dyDescent="0.25">
      <c r="A190" t="s">
        <v>8547</v>
      </c>
      <c r="B190" t="s">
        <v>8200</v>
      </c>
      <c r="C190" s="111"/>
      <c r="D190" t="s">
        <v>8258</v>
      </c>
      <c r="E190">
        <v>1101</v>
      </c>
      <c r="F190" t="s">
        <v>8548</v>
      </c>
      <c r="G190" t="s">
        <v>8200</v>
      </c>
      <c r="H190" t="s">
        <v>7968</v>
      </c>
      <c r="I190" t="s">
        <v>8200</v>
      </c>
      <c r="J190" t="s">
        <v>8548</v>
      </c>
      <c r="K190" t="s">
        <v>8200</v>
      </c>
    </row>
    <row r="191" spans="1:26" s="1" customFormat="1" x14ac:dyDescent="0.25">
      <c r="A191" t="s">
        <v>8549</v>
      </c>
      <c r="B191" t="s">
        <v>13941</v>
      </c>
      <c r="C191" s="111"/>
      <c r="D191" t="s">
        <v>8550</v>
      </c>
      <c r="E191">
        <v>317</v>
      </c>
      <c r="F191" t="s">
        <v>8551</v>
      </c>
      <c r="G191" t="s">
        <v>13941</v>
      </c>
      <c r="H191" t="s">
        <v>7968</v>
      </c>
      <c r="I191" t="s">
        <v>13941</v>
      </c>
      <c r="J191" t="s">
        <v>8551</v>
      </c>
      <c r="K191" t="s">
        <v>8633</v>
      </c>
    </row>
    <row r="192" spans="1:26" s="1" customFormat="1" x14ac:dyDescent="0.25">
      <c r="A192" t="s">
        <v>8552</v>
      </c>
      <c r="B192" t="s">
        <v>8553</v>
      </c>
      <c r="C192" s="111"/>
      <c r="D192" t="s">
        <v>8554</v>
      </c>
      <c r="E192">
        <v>253</v>
      </c>
      <c r="F192" t="s">
        <v>8555</v>
      </c>
      <c r="G192" t="s">
        <v>8553</v>
      </c>
      <c r="H192" t="s">
        <v>7968</v>
      </c>
      <c r="I192" t="s">
        <v>8553</v>
      </c>
      <c r="J192" t="s">
        <v>8555</v>
      </c>
      <c r="K192" t="s">
        <v>8553</v>
      </c>
    </row>
    <row r="193" spans="1:26" s="1" customFormat="1" x14ac:dyDescent="0.25">
      <c r="A193" t="s">
        <v>8556</v>
      </c>
      <c r="B193" t="s">
        <v>8557</v>
      </c>
      <c r="C193" s="111"/>
      <c r="D193" t="s">
        <v>8558</v>
      </c>
      <c r="E193">
        <v>0</v>
      </c>
      <c r="F193" t="s">
        <v>8560</v>
      </c>
      <c r="G193" t="s">
        <v>8559</v>
      </c>
      <c r="H193" t="s">
        <v>7968</v>
      </c>
      <c r="I193" t="s">
        <v>8557</v>
      </c>
      <c r="J193" t="s">
        <v>8560</v>
      </c>
      <c r="K193" t="s">
        <v>8011</v>
      </c>
    </row>
    <row r="194" spans="1:26" s="1" customFormat="1" x14ac:dyDescent="0.25">
      <c r="A194" t="s">
        <v>8561</v>
      </c>
      <c r="B194" t="s">
        <v>8562</v>
      </c>
      <c r="C194" s="111"/>
      <c r="D194" t="s">
        <v>8563</v>
      </c>
      <c r="E194">
        <v>251</v>
      </c>
      <c r="F194" t="s">
        <v>8564</v>
      </c>
      <c r="G194" t="s">
        <v>8562</v>
      </c>
      <c r="H194" t="s">
        <v>7968</v>
      </c>
      <c r="I194" t="s">
        <v>8562</v>
      </c>
      <c r="J194" t="s">
        <v>8564</v>
      </c>
      <c r="K194" t="s">
        <v>8562</v>
      </c>
    </row>
    <row r="195" spans="1:26" s="1" customFormat="1" x14ac:dyDescent="0.25">
      <c r="A195" t="s">
        <v>8565</v>
      </c>
      <c r="B195" t="s">
        <v>8566</v>
      </c>
      <c r="C195" s="111"/>
      <c r="D195" t="s">
        <v>8567</v>
      </c>
      <c r="E195">
        <v>621</v>
      </c>
      <c r="F195" t="s">
        <v>8568</v>
      </c>
      <c r="G195" t="s">
        <v>8566</v>
      </c>
      <c r="H195" t="s">
        <v>7968</v>
      </c>
      <c r="I195" t="s">
        <v>8566</v>
      </c>
      <c r="J195" t="s">
        <v>8568</v>
      </c>
      <c r="K195" t="s">
        <v>8566</v>
      </c>
    </row>
    <row r="196" spans="1:26" s="1" customFormat="1" x14ac:dyDescent="0.25">
      <c r="A196" t="s">
        <v>8569</v>
      </c>
      <c r="B196" t="s">
        <v>8467</v>
      </c>
      <c r="C196" s="111"/>
      <c r="D196" t="s">
        <v>8550</v>
      </c>
      <c r="E196">
        <v>57</v>
      </c>
      <c r="F196" t="s">
        <v>8570</v>
      </c>
      <c r="G196" t="s">
        <v>8467</v>
      </c>
      <c r="H196" t="s">
        <v>7968</v>
      </c>
      <c r="I196" t="s">
        <v>8467</v>
      </c>
      <c r="J196" t="s">
        <v>8570</v>
      </c>
      <c r="K196" t="s">
        <v>8467</v>
      </c>
    </row>
    <row r="197" spans="1:26" s="1" customFormat="1" x14ac:dyDescent="0.25">
      <c r="A197" t="s">
        <v>8571</v>
      </c>
      <c r="B197" t="s">
        <v>8572</v>
      </c>
      <c r="C197" s="111"/>
      <c r="D197" t="s">
        <v>8051</v>
      </c>
      <c r="E197">
        <v>7</v>
      </c>
      <c r="F197" t="s">
        <v>8573</v>
      </c>
      <c r="G197" t="s">
        <v>8572</v>
      </c>
      <c r="H197" t="s">
        <v>7968</v>
      </c>
      <c r="I197" t="s">
        <v>8572</v>
      </c>
      <c r="J197" t="s">
        <v>8573</v>
      </c>
      <c r="K197" t="s">
        <v>8572</v>
      </c>
    </row>
    <row r="198" spans="1:26" s="1" customFormat="1" x14ac:dyDescent="0.25">
      <c r="A198" t="s">
        <v>8574</v>
      </c>
      <c r="B198" t="s">
        <v>8575</v>
      </c>
      <c r="C198" s="111"/>
      <c r="D198" t="s">
        <v>8576</v>
      </c>
      <c r="E198">
        <v>0</v>
      </c>
      <c r="F198" t="s">
        <v>8578</v>
      </c>
      <c r="G198" t="s">
        <v>8577</v>
      </c>
      <c r="H198" t="s">
        <v>7968</v>
      </c>
      <c r="I198" t="s">
        <v>8575</v>
      </c>
      <c r="J198" t="s">
        <v>8578</v>
      </c>
      <c r="K198" t="s">
        <v>8633</v>
      </c>
    </row>
    <row r="199" spans="1:26" s="1" customFormat="1" x14ac:dyDescent="0.25">
      <c r="A199" t="s">
        <v>8579</v>
      </c>
      <c r="B199" t="s">
        <v>8580</v>
      </c>
      <c r="C199" s="111"/>
      <c r="D199" t="s">
        <v>8156</v>
      </c>
      <c r="E199">
        <v>0</v>
      </c>
      <c r="F199" t="s">
        <v>8582</v>
      </c>
      <c r="G199" t="s">
        <v>8581</v>
      </c>
      <c r="H199" t="s">
        <v>7968</v>
      </c>
      <c r="I199" t="s">
        <v>8580</v>
      </c>
      <c r="J199" t="s">
        <v>8582</v>
      </c>
      <c r="K199" t="s">
        <v>8624</v>
      </c>
    </row>
    <row r="200" spans="1:26" s="1" customFormat="1" x14ac:dyDescent="0.25">
      <c r="A200" t="s">
        <v>8583</v>
      </c>
      <c r="B200" t="s">
        <v>8584</v>
      </c>
      <c r="C200" s="111"/>
      <c r="D200" t="s">
        <v>8585</v>
      </c>
      <c r="E200">
        <v>245</v>
      </c>
      <c r="F200" t="s">
        <v>8586</v>
      </c>
      <c r="G200" t="s">
        <v>8584</v>
      </c>
      <c r="H200" t="s">
        <v>7968</v>
      </c>
      <c r="I200" t="s">
        <v>8584</v>
      </c>
      <c r="J200" t="s">
        <v>8586</v>
      </c>
      <c r="K200" t="s">
        <v>8498</v>
      </c>
    </row>
    <row r="201" spans="1:26" s="1" customFormat="1" x14ac:dyDescent="0.25">
      <c r="A201" t="s">
        <v>8587</v>
      </c>
      <c r="B201" t="s">
        <v>8588</v>
      </c>
      <c r="C201" s="111"/>
      <c r="D201" t="s">
        <v>8589</v>
      </c>
      <c r="E201">
        <v>0</v>
      </c>
      <c r="F201" t="s">
        <v>8590</v>
      </c>
      <c r="G201" t="s">
        <v>8588</v>
      </c>
      <c r="H201" t="s">
        <v>7968</v>
      </c>
      <c r="I201" t="s">
        <v>8588</v>
      </c>
      <c r="J201" t="s">
        <v>8590</v>
      </c>
      <c r="K201" t="s">
        <v>8087</v>
      </c>
    </row>
    <row r="202" spans="1:26" s="1" customFormat="1" x14ac:dyDescent="0.25">
      <c r="A202" t="s">
        <v>8591</v>
      </c>
      <c r="B202" t="s">
        <v>8592</v>
      </c>
      <c r="C202" s="111"/>
      <c r="D202" t="s">
        <v>8593</v>
      </c>
      <c r="E202">
        <v>633</v>
      </c>
      <c r="F202" t="s">
        <v>8594</v>
      </c>
      <c r="G202" t="s">
        <v>8592</v>
      </c>
      <c r="H202" t="s">
        <v>7968</v>
      </c>
      <c r="I202" t="s">
        <v>8592</v>
      </c>
      <c r="J202" t="s">
        <v>8594</v>
      </c>
      <c r="K202" t="s">
        <v>8011</v>
      </c>
    </row>
    <row r="203" spans="1:26" s="1" customFormat="1" x14ac:dyDescent="0.25">
      <c r="A203" t="s">
        <v>8595</v>
      </c>
      <c r="B203" t="s">
        <v>8596</v>
      </c>
      <c r="C203" s="111"/>
      <c r="D203" t="s">
        <v>8020</v>
      </c>
      <c r="E203">
        <v>129</v>
      </c>
      <c r="F203" t="s">
        <v>8597</v>
      </c>
      <c r="G203" t="s">
        <v>8596</v>
      </c>
      <c r="H203" t="s">
        <v>7968</v>
      </c>
      <c r="I203" t="s">
        <v>8596</v>
      </c>
      <c r="J203" t="s">
        <v>8597</v>
      </c>
      <c r="K203" t="s">
        <v>8681</v>
      </c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</row>
    <row r="204" spans="1:26" s="1" customFormat="1" x14ac:dyDescent="0.25">
      <c r="A204" t="s">
        <v>8598</v>
      </c>
      <c r="B204" t="s">
        <v>8599</v>
      </c>
      <c r="C204" s="111"/>
      <c r="D204" t="s">
        <v>8600</v>
      </c>
      <c r="E204">
        <v>616</v>
      </c>
      <c r="F204" t="s">
        <v>8602</v>
      </c>
      <c r="G204" t="s">
        <v>8601</v>
      </c>
      <c r="H204" t="s">
        <v>7968</v>
      </c>
      <c r="I204" t="s">
        <v>8599</v>
      </c>
      <c r="J204" t="s">
        <v>8602</v>
      </c>
      <c r="K204" t="s">
        <v>8633</v>
      </c>
    </row>
    <row r="205" spans="1:26" s="1" customFormat="1" x14ac:dyDescent="0.25">
      <c r="A205" t="s">
        <v>8603</v>
      </c>
      <c r="B205" t="s">
        <v>8604</v>
      </c>
      <c r="C205" s="111"/>
      <c r="D205" t="s">
        <v>7968</v>
      </c>
      <c r="E205">
        <v>187</v>
      </c>
      <c r="F205" t="s">
        <v>8605</v>
      </c>
      <c r="G205" t="s">
        <v>8604</v>
      </c>
      <c r="H205" t="s">
        <v>7968</v>
      </c>
      <c r="I205" t="s">
        <v>8604</v>
      </c>
      <c r="J205" t="s">
        <v>8605</v>
      </c>
      <c r="K205" t="s">
        <v>8617</v>
      </c>
    </row>
    <row r="206" spans="1:26" s="1" customFormat="1" x14ac:dyDescent="0.25">
      <c r="A206" t="s">
        <v>8606</v>
      </c>
      <c r="B206" t="s">
        <v>8607</v>
      </c>
      <c r="C206" s="111"/>
      <c r="D206" t="s">
        <v>8242</v>
      </c>
      <c r="E206">
        <v>1</v>
      </c>
      <c r="F206" t="s">
        <v>8608</v>
      </c>
      <c r="G206" t="s">
        <v>8607</v>
      </c>
      <c r="H206" t="s">
        <v>7968</v>
      </c>
      <c r="I206" t="s">
        <v>8607</v>
      </c>
      <c r="J206" t="s">
        <v>8608</v>
      </c>
      <c r="K206" t="s">
        <v>8397</v>
      </c>
    </row>
    <row r="207" spans="1:26" s="1" customFormat="1" x14ac:dyDescent="0.25">
      <c r="A207" t="s">
        <v>8609</v>
      </c>
      <c r="B207" t="s">
        <v>8610</v>
      </c>
      <c r="C207" s="111"/>
      <c r="D207" t="s">
        <v>8380</v>
      </c>
      <c r="E207">
        <v>1</v>
      </c>
      <c r="F207" t="s">
        <v>8611</v>
      </c>
      <c r="G207" t="s">
        <v>8610</v>
      </c>
      <c r="H207" t="s">
        <v>7968</v>
      </c>
      <c r="I207" t="s">
        <v>8610</v>
      </c>
      <c r="J207" t="s">
        <v>8611</v>
      </c>
      <c r="K207" t="s">
        <v>8730</v>
      </c>
    </row>
    <row r="208" spans="1:26" s="1" customFormat="1" x14ac:dyDescent="0.25">
      <c r="A208" t="s">
        <v>8612</v>
      </c>
      <c r="B208" t="s">
        <v>8238</v>
      </c>
      <c r="C208" s="111"/>
      <c r="D208" t="s">
        <v>8442</v>
      </c>
      <c r="E208">
        <v>0</v>
      </c>
      <c r="F208" t="s">
        <v>8613</v>
      </c>
      <c r="G208" t="s">
        <v>8238</v>
      </c>
      <c r="H208" t="s">
        <v>7968</v>
      </c>
      <c r="I208" t="s">
        <v>8238</v>
      </c>
      <c r="J208" t="s">
        <v>8613</v>
      </c>
      <c r="K208" t="s">
        <v>8011</v>
      </c>
    </row>
    <row r="209" spans="1:11" s="1" customFormat="1" x14ac:dyDescent="0.25">
      <c r="A209" t="s">
        <v>8614</v>
      </c>
      <c r="B209" t="s">
        <v>8615</v>
      </c>
      <c r="C209" s="111"/>
      <c r="D209" t="s">
        <v>8616</v>
      </c>
      <c r="E209">
        <v>145</v>
      </c>
      <c r="F209" t="s">
        <v>8618</v>
      </c>
      <c r="G209" t="s">
        <v>8617</v>
      </c>
      <c r="H209" t="s">
        <v>7968</v>
      </c>
      <c r="I209" t="s">
        <v>8615</v>
      </c>
      <c r="J209" t="s">
        <v>8618</v>
      </c>
      <c r="K209" t="s">
        <v>8617</v>
      </c>
    </row>
    <row r="210" spans="1:11" s="1" customFormat="1" x14ac:dyDescent="0.25">
      <c r="A210" t="s">
        <v>8619</v>
      </c>
      <c r="B210" t="s">
        <v>8620</v>
      </c>
      <c r="C210" s="111"/>
      <c r="D210" t="s">
        <v>8087</v>
      </c>
      <c r="E210">
        <v>48</v>
      </c>
      <c r="F210" t="s">
        <v>8621</v>
      </c>
      <c r="G210" t="s">
        <v>8620</v>
      </c>
      <c r="H210" t="s">
        <v>7968</v>
      </c>
      <c r="I210" t="s">
        <v>8620</v>
      </c>
      <c r="J210" t="s">
        <v>8621</v>
      </c>
      <c r="K210" t="s">
        <v>8200</v>
      </c>
    </row>
    <row r="211" spans="1:11" s="1" customFormat="1" x14ac:dyDescent="0.25">
      <c r="A211" t="s">
        <v>8622</v>
      </c>
      <c r="B211" t="s">
        <v>8623</v>
      </c>
      <c r="C211" s="111"/>
      <c r="D211" t="s">
        <v>8020</v>
      </c>
      <c r="E211">
        <v>339</v>
      </c>
      <c r="F211" t="s">
        <v>8625</v>
      </c>
      <c r="G211" t="s">
        <v>8624</v>
      </c>
      <c r="H211" t="s">
        <v>7968</v>
      </c>
      <c r="I211" t="s">
        <v>8623</v>
      </c>
      <c r="J211" t="s">
        <v>8625</v>
      </c>
      <c r="K211" t="s">
        <v>8624</v>
      </c>
    </row>
    <row r="212" spans="1:11" s="1" customFormat="1" x14ac:dyDescent="0.25">
      <c r="A212" t="s">
        <v>8626</v>
      </c>
      <c r="B212" t="s">
        <v>8627</v>
      </c>
      <c r="C212" s="111"/>
      <c r="D212" t="s">
        <v>8628</v>
      </c>
      <c r="E212">
        <v>233</v>
      </c>
      <c r="F212" t="s">
        <v>8630</v>
      </c>
      <c r="G212" t="s">
        <v>8629</v>
      </c>
      <c r="H212" t="s">
        <v>7968</v>
      </c>
      <c r="I212" t="s">
        <v>8627</v>
      </c>
      <c r="J212" t="s">
        <v>8630</v>
      </c>
      <c r="K212" t="s">
        <v>8629</v>
      </c>
    </row>
    <row r="213" spans="1:11" s="1" customFormat="1" x14ac:dyDescent="0.25">
      <c r="A213" t="s">
        <v>8631</v>
      </c>
      <c r="B213" t="s">
        <v>8632</v>
      </c>
      <c r="C213" s="111"/>
      <c r="D213" t="s">
        <v>8442</v>
      </c>
      <c r="E213">
        <v>453</v>
      </c>
      <c r="F213" t="s">
        <v>8634</v>
      </c>
      <c r="G213" t="s">
        <v>8633</v>
      </c>
      <c r="H213" t="s">
        <v>7968</v>
      </c>
      <c r="I213" t="s">
        <v>8632</v>
      </c>
      <c r="J213" t="s">
        <v>8634</v>
      </c>
      <c r="K213" t="s">
        <v>8633</v>
      </c>
    </row>
    <row r="214" spans="1:11" s="1" customFormat="1" x14ac:dyDescent="0.25">
      <c r="A214" t="s">
        <v>8635</v>
      </c>
      <c r="B214" t="s">
        <v>8636</v>
      </c>
      <c r="C214" s="111"/>
      <c r="D214" t="s">
        <v>7968</v>
      </c>
      <c r="E214">
        <v>677</v>
      </c>
      <c r="F214" t="s">
        <v>8637</v>
      </c>
      <c r="G214" t="s">
        <v>8636</v>
      </c>
      <c r="H214" t="s">
        <v>7968</v>
      </c>
      <c r="I214" t="s">
        <v>8636</v>
      </c>
      <c r="J214" t="s">
        <v>8637</v>
      </c>
      <c r="K214" t="s">
        <v>8624</v>
      </c>
    </row>
    <row r="215" spans="1:11" s="1" customFormat="1" x14ac:dyDescent="0.25">
      <c r="A215" t="s">
        <v>8638</v>
      </c>
      <c r="B215" t="s">
        <v>8639</v>
      </c>
      <c r="C215" s="111"/>
      <c r="D215" t="s">
        <v>8640</v>
      </c>
      <c r="E215">
        <v>209</v>
      </c>
      <c r="F215" t="s">
        <v>8642</v>
      </c>
      <c r="G215" t="s">
        <v>8641</v>
      </c>
      <c r="H215" t="s">
        <v>7968</v>
      </c>
      <c r="I215" t="s">
        <v>8639</v>
      </c>
      <c r="J215" t="s">
        <v>8642</v>
      </c>
      <c r="K215" t="s">
        <v>8087</v>
      </c>
    </row>
    <row r="216" spans="1:11" s="1" customFormat="1" x14ac:dyDescent="0.25">
      <c r="A216" t="s">
        <v>8643</v>
      </c>
      <c r="B216" t="s">
        <v>8644</v>
      </c>
      <c r="C216" s="111"/>
      <c r="D216" t="s">
        <v>8645</v>
      </c>
      <c r="E216">
        <v>499</v>
      </c>
      <c r="F216" t="s">
        <v>8646</v>
      </c>
      <c r="G216" t="s">
        <v>8644</v>
      </c>
      <c r="H216" t="s">
        <v>7968</v>
      </c>
      <c r="I216" t="s">
        <v>8644</v>
      </c>
      <c r="J216" t="s">
        <v>8646</v>
      </c>
      <c r="K216" t="s">
        <v>8397</v>
      </c>
    </row>
    <row r="217" spans="1:11" s="1" customFormat="1" x14ac:dyDescent="0.25">
      <c r="A217" t="s">
        <v>8647</v>
      </c>
      <c r="B217" t="s">
        <v>8648</v>
      </c>
      <c r="C217" s="111"/>
      <c r="D217" t="s">
        <v>8062</v>
      </c>
      <c r="E217">
        <v>0</v>
      </c>
      <c r="F217" t="s">
        <v>8649</v>
      </c>
      <c r="G217" t="s">
        <v>8648</v>
      </c>
      <c r="H217" t="s">
        <v>7968</v>
      </c>
      <c r="I217" t="s">
        <v>8648</v>
      </c>
      <c r="J217" t="s">
        <v>8649</v>
      </c>
      <c r="K217" t="s">
        <v>8730</v>
      </c>
    </row>
    <row r="218" spans="1:11" s="1" customFormat="1" x14ac:dyDescent="0.25">
      <c r="A218" t="s">
        <v>8650</v>
      </c>
      <c r="B218" t="s">
        <v>8651</v>
      </c>
      <c r="C218" s="111"/>
      <c r="D218" t="s">
        <v>8156</v>
      </c>
      <c r="E218">
        <v>601</v>
      </c>
      <c r="F218" t="s">
        <v>8652</v>
      </c>
      <c r="G218" t="s">
        <v>8651</v>
      </c>
      <c r="H218" t="s">
        <v>7968</v>
      </c>
      <c r="I218" t="s">
        <v>8651</v>
      </c>
      <c r="J218" t="s">
        <v>8652</v>
      </c>
      <c r="K218" t="s">
        <v>9203</v>
      </c>
    </row>
    <row r="219" spans="1:11" s="1" customFormat="1" x14ac:dyDescent="0.25">
      <c r="A219" t="s">
        <v>8653</v>
      </c>
      <c r="B219" t="s">
        <v>8654</v>
      </c>
      <c r="C219" s="111"/>
      <c r="D219" t="s">
        <v>8655</v>
      </c>
      <c r="E219">
        <v>128</v>
      </c>
      <c r="F219" t="s">
        <v>8656</v>
      </c>
      <c r="G219" t="s">
        <v>8654</v>
      </c>
      <c r="H219" t="s">
        <v>7968</v>
      </c>
      <c r="I219" t="s">
        <v>8654</v>
      </c>
      <c r="J219" t="s">
        <v>8656</v>
      </c>
      <c r="K219" t="s">
        <v>8771</v>
      </c>
    </row>
    <row r="220" spans="1:11" s="1" customFormat="1" x14ac:dyDescent="0.25">
      <c r="A220" t="s">
        <v>8657</v>
      </c>
      <c r="B220" t="s">
        <v>8658</v>
      </c>
      <c r="C220" s="111"/>
      <c r="D220" t="s">
        <v>8659</v>
      </c>
      <c r="E220">
        <v>248</v>
      </c>
      <c r="F220" t="s">
        <v>8661</v>
      </c>
      <c r="G220" t="s">
        <v>8660</v>
      </c>
      <c r="H220" t="s">
        <v>7968</v>
      </c>
      <c r="I220" t="s">
        <v>8658</v>
      </c>
      <c r="J220" t="s">
        <v>8661</v>
      </c>
      <c r="K220" t="s">
        <v>8688</v>
      </c>
    </row>
    <row r="221" spans="1:11" s="1" customFormat="1" x14ac:dyDescent="0.25">
      <c r="A221" t="s">
        <v>8662</v>
      </c>
      <c r="B221" t="s">
        <v>8663</v>
      </c>
      <c r="C221" s="111"/>
      <c r="D221" t="s">
        <v>8664</v>
      </c>
      <c r="E221">
        <v>250</v>
      </c>
      <c r="F221" t="s">
        <v>8666</v>
      </c>
      <c r="G221" t="s">
        <v>8665</v>
      </c>
      <c r="H221" t="s">
        <v>7968</v>
      </c>
      <c r="I221" t="s">
        <v>8663</v>
      </c>
      <c r="J221" t="s">
        <v>8666</v>
      </c>
      <c r="K221" t="s">
        <v>8678</v>
      </c>
    </row>
    <row r="222" spans="1:11" s="1" customFormat="1" x14ac:dyDescent="0.25">
      <c r="A222" t="s">
        <v>8667</v>
      </c>
      <c r="B222" t="s">
        <v>8668</v>
      </c>
      <c r="C222" s="111"/>
      <c r="D222" t="s">
        <v>8669</v>
      </c>
      <c r="E222">
        <v>323</v>
      </c>
      <c r="F222" t="s">
        <v>8671</v>
      </c>
      <c r="G222" t="s">
        <v>8670</v>
      </c>
      <c r="H222" t="s">
        <v>7968</v>
      </c>
      <c r="I222" t="s">
        <v>8668</v>
      </c>
      <c r="J222" t="s">
        <v>8671</v>
      </c>
      <c r="K222" t="s">
        <v>8730</v>
      </c>
    </row>
    <row r="223" spans="1:11" s="1" customFormat="1" x14ac:dyDescent="0.25">
      <c r="A223" t="s">
        <v>8672</v>
      </c>
      <c r="B223" t="s">
        <v>8673</v>
      </c>
      <c r="C223" s="111"/>
      <c r="D223" t="s">
        <v>8292</v>
      </c>
      <c r="E223">
        <v>5</v>
      </c>
      <c r="F223" t="s">
        <v>8674</v>
      </c>
      <c r="G223" t="s">
        <v>8673</v>
      </c>
      <c r="H223" t="s">
        <v>7968</v>
      </c>
      <c r="I223" t="s">
        <v>8673</v>
      </c>
      <c r="J223" t="s">
        <v>8674</v>
      </c>
      <c r="K223" t="s">
        <v>8673</v>
      </c>
    </row>
    <row r="224" spans="1:11" s="1" customFormat="1" x14ac:dyDescent="0.25">
      <c r="A224" t="s">
        <v>8675</v>
      </c>
      <c r="B224" t="s">
        <v>8676</v>
      </c>
      <c r="C224" s="111"/>
      <c r="D224" t="s">
        <v>8677</v>
      </c>
      <c r="E224">
        <v>573</v>
      </c>
      <c r="F224" t="s">
        <v>8679</v>
      </c>
      <c r="G224" t="s">
        <v>8678</v>
      </c>
      <c r="H224" t="s">
        <v>7968</v>
      </c>
      <c r="I224" t="s">
        <v>8676</v>
      </c>
      <c r="J224" t="s">
        <v>8679</v>
      </c>
      <c r="K224" t="s">
        <v>8678</v>
      </c>
    </row>
    <row r="225" spans="1:11" s="1" customFormat="1" x14ac:dyDescent="0.25">
      <c r="A225" t="s">
        <v>8680</v>
      </c>
      <c r="B225" t="s">
        <v>8681</v>
      </c>
      <c r="C225" s="111"/>
      <c r="D225" t="s">
        <v>8682</v>
      </c>
      <c r="E225">
        <v>98</v>
      </c>
      <c r="F225" t="s">
        <v>8683</v>
      </c>
      <c r="G225" t="s">
        <v>8681</v>
      </c>
      <c r="H225" t="s">
        <v>7968</v>
      </c>
      <c r="I225" t="s">
        <v>8681</v>
      </c>
      <c r="J225" t="s">
        <v>8683</v>
      </c>
      <c r="K225" t="s">
        <v>8681</v>
      </c>
    </row>
    <row r="226" spans="1:11" s="1" customFormat="1" x14ac:dyDescent="0.25">
      <c r="A226" t="s">
        <v>8684</v>
      </c>
      <c r="B226" t="s">
        <v>8685</v>
      </c>
      <c r="C226" s="111"/>
      <c r="D226" t="s">
        <v>8112</v>
      </c>
      <c r="E226">
        <v>464</v>
      </c>
      <c r="F226" t="s">
        <v>8686</v>
      </c>
      <c r="G226" t="s">
        <v>8685</v>
      </c>
      <c r="H226" t="s">
        <v>7968</v>
      </c>
      <c r="I226" t="s">
        <v>8685</v>
      </c>
      <c r="J226" t="s">
        <v>8686</v>
      </c>
      <c r="K226" t="s">
        <v>13176</v>
      </c>
    </row>
    <row r="227" spans="1:11" s="1" customFormat="1" x14ac:dyDescent="0.25">
      <c r="A227" t="s">
        <v>8687</v>
      </c>
      <c r="B227" t="s">
        <v>8688</v>
      </c>
      <c r="C227" s="111"/>
      <c r="D227" t="s">
        <v>8689</v>
      </c>
      <c r="E227">
        <v>571</v>
      </c>
      <c r="F227" t="s">
        <v>8690</v>
      </c>
      <c r="G227" t="s">
        <v>8688</v>
      </c>
      <c r="H227" t="s">
        <v>7968</v>
      </c>
      <c r="I227" t="s">
        <v>8688</v>
      </c>
      <c r="J227" t="s">
        <v>8690</v>
      </c>
      <c r="K227" t="s">
        <v>8688</v>
      </c>
    </row>
    <row r="228" spans="1:11" s="1" customFormat="1" x14ac:dyDescent="0.25">
      <c r="A228" t="s">
        <v>8691</v>
      </c>
      <c r="B228" t="s">
        <v>8692</v>
      </c>
      <c r="C228" s="111"/>
      <c r="D228" t="s">
        <v>8693</v>
      </c>
      <c r="E228">
        <v>2015</v>
      </c>
      <c r="F228" t="s">
        <v>8694</v>
      </c>
      <c r="G228" t="s">
        <v>8692</v>
      </c>
      <c r="H228" t="s">
        <v>7968</v>
      </c>
      <c r="I228" t="s">
        <v>8692</v>
      </c>
      <c r="J228" t="s">
        <v>8694</v>
      </c>
      <c r="K228" t="s">
        <v>8200</v>
      </c>
    </row>
    <row r="229" spans="1:11" s="1" customFormat="1" x14ac:dyDescent="0.25">
      <c r="A229" t="s">
        <v>8695</v>
      </c>
      <c r="B229" t="s">
        <v>8696</v>
      </c>
      <c r="C229" s="111"/>
      <c r="D229" t="s">
        <v>8697</v>
      </c>
      <c r="E229">
        <v>0</v>
      </c>
      <c r="F229" t="s">
        <v>8698</v>
      </c>
      <c r="G229" t="s">
        <v>8696</v>
      </c>
      <c r="H229" t="s">
        <v>7968</v>
      </c>
      <c r="I229" t="s">
        <v>8696</v>
      </c>
      <c r="J229" t="s">
        <v>8698</v>
      </c>
      <c r="K229" t="s">
        <v>8553</v>
      </c>
    </row>
    <row r="230" spans="1:11" s="1" customFormat="1" x14ac:dyDescent="0.25">
      <c r="A230" t="s">
        <v>8699</v>
      </c>
      <c r="B230" t="s">
        <v>8700</v>
      </c>
      <c r="C230" s="111"/>
      <c r="D230" t="s">
        <v>8701</v>
      </c>
      <c r="E230">
        <v>395</v>
      </c>
      <c r="F230" t="s">
        <v>8702</v>
      </c>
      <c r="G230" t="s">
        <v>8700</v>
      </c>
      <c r="H230" t="s">
        <v>7968</v>
      </c>
      <c r="I230" t="s">
        <v>8700</v>
      </c>
      <c r="J230" t="s">
        <v>8702</v>
      </c>
      <c r="K230" t="s">
        <v>8730</v>
      </c>
    </row>
    <row r="231" spans="1:11" s="1" customFormat="1" x14ac:dyDescent="0.25">
      <c r="A231" t="s">
        <v>8703</v>
      </c>
      <c r="B231" t="s">
        <v>8704</v>
      </c>
      <c r="C231" s="111"/>
      <c r="D231" t="s">
        <v>8705</v>
      </c>
      <c r="E231">
        <v>53</v>
      </c>
      <c r="F231" t="s">
        <v>8706</v>
      </c>
      <c r="G231" t="s">
        <v>8704</v>
      </c>
      <c r="H231" t="s">
        <v>7968</v>
      </c>
      <c r="I231" t="s">
        <v>8704</v>
      </c>
      <c r="J231" t="s">
        <v>8706</v>
      </c>
      <c r="K231" t="s">
        <v>8673</v>
      </c>
    </row>
    <row r="232" spans="1:11" s="1" customFormat="1" x14ac:dyDescent="0.25">
      <c r="A232" t="s">
        <v>8707</v>
      </c>
      <c r="B232" t="s">
        <v>8708</v>
      </c>
      <c r="C232" s="111"/>
      <c r="D232" t="s">
        <v>8709</v>
      </c>
      <c r="E232">
        <v>234</v>
      </c>
      <c r="F232" t="s">
        <v>8711</v>
      </c>
      <c r="G232" t="s">
        <v>8710</v>
      </c>
      <c r="H232" t="s">
        <v>7968</v>
      </c>
      <c r="I232" t="s">
        <v>8708</v>
      </c>
      <c r="J232" t="s">
        <v>8711</v>
      </c>
      <c r="K232" t="s">
        <v>8087</v>
      </c>
    </row>
    <row r="233" spans="1:11" s="1" customFormat="1" x14ac:dyDescent="0.25">
      <c r="A233" t="s">
        <v>8712</v>
      </c>
      <c r="B233" t="s">
        <v>8011</v>
      </c>
      <c r="C233" s="111"/>
      <c r="D233" t="s">
        <v>8314</v>
      </c>
      <c r="E233">
        <v>794</v>
      </c>
      <c r="F233" t="s">
        <v>8713</v>
      </c>
      <c r="G233" t="s">
        <v>8011</v>
      </c>
      <c r="H233" t="s">
        <v>7968</v>
      </c>
      <c r="I233" t="s">
        <v>8011</v>
      </c>
      <c r="J233" t="s">
        <v>8713</v>
      </c>
      <c r="K233" t="s">
        <v>8011</v>
      </c>
    </row>
    <row r="234" spans="1:11" s="1" customFormat="1" x14ac:dyDescent="0.25">
      <c r="A234" t="s">
        <v>8714</v>
      </c>
      <c r="B234" t="s">
        <v>8715</v>
      </c>
      <c r="C234" s="111"/>
      <c r="D234" t="s">
        <v>8716</v>
      </c>
      <c r="E234">
        <v>589</v>
      </c>
      <c r="F234" t="s">
        <v>8717</v>
      </c>
      <c r="G234" t="s">
        <v>8715</v>
      </c>
      <c r="H234" t="s">
        <v>7968</v>
      </c>
      <c r="I234" t="s">
        <v>8715</v>
      </c>
      <c r="J234" t="s">
        <v>8717</v>
      </c>
      <c r="K234" t="s">
        <v>8688</v>
      </c>
    </row>
    <row r="235" spans="1:11" s="1" customFormat="1" x14ac:dyDescent="0.25">
      <c r="A235" t="s">
        <v>8718</v>
      </c>
      <c r="B235" t="s">
        <v>8719</v>
      </c>
      <c r="C235" s="111"/>
      <c r="D235" t="s">
        <v>8720</v>
      </c>
      <c r="E235">
        <v>176</v>
      </c>
      <c r="F235" t="s">
        <v>8721</v>
      </c>
      <c r="G235" t="s">
        <v>8719</v>
      </c>
      <c r="H235" t="s">
        <v>7968</v>
      </c>
      <c r="I235" t="s">
        <v>8719</v>
      </c>
      <c r="J235" t="s">
        <v>8721</v>
      </c>
      <c r="K235" t="s">
        <v>8467</v>
      </c>
    </row>
    <row r="236" spans="1:11" s="1" customFormat="1" x14ac:dyDescent="0.25">
      <c r="A236" t="s">
        <v>8722</v>
      </c>
      <c r="B236" t="s">
        <v>8723</v>
      </c>
      <c r="C236" s="111"/>
      <c r="D236" t="s">
        <v>8724</v>
      </c>
      <c r="E236">
        <v>635</v>
      </c>
      <c r="F236" t="s">
        <v>8725</v>
      </c>
      <c r="G236" t="s">
        <v>8723</v>
      </c>
      <c r="H236" t="s">
        <v>7968</v>
      </c>
      <c r="I236" t="s">
        <v>8723</v>
      </c>
      <c r="J236" t="s">
        <v>8725</v>
      </c>
      <c r="K236" t="s">
        <v>8681</v>
      </c>
    </row>
    <row r="237" spans="1:11" s="1" customFormat="1" x14ac:dyDescent="0.25">
      <c r="A237" t="s">
        <v>8726</v>
      </c>
      <c r="B237" t="s">
        <v>8727</v>
      </c>
      <c r="C237" s="111"/>
      <c r="D237" t="s">
        <v>8258</v>
      </c>
      <c r="E237">
        <v>401</v>
      </c>
      <c r="F237" t="s">
        <v>8728</v>
      </c>
      <c r="G237" t="s">
        <v>8727</v>
      </c>
      <c r="H237" t="s">
        <v>7968</v>
      </c>
      <c r="I237" t="s">
        <v>8727</v>
      </c>
      <c r="J237" t="s">
        <v>8728</v>
      </c>
      <c r="K237" t="s">
        <v>8087</v>
      </c>
    </row>
    <row r="238" spans="1:11" s="1" customFormat="1" x14ac:dyDescent="0.25">
      <c r="A238" t="s">
        <v>8729</v>
      </c>
      <c r="B238" t="s">
        <v>8730</v>
      </c>
      <c r="C238" s="111"/>
      <c r="D238" t="s">
        <v>8731</v>
      </c>
      <c r="E238">
        <v>345</v>
      </c>
      <c r="F238" t="s">
        <v>8732</v>
      </c>
      <c r="G238" t="s">
        <v>8730</v>
      </c>
      <c r="H238" t="s">
        <v>7968</v>
      </c>
      <c r="I238" t="s">
        <v>8730</v>
      </c>
      <c r="J238" t="s">
        <v>8732</v>
      </c>
      <c r="K238" t="s">
        <v>8730</v>
      </c>
    </row>
    <row r="239" spans="1:11" s="1" customFormat="1" x14ac:dyDescent="0.25">
      <c r="A239" t="s">
        <v>8733</v>
      </c>
      <c r="B239" t="s">
        <v>8734</v>
      </c>
      <c r="C239" s="111"/>
      <c r="D239" t="s">
        <v>7965</v>
      </c>
      <c r="E239">
        <v>197</v>
      </c>
      <c r="F239" t="s">
        <v>8735</v>
      </c>
      <c r="G239" t="s">
        <v>8734</v>
      </c>
      <c r="H239" t="s">
        <v>7968</v>
      </c>
      <c r="I239" t="s">
        <v>8734</v>
      </c>
      <c r="J239" t="s">
        <v>8735</v>
      </c>
      <c r="K239" t="s">
        <v>8734</v>
      </c>
    </row>
    <row r="240" spans="1:11" s="1" customFormat="1" x14ac:dyDescent="0.25">
      <c r="A240" t="s">
        <v>8736</v>
      </c>
      <c r="B240" t="s">
        <v>8737</v>
      </c>
      <c r="C240" s="111"/>
      <c r="D240" t="s">
        <v>8738</v>
      </c>
      <c r="E240">
        <v>624</v>
      </c>
      <c r="F240" t="s">
        <v>8739</v>
      </c>
      <c r="G240" t="s">
        <v>8737</v>
      </c>
      <c r="H240" t="s">
        <v>7968</v>
      </c>
      <c r="I240" t="s">
        <v>8737</v>
      </c>
      <c r="J240" t="s">
        <v>8739</v>
      </c>
      <c r="K240" t="s">
        <v>8633</v>
      </c>
    </row>
    <row r="241" spans="1:11" s="1" customFormat="1" x14ac:dyDescent="0.25">
      <c r="A241" t="s">
        <v>8740</v>
      </c>
      <c r="B241" t="s">
        <v>8741</v>
      </c>
      <c r="C241" s="111"/>
      <c r="D241" t="s">
        <v>8742</v>
      </c>
      <c r="E241">
        <v>214</v>
      </c>
      <c r="F241" t="s">
        <v>8743</v>
      </c>
      <c r="G241" t="s">
        <v>8741</v>
      </c>
      <c r="H241" t="s">
        <v>7968</v>
      </c>
      <c r="I241" t="s">
        <v>8741</v>
      </c>
      <c r="J241" t="s">
        <v>8743</v>
      </c>
      <c r="K241" t="s">
        <v>8544</v>
      </c>
    </row>
    <row r="242" spans="1:11" s="1" customFormat="1" x14ac:dyDescent="0.25">
      <c r="A242" t="s">
        <v>8744</v>
      </c>
      <c r="B242" t="s">
        <v>8745</v>
      </c>
      <c r="C242" s="111"/>
      <c r="D242" t="s">
        <v>8746</v>
      </c>
      <c r="E242">
        <v>3</v>
      </c>
      <c r="F242" t="s">
        <v>8747</v>
      </c>
      <c r="G242" t="s">
        <v>8745</v>
      </c>
      <c r="H242" t="s">
        <v>7968</v>
      </c>
      <c r="I242" t="s">
        <v>8745</v>
      </c>
      <c r="J242" t="s">
        <v>8747</v>
      </c>
      <c r="K242" t="s">
        <v>8767</v>
      </c>
    </row>
    <row r="243" spans="1:11" s="1" customFormat="1" x14ac:dyDescent="0.25">
      <c r="A243" t="s">
        <v>8748</v>
      </c>
      <c r="B243" t="s">
        <v>8749</v>
      </c>
      <c r="C243" s="111"/>
      <c r="D243" t="s">
        <v>8750</v>
      </c>
      <c r="E243">
        <v>517</v>
      </c>
      <c r="F243" t="s">
        <v>8751</v>
      </c>
      <c r="G243" t="s">
        <v>8749</v>
      </c>
      <c r="H243" t="s">
        <v>7968</v>
      </c>
      <c r="I243" t="s">
        <v>8749</v>
      </c>
      <c r="J243" t="s">
        <v>8751</v>
      </c>
      <c r="K243" t="s">
        <v>8011</v>
      </c>
    </row>
    <row r="244" spans="1:11" s="1" customFormat="1" x14ac:dyDescent="0.25">
      <c r="A244" t="s">
        <v>8752</v>
      </c>
      <c r="B244" t="s">
        <v>8753</v>
      </c>
      <c r="C244" s="111"/>
      <c r="D244" t="s">
        <v>8754</v>
      </c>
      <c r="E244">
        <v>146</v>
      </c>
      <c r="F244" t="s">
        <v>8755</v>
      </c>
      <c r="G244" t="s">
        <v>8753</v>
      </c>
      <c r="H244" t="s">
        <v>7968</v>
      </c>
      <c r="I244" t="s">
        <v>8753</v>
      </c>
      <c r="J244" t="s">
        <v>8755</v>
      </c>
      <c r="K244" t="s">
        <v>8764</v>
      </c>
    </row>
    <row r="245" spans="1:11" s="1" customFormat="1" x14ac:dyDescent="0.25">
      <c r="A245" t="s">
        <v>8756</v>
      </c>
      <c r="B245" t="s">
        <v>8757</v>
      </c>
      <c r="C245" s="111"/>
      <c r="D245" t="s">
        <v>8397</v>
      </c>
      <c r="E245">
        <v>156</v>
      </c>
      <c r="F245" t="s">
        <v>8758</v>
      </c>
      <c r="G245" t="s">
        <v>8757</v>
      </c>
      <c r="H245" t="s">
        <v>7968</v>
      </c>
      <c r="I245" t="s">
        <v>8757</v>
      </c>
      <c r="J245" t="s">
        <v>8758</v>
      </c>
      <c r="K245" t="s">
        <v>8467</v>
      </c>
    </row>
    <row r="246" spans="1:11" s="1" customFormat="1" x14ac:dyDescent="0.25">
      <c r="A246" t="s">
        <v>8759</v>
      </c>
      <c r="B246" t="s">
        <v>8760</v>
      </c>
      <c r="C246" s="111"/>
      <c r="D246" t="s">
        <v>8761</v>
      </c>
      <c r="E246">
        <v>1340</v>
      </c>
      <c r="F246" t="s">
        <v>8762</v>
      </c>
      <c r="G246" t="s">
        <v>8760</v>
      </c>
      <c r="H246" t="s">
        <v>7968</v>
      </c>
      <c r="I246" t="s">
        <v>8760</v>
      </c>
      <c r="J246" t="s">
        <v>8762</v>
      </c>
      <c r="K246" t="s">
        <v>8681</v>
      </c>
    </row>
    <row r="247" spans="1:11" s="1" customFormat="1" x14ac:dyDescent="0.25">
      <c r="A247" t="s">
        <v>8763</v>
      </c>
      <c r="B247" t="s">
        <v>8764</v>
      </c>
      <c r="C247" s="111"/>
      <c r="D247" t="s">
        <v>8682</v>
      </c>
      <c r="E247">
        <v>597</v>
      </c>
      <c r="F247" t="s">
        <v>8765</v>
      </c>
      <c r="G247" t="s">
        <v>8764</v>
      </c>
      <c r="H247" t="s">
        <v>7968</v>
      </c>
      <c r="I247" t="s">
        <v>8764</v>
      </c>
      <c r="J247" t="s">
        <v>8765</v>
      </c>
      <c r="K247" t="s">
        <v>8764</v>
      </c>
    </row>
    <row r="248" spans="1:11" s="1" customFormat="1" x14ac:dyDescent="0.25">
      <c r="A248" t="s">
        <v>8766</v>
      </c>
      <c r="B248" t="s">
        <v>8767</v>
      </c>
      <c r="C248" s="111"/>
      <c r="D248" t="s">
        <v>8768</v>
      </c>
      <c r="E248">
        <v>5</v>
      </c>
      <c r="F248" t="s">
        <v>8769</v>
      </c>
      <c r="G248" t="s">
        <v>8767</v>
      </c>
      <c r="H248" t="s">
        <v>7968</v>
      </c>
      <c r="I248" t="s">
        <v>8767</v>
      </c>
      <c r="J248" t="s">
        <v>8769</v>
      </c>
      <c r="K248" t="s">
        <v>8767</v>
      </c>
    </row>
    <row r="249" spans="1:11" s="1" customFormat="1" x14ac:dyDescent="0.25">
      <c r="A249" t="s">
        <v>8770</v>
      </c>
      <c r="B249" t="s">
        <v>8771</v>
      </c>
      <c r="C249" s="111"/>
      <c r="D249" t="s">
        <v>8242</v>
      </c>
      <c r="E249">
        <v>86</v>
      </c>
      <c r="F249" t="s">
        <v>8772</v>
      </c>
      <c r="G249" t="s">
        <v>8771</v>
      </c>
      <c r="H249" t="s">
        <v>7968</v>
      </c>
      <c r="I249" t="s">
        <v>8771</v>
      </c>
      <c r="J249" t="s">
        <v>8772</v>
      </c>
      <c r="K249" t="s">
        <v>8771</v>
      </c>
    </row>
    <row r="250" spans="1:11" s="1" customFormat="1" x14ac:dyDescent="0.25">
      <c r="A250" t="s">
        <v>8773</v>
      </c>
      <c r="B250" t="s">
        <v>8774</v>
      </c>
      <c r="C250" s="111"/>
      <c r="D250" t="s">
        <v>8775</v>
      </c>
      <c r="E250">
        <v>501</v>
      </c>
      <c r="F250" t="s">
        <v>8776</v>
      </c>
      <c r="G250" t="s">
        <v>8774</v>
      </c>
      <c r="H250" t="s">
        <v>7968</v>
      </c>
      <c r="I250" t="s">
        <v>8774</v>
      </c>
      <c r="J250" t="s">
        <v>8776</v>
      </c>
      <c r="K250" t="s">
        <v>8774</v>
      </c>
    </row>
    <row r="251" spans="1:11" s="1" customFormat="1" x14ac:dyDescent="0.25">
      <c r="A251" t="s">
        <v>8777</v>
      </c>
      <c r="B251" t="s">
        <v>8778</v>
      </c>
      <c r="C251" s="111"/>
      <c r="D251" t="s">
        <v>8303</v>
      </c>
      <c r="E251">
        <v>0</v>
      </c>
      <c r="F251" t="s">
        <v>8779</v>
      </c>
      <c r="G251" t="s">
        <v>8778</v>
      </c>
      <c r="H251" t="s">
        <v>7968</v>
      </c>
      <c r="I251" t="s">
        <v>8778</v>
      </c>
      <c r="J251" t="s">
        <v>8779</v>
      </c>
      <c r="K251" t="s">
        <v>8633</v>
      </c>
    </row>
    <row r="252" spans="1:11" s="1" customFormat="1" x14ac:dyDescent="0.25">
      <c r="A252" t="s">
        <v>8780</v>
      </c>
      <c r="B252" t="s">
        <v>8585</v>
      </c>
      <c r="C252" s="111"/>
      <c r="D252" t="s">
        <v>7965</v>
      </c>
      <c r="E252">
        <v>213</v>
      </c>
      <c r="F252" t="s">
        <v>8781</v>
      </c>
      <c r="G252" t="s">
        <v>8585</v>
      </c>
      <c r="H252" t="s">
        <v>7968</v>
      </c>
      <c r="I252" t="s">
        <v>8585</v>
      </c>
      <c r="J252" t="s">
        <v>8781</v>
      </c>
      <c r="K252" t="s">
        <v>8585</v>
      </c>
    </row>
    <row r="253" spans="1:11" s="1" customFormat="1" x14ac:dyDescent="0.25">
      <c r="A253" t="s">
        <v>8782</v>
      </c>
      <c r="B253" t="s">
        <v>8783</v>
      </c>
      <c r="C253" s="111"/>
      <c r="D253" t="s">
        <v>8784</v>
      </c>
      <c r="E253">
        <v>268</v>
      </c>
      <c r="F253" t="s">
        <v>8785</v>
      </c>
      <c r="G253" t="s">
        <v>8783</v>
      </c>
      <c r="H253" t="s">
        <v>7968</v>
      </c>
      <c r="I253" t="s">
        <v>8783</v>
      </c>
      <c r="J253" t="s">
        <v>8785</v>
      </c>
      <c r="K253" t="s">
        <v>8562</v>
      </c>
    </row>
    <row r="254" spans="1:11" s="3" customFormat="1" x14ac:dyDescent="0.25">
      <c r="A254" t="s">
        <v>8786</v>
      </c>
      <c r="B254" t="s">
        <v>8787</v>
      </c>
      <c r="C254" s="111"/>
      <c r="D254" t="s">
        <v>8788</v>
      </c>
      <c r="E254">
        <v>757</v>
      </c>
      <c r="F254" t="s">
        <v>8789</v>
      </c>
      <c r="G254" t="s">
        <v>8787</v>
      </c>
      <c r="H254" t="s">
        <v>7968</v>
      </c>
      <c r="I254" t="s">
        <v>8787</v>
      </c>
      <c r="J254" t="s">
        <v>8789</v>
      </c>
      <c r="K254" t="s">
        <v>8688</v>
      </c>
    </row>
    <row r="255" spans="1:11" s="1" customFormat="1" x14ac:dyDescent="0.25">
      <c r="A255" t="s">
        <v>8790</v>
      </c>
      <c r="B255" t="s">
        <v>8791</v>
      </c>
      <c r="C255" s="111"/>
      <c r="D255" t="s">
        <v>8792</v>
      </c>
      <c r="E255">
        <v>48</v>
      </c>
      <c r="F255" t="s">
        <v>8793</v>
      </c>
      <c r="G255" t="s">
        <v>8791</v>
      </c>
      <c r="H255" t="s">
        <v>7968</v>
      </c>
      <c r="I255" t="s">
        <v>8791</v>
      </c>
      <c r="J255" t="s">
        <v>8793</v>
      </c>
      <c r="K255" t="s">
        <v>8795</v>
      </c>
    </row>
    <row r="256" spans="1:11" s="1" customFormat="1" x14ac:dyDescent="0.25">
      <c r="A256" t="s">
        <v>8794</v>
      </c>
      <c r="B256" t="s">
        <v>8795</v>
      </c>
      <c r="C256" s="111"/>
      <c r="D256" t="s">
        <v>8796</v>
      </c>
      <c r="E256">
        <v>542</v>
      </c>
      <c r="F256" t="s">
        <v>8797</v>
      </c>
      <c r="G256" t="s">
        <v>8795</v>
      </c>
      <c r="H256" t="s">
        <v>7968</v>
      </c>
      <c r="I256" t="s">
        <v>8795</v>
      </c>
      <c r="J256" t="s">
        <v>8797</v>
      </c>
      <c r="K256" t="s">
        <v>8795</v>
      </c>
    </row>
    <row r="257" spans="1:11" s="1" customFormat="1" x14ac:dyDescent="0.25">
      <c r="A257" t="s">
        <v>8798</v>
      </c>
      <c r="B257" t="s">
        <v>8799</v>
      </c>
      <c r="C257" s="111"/>
      <c r="D257" t="s">
        <v>8380</v>
      </c>
      <c r="E257">
        <v>455</v>
      </c>
      <c r="F257" t="s">
        <v>8800</v>
      </c>
      <c r="G257" t="s">
        <v>8799</v>
      </c>
      <c r="H257" t="s">
        <v>7968</v>
      </c>
      <c r="I257" t="s">
        <v>8799</v>
      </c>
      <c r="J257" t="s">
        <v>8800</v>
      </c>
      <c r="K257" t="s">
        <v>8562</v>
      </c>
    </row>
    <row r="258" spans="1:11" s="1" customFormat="1" x14ac:dyDescent="0.25">
      <c r="A258" t="s">
        <v>8801</v>
      </c>
      <c r="B258" t="s">
        <v>8802</v>
      </c>
      <c r="C258" s="111"/>
      <c r="D258" t="s">
        <v>8011</v>
      </c>
      <c r="E258">
        <v>649</v>
      </c>
      <c r="F258" t="s">
        <v>8803</v>
      </c>
      <c r="G258" t="s">
        <v>8802</v>
      </c>
      <c r="H258" t="s">
        <v>7968</v>
      </c>
      <c r="I258" t="s">
        <v>8802</v>
      </c>
      <c r="J258" t="s">
        <v>8803</v>
      </c>
      <c r="K258" t="s">
        <v>8802</v>
      </c>
    </row>
    <row r="259" spans="1:11" s="1" customFormat="1" x14ac:dyDescent="0.25">
      <c r="A259" t="s">
        <v>8804</v>
      </c>
      <c r="B259" t="s">
        <v>8805</v>
      </c>
      <c r="C259" s="111"/>
      <c r="D259" t="s">
        <v>8806</v>
      </c>
      <c r="E259">
        <v>299</v>
      </c>
      <c r="F259" t="s">
        <v>8807</v>
      </c>
      <c r="G259" t="s">
        <v>8805</v>
      </c>
      <c r="H259" t="s">
        <v>7968</v>
      </c>
      <c r="I259" t="s">
        <v>8805</v>
      </c>
      <c r="J259" t="s">
        <v>8807</v>
      </c>
      <c r="K259" t="s">
        <v>8544</v>
      </c>
    </row>
    <row r="260" spans="1:11" s="1" customFormat="1" x14ac:dyDescent="0.25">
      <c r="A260" t="s">
        <v>8808</v>
      </c>
      <c r="B260" t="s">
        <v>8809</v>
      </c>
      <c r="C260" s="111"/>
      <c r="D260" t="s">
        <v>8810</v>
      </c>
      <c r="E260">
        <v>102</v>
      </c>
      <c r="F260" t="s">
        <v>8811</v>
      </c>
      <c r="G260" t="s">
        <v>8809</v>
      </c>
      <c r="H260" t="s">
        <v>7968</v>
      </c>
      <c r="I260" t="s">
        <v>8809</v>
      </c>
      <c r="J260" t="s">
        <v>8811</v>
      </c>
      <c r="K260" t="s">
        <v>8678</v>
      </c>
    </row>
    <row r="261" spans="1:11" s="1" customFormat="1" x14ac:dyDescent="0.25">
      <c r="A261" t="s">
        <v>8812</v>
      </c>
      <c r="B261" t="s">
        <v>8087</v>
      </c>
      <c r="C261" s="111"/>
      <c r="D261" t="s">
        <v>8813</v>
      </c>
      <c r="E261">
        <v>825</v>
      </c>
      <c r="F261" t="s">
        <v>8814</v>
      </c>
      <c r="G261" t="s">
        <v>8087</v>
      </c>
      <c r="H261" t="s">
        <v>7968</v>
      </c>
      <c r="I261" t="s">
        <v>8087</v>
      </c>
      <c r="J261" t="s">
        <v>8814</v>
      </c>
      <c r="K261" t="s">
        <v>8087</v>
      </c>
    </row>
    <row r="262" spans="1:11" s="1" customFormat="1" x14ac:dyDescent="0.25">
      <c r="A262" t="s">
        <v>8815</v>
      </c>
      <c r="B262" t="s">
        <v>8816</v>
      </c>
      <c r="C262" s="111"/>
      <c r="D262" t="s">
        <v>8817</v>
      </c>
      <c r="E262">
        <v>396</v>
      </c>
      <c r="F262" t="s">
        <v>8818</v>
      </c>
      <c r="G262" t="s">
        <v>8816</v>
      </c>
      <c r="H262" t="s">
        <v>7968</v>
      </c>
      <c r="I262" t="s">
        <v>8816</v>
      </c>
      <c r="J262" t="s">
        <v>8818</v>
      </c>
      <c r="K262" t="s">
        <v>8572</v>
      </c>
    </row>
    <row r="263" spans="1:11" s="1" customFormat="1" x14ac:dyDescent="0.25">
      <c r="A263" t="s">
        <v>8819</v>
      </c>
      <c r="B263" t="s">
        <v>8820</v>
      </c>
      <c r="C263" s="111"/>
      <c r="D263" t="s">
        <v>8821</v>
      </c>
      <c r="E263">
        <v>173</v>
      </c>
      <c r="F263" t="s">
        <v>8822</v>
      </c>
      <c r="G263" t="s">
        <v>8820</v>
      </c>
      <c r="H263" t="s">
        <v>7968</v>
      </c>
      <c r="I263" t="s">
        <v>8820</v>
      </c>
      <c r="J263" t="s">
        <v>8822</v>
      </c>
      <c r="K263" t="s">
        <v>8820</v>
      </c>
    </row>
    <row r="264" spans="1:11" s="1" customFormat="1" x14ac:dyDescent="0.25">
      <c r="A264" t="s">
        <v>8823</v>
      </c>
      <c r="B264" t="s">
        <v>8824</v>
      </c>
      <c r="C264" s="111"/>
      <c r="D264" t="s">
        <v>8825</v>
      </c>
      <c r="E264">
        <v>589</v>
      </c>
      <c r="F264" t="s">
        <v>8826</v>
      </c>
      <c r="G264" t="s">
        <v>8824</v>
      </c>
      <c r="H264" t="s">
        <v>7968</v>
      </c>
      <c r="I264" t="s">
        <v>8824</v>
      </c>
      <c r="J264" t="s">
        <v>8826</v>
      </c>
      <c r="K264" t="s">
        <v>8820</v>
      </c>
    </row>
    <row r="265" spans="1:11" s="1" customFormat="1" x14ac:dyDescent="0.25">
      <c r="A265" t="s">
        <v>8827</v>
      </c>
      <c r="B265" t="s">
        <v>8047</v>
      </c>
      <c r="C265" s="111"/>
      <c r="D265" t="s">
        <v>8020</v>
      </c>
      <c r="E265">
        <v>280</v>
      </c>
      <c r="F265" t="s">
        <v>8828</v>
      </c>
      <c r="G265" t="s">
        <v>8047</v>
      </c>
      <c r="H265" t="s">
        <v>7968</v>
      </c>
      <c r="I265" t="s">
        <v>8047</v>
      </c>
      <c r="J265" t="s">
        <v>8828</v>
      </c>
      <c r="K265" t="s">
        <v>8833</v>
      </c>
    </row>
    <row r="266" spans="1:11" s="1" customFormat="1" x14ac:dyDescent="0.25">
      <c r="A266" t="s">
        <v>8829</v>
      </c>
      <c r="B266" t="s">
        <v>8830</v>
      </c>
      <c r="C266" s="111"/>
      <c r="D266" t="s">
        <v>8113</v>
      </c>
      <c r="E266">
        <v>42</v>
      </c>
      <c r="F266" t="s">
        <v>8831</v>
      </c>
      <c r="G266" t="s">
        <v>8830</v>
      </c>
      <c r="H266" t="s">
        <v>7968</v>
      </c>
      <c r="I266" t="s">
        <v>8830</v>
      </c>
      <c r="J266" t="s">
        <v>8831</v>
      </c>
      <c r="K266" t="s">
        <v>8830</v>
      </c>
    </row>
    <row r="267" spans="1:11" s="1" customFormat="1" x14ac:dyDescent="0.25">
      <c r="A267" t="s">
        <v>8832</v>
      </c>
      <c r="B267" t="s">
        <v>8833</v>
      </c>
      <c r="C267" s="111"/>
      <c r="D267" t="s">
        <v>8834</v>
      </c>
      <c r="E267">
        <v>999</v>
      </c>
      <c r="F267" t="s">
        <v>8835</v>
      </c>
      <c r="G267" t="s">
        <v>8833</v>
      </c>
      <c r="H267" t="s">
        <v>7968</v>
      </c>
      <c r="I267" t="s">
        <v>8833</v>
      </c>
      <c r="J267" t="s">
        <v>8835</v>
      </c>
      <c r="K267" t="s">
        <v>8833</v>
      </c>
    </row>
    <row r="268" spans="1:11" s="1" customFormat="1" x14ac:dyDescent="0.25">
      <c r="A268" t="s">
        <v>8836</v>
      </c>
      <c r="B268" t="s">
        <v>8837</v>
      </c>
      <c r="C268" s="111"/>
      <c r="D268" t="s">
        <v>7965</v>
      </c>
      <c r="E268">
        <v>274</v>
      </c>
      <c r="F268" t="s">
        <v>8838</v>
      </c>
      <c r="G268" t="s">
        <v>8837</v>
      </c>
      <c r="H268" t="s">
        <v>7968</v>
      </c>
      <c r="I268" t="s">
        <v>8837</v>
      </c>
      <c r="J268" t="s">
        <v>8838</v>
      </c>
      <c r="K268" t="s">
        <v>8837</v>
      </c>
    </row>
    <row r="269" spans="1:11" s="1" customFormat="1" x14ac:dyDescent="0.25">
      <c r="A269" t="s">
        <v>8839</v>
      </c>
      <c r="B269" t="s">
        <v>13942</v>
      </c>
      <c r="C269" s="111"/>
      <c r="D269" t="s">
        <v>8380</v>
      </c>
      <c r="E269">
        <v>709</v>
      </c>
      <c r="F269" t="s">
        <v>8840</v>
      </c>
      <c r="G269" t="s">
        <v>13942</v>
      </c>
      <c r="H269" t="s">
        <v>7968</v>
      </c>
      <c r="I269" t="s">
        <v>13942</v>
      </c>
      <c r="J269" t="s">
        <v>8840</v>
      </c>
      <c r="K269" t="s">
        <v>13177</v>
      </c>
    </row>
    <row r="270" spans="1:11" s="1" customFormat="1" x14ac:dyDescent="0.25">
      <c r="A270" t="s">
        <v>8841</v>
      </c>
      <c r="B270" t="s">
        <v>8842</v>
      </c>
      <c r="C270" s="111"/>
      <c r="D270" t="s">
        <v>8314</v>
      </c>
      <c r="E270">
        <v>272</v>
      </c>
      <c r="F270" t="s">
        <v>8844</v>
      </c>
      <c r="G270" t="s">
        <v>8843</v>
      </c>
      <c r="H270" t="s">
        <v>7968</v>
      </c>
      <c r="I270" t="s">
        <v>8842</v>
      </c>
      <c r="J270" t="s">
        <v>8844</v>
      </c>
      <c r="K270" t="s">
        <v>8843</v>
      </c>
    </row>
    <row r="271" spans="1:11" s="1" customFormat="1" x14ac:dyDescent="0.25">
      <c r="A271" t="s">
        <v>8845</v>
      </c>
      <c r="B271" t="s">
        <v>8176</v>
      </c>
      <c r="C271" s="111"/>
      <c r="D271" t="s">
        <v>8846</v>
      </c>
      <c r="E271">
        <v>850</v>
      </c>
      <c r="F271" t="s">
        <v>8847</v>
      </c>
      <c r="G271" t="s">
        <v>8176</v>
      </c>
      <c r="H271" t="s">
        <v>7968</v>
      </c>
      <c r="I271" t="s">
        <v>8176</v>
      </c>
      <c r="J271" t="s">
        <v>8847</v>
      </c>
      <c r="K271" t="s">
        <v>8176</v>
      </c>
    </row>
    <row r="272" spans="1:11" s="1" customFormat="1" x14ac:dyDescent="0.25">
      <c r="A272" t="s">
        <v>8848</v>
      </c>
      <c r="B272" t="s">
        <v>8849</v>
      </c>
      <c r="C272" s="111"/>
      <c r="D272" t="s">
        <v>8850</v>
      </c>
      <c r="E272">
        <v>88</v>
      </c>
      <c r="F272" t="s">
        <v>8851</v>
      </c>
      <c r="G272" t="s">
        <v>8434</v>
      </c>
      <c r="H272" t="s">
        <v>7968</v>
      </c>
      <c r="I272" t="s">
        <v>8849</v>
      </c>
      <c r="J272" t="s">
        <v>8851</v>
      </c>
      <c r="K272" t="s">
        <v>8918</v>
      </c>
    </row>
    <row r="273" spans="1:11" s="1" customFormat="1" x14ac:dyDescent="0.25">
      <c r="A273" t="s">
        <v>8852</v>
      </c>
      <c r="B273" t="s">
        <v>8853</v>
      </c>
      <c r="C273" s="111"/>
      <c r="D273" t="s">
        <v>8854</v>
      </c>
      <c r="E273">
        <v>0</v>
      </c>
      <c r="F273" t="s">
        <v>8855</v>
      </c>
      <c r="G273" t="s">
        <v>8853</v>
      </c>
      <c r="H273" t="s">
        <v>7968</v>
      </c>
      <c r="I273" t="s">
        <v>8853</v>
      </c>
      <c r="J273" t="s">
        <v>8855</v>
      </c>
      <c r="K273" t="s">
        <v>8869</v>
      </c>
    </row>
    <row r="274" spans="1:11" s="1" customFormat="1" x14ac:dyDescent="0.25">
      <c r="A274" t="s">
        <v>8856</v>
      </c>
      <c r="B274" t="s">
        <v>8857</v>
      </c>
      <c r="C274" s="111"/>
      <c r="D274" t="s">
        <v>8858</v>
      </c>
      <c r="E274">
        <v>630</v>
      </c>
      <c r="F274" t="s">
        <v>8859</v>
      </c>
      <c r="G274" t="s">
        <v>8857</v>
      </c>
      <c r="H274" t="s">
        <v>7968</v>
      </c>
      <c r="I274" t="s">
        <v>8857</v>
      </c>
      <c r="J274" t="s">
        <v>8859</v>
      </c>
      <c r="K274" t="s">
        <v>8820</v>
      </c>
    </row>
    <row r="275" spans="1:11" s="1" customFormat="1" x14ac:dyDescent="0.25">
      <c r="A275" t="s">
        <v>8860</v>
      </c>
      <c r="B275" t="s">
        <v>8861</v>
      </c>
      <c r="C275" s="111"/>
      <c r="D275" t="s">
        <v>8397</v>
      </c>
      <c r="E275">
        <v>302</v>
      </c>
      <c r="F275" t="s">
        <v>8863</v>
      </c>
      <c r="G275" t="s">
        <v>8862</v>
      </c>
      <c r="H275" t="s">
        <v>7968</v>
      </c>
      <c r="I275" t="s">
        <v>8861</v>
      </c>
      <c r="J275" t="s">
        <v>8863</v>
      </c>
      <c r="K275" t="s">
        <v>8861</v>
      </c>
    </row>
    <row r="276" spans="1:11" s="1" customFormat="1" x14ac:dyDescent="0.25">
      <c r="A276" t="s">
        <v>8864</v>
      </c>
      <c r="B276" t="s">
        <v>8865</v>
      </c>
      <c r="C276" s="111"/>
      <c r="D276" t="s">
        <v>8287</v>
      </c>
      <c r="E276">
        <v>974</v>
      </c>
      <c r="F276" t="s">
        <v>8866</v>
      </c>
      <c r="G276" t="s">
        <v>8865</v>
      </c>
      <c r="H276" t="s">
        <v>7968</v>
      </c>
      <c r="I276" t="s">
        <v>8865</v>
      </c>
      <c r="J276" t="s">
        <v>8866</v>
      </c>
      <c r="K276" t="s">
        <v>8861</v>
      </c>
    </row>
    <row r="277" spans="1:11" s="1" customFormat="1" x14ac:dyDescent="0.25">
      <c r="A277" t="s">
        <v>8867</v>
      </c>
      <c r="B277" t="s">
        <v>8868</v>
      </c>
      <c r="C277" s="111"/>
      <c r="D277" t="s">
        <v>8869</v>
      </c>
      <c r="E277">
        <v>1</v>
      </c>
      <c r="F277" t="s">
        <v>8870</v>
      </c>
      <c r="G277" t="s">
        <v>8868</v>
      </c>
      <c r="H277" t="s">
        <v>7968</v>
      </c>
      <c r="I277" t="s">
        <v>8868</v>
      </c>
      <c r="J277" t="s">
        <v>8870</v>
      </c>
      <c r="K277" t="s">
        <v>8918</v>
      </c>
    </row>
    <row r="278" spans="1:11" s="1" customFormat="1" x14ac:dyDescent="0.25">
      <c r="A278" t="s">
        <v>8871</v>
      </c>
      <c r="B278" t="s">
        <v>8872</v>
      </c>
      <c r="C278" s="111"/>
      <c r="D278" t="s">
        <v>8640</v>
      </c>
      <c r="E278">
        <v>500</v>
      </c>
      <c r="F278" t="s">
        <v>8874</v>
      </c>
      <c r="G278" t="s">
        <v>8873</v>
      </c>
      <c r="H278" t="s">
        <v>7968</v>
      </c>
      <c r="I278" t="s">
        <v>8872</v>
      </c>
      <c r="J278" t="s">
        <v>8874</v>
      </c>
      <c r="K278" t="s">
        <v>8926</v>
      </c>
    </row>
    <row r="279" spans="1:11" s="1" customFormat="1" x14ac:dyDescent="0.25">
      <c r="A279" t="s">
        <v>8875</v>
      </c>
      <c r="B279" t="s">
        <v>8876</v>
      </c>
      <c r="C279" s="111"/>
      <c r="D279" t="s">
        <v>8343</v>
      </c>
      <c r="E279">
        <v>1125</v>
      </c>
      <c r="F279" t="s">
        <v>8878</v>
      </c>
      <c r="G279" t="s">
        <v>8877</v>
      </c>
      <c r="H279" t="s">
        <v>7968</v>
      </c>
      <c r="I279" t="s">
        <v>8876</v>
      </c>
      <c r="J279" t="s">
        <v>8878</v>
      </c>
      <c r="K279" t="s">
        <v>8861</v>
      </c>
    </row>
    <row r="280" spans="1:11" s="1" customFormat="1" x14ac:dyDescent="0.25">
      <c r="A280" t="s">
        <v>8879</v>
      </c>
      <c r="B280" t="s">
        <v>8880</v>
      </c>
      <c r="C280" s="111"/>
      <c r="D280" t="s">
        <v>8881</v>
      </c>
      <c r="E280">
        <v>335</v>
      </c>
      <c r="F280" t="s">
        <v>8883</v>
      </c>
      <c r="G280" t="s">
        <v>8882</v>
      </c>
      <c r="H280" t="s">
        <v>7968</v>
      </c>
      <c r="I280" t="s">
        <v>8880</v>
      </c>
      <c r="J280" t="s">
        <v>8883</v>
      </c>
      <c r="K280" t="s">
        <v>8918</v>
      </c>
    </row>
    <row r="281" spans="1:11" s="1" customFormat="1" x14ac:dyDescent="0.25">
      <c r="A281" t="s">
        <v>8884</v>
      </c>
      <c r="B281" t="s">
        <v>8885</v>
      </c>
      <c r="C281" s="111"/>
      <c r="D281" t="s">
        <v>8886</v>
      </c>
      <c r="E281">
        <v>171</v>
      </c>
      <c r="F281" t="s">
        <v>8887</v>
      </c>
      <c r="G281" t="s">
        <v>8885</v>
      </c>
      <c r="H281" t="s">
        <v>7968</v>
      </c>
      <c r="I281" t="s">
        <v>8885</v>
      </c>
      <c r="J281" t="s">
        <v>8887</v>
      </c>
      <c r="K281" t="s">
        <v>8937</v>
      </c>
    </row>
    <row r="282" spans="1:11" s="1" customFormat="1" x14ac:dyDescent="0.25">
      <c r="A282" t="s">
        <v>8888</v>
      </c>
      <c r="B282" t="s">
        <v>8889</v>
      </c>
      <c r="C282" s="111"/>
      <c r="D282" t="s">
        <v>8313</v>
      </c>
      <c r="E282">
        <v>226</v>
      </c>
      <c r="F282" t="s">
        <v>8890</v>
      </c>
      <c r="G282" t="s">
        <v>8889</v>
      </c>
      <c r="H282" t="s">
        <v>7968</v>
      </c>
      <c r="I282" t="s">
        <v>8889</v>
      </c>
      <c r="J282" t="s">
        <v>8890</v>
      </c>
      <c r="K282" t="s">
        <v>8861</v>
      </c>
    </row>
    <row r="283" spans="1:11" s="1" customFormat="1" x14ac:dyDescent="0.25">
      <c r="A283" t="s">
        <v>8891</v>
      </c>
      <c r="B283" t="s">
        <v>8892</v>
      </c>
      <c r="C283" s="111"/>
      <c r="D283" t="s">
        <v>8893</v>
      </c>
      <c r="E283">
        <v>122</v>
      </c>
      <c r="F283" t="s">
        <v>8895</v>
      </c>
      <c r="G283" t="s">
        <v>8894</v>
      </c>
      <c r="H283" t="s">
        <v>7968</v>
      </c>
      <c r="I283" t="s">
        <v>8892</v>
      </c>
      <c r="J283" t="s">
        <v>8895</v>
      </c>
      <c r="K283" t="s">
        <v>8861</v>
      </c>
    </row>
    <row r="284" spans="1:11" s="1" customFormat="1" x14ac:dyDescent="0.25">
      <c r="A284" t="s">
        <v>8896</v>
      </c>
      <c r="B284" t="s">
        <v>8897</v>
      </c>
      <c r="C284" s="111"/>
      <c r="D284" t="s">
        <v>8898</v>
      </c>
      <c r="E284">
        <v>672</v>
      </c>
      <c r="F284" t="s">
        <v>8899</v>
      </c>
      <c r="G284" t="s">
        <v>8897</v>
      </c>
      <c r="H284" t="s">
        <v>7968</v>
      </c>
      <c r="I284" t="s">
        <v>8897</v>
      </c>
      <c r="J284" t="s">
        <v>8899</v>
      </c>
      <c r="K284" t="s">
        <v>8869</v>
      </c>
    </row>
    <row r="285" spans="1:11" s="1" customFormat="1" x14ac:dyDescent="0.25">
      <c r="A285" t="s">
        <v>8900</v>
      </c>
      <c r="B285" t="s">
        <v>8901</v>
      </c>
      <c r="C285" s="111"/>
      <c r="D285" t="s">
        <v>8902</v>
      </c>
      <c r="E285">
        <v>451</v>
      </c>
      <c r="F285" t="s">
        <v>8903</v>
      </c>
      <c r="G285" t="s">
        <v>8901</v>
      </c>
      <c r="H285" t="s">
        <v>7968</v>
      </c>
      <c r="I285" t="s">
        <v>8901</v>
      </c>
      <c r="J285" t="s">
        <v>8903</v>
      </c>
      <c r="K285" t="s">
        <v>8901</v>
      </c>
    </row>
    <row r="286" spans="1:11" s="1" customFormat="1" x14ac:dyDescent="0.25">
      <c r="A286" t="s">
        <v>8904</v>
      </c>
      <c r="B286" t="s">
        <v>8905</v>
      </c>
      <c r="C286" s="111"/>
      <c r="D286" t="s">
        <v>8397</v>
      </c>
      <c r="E286">
        <v>389</v>
      </c>
      <c r="F286" t="s">
        <v>8906</v>
      </c>
      <c r="G286" t="s">
        <v>8905</v>
      </c>
      <c r="H286" t="s">
        <v>7968</v>
      </c>
      <c r="I286" t="s">
        <v>8905</v>
      </c>
      <c r="J286" t="s">
        <v>8906</v>
      </c>
      <c r="K286" t="s">
        <v>8901</v>
      </c>
    </row>
    <row r="287" spans="1:11" s="1" customFormat="1" x14ac:dyDescent="0.25">
      <c r="A287" t="s">
        <v>8907</v>
      </c>
      <c r="B287" t="s">
        <v>8869</v>
      </c>
      <c r="C287" s="111"/>
      <c r="D287" t="s">
        <v>8908</v>
      </c>
      <c r="E287">
        <v>698</v>
      </c>
      <c r="F287" t="s">
        <v>8909</v>
      </c>
      <c r="G287" t="s">
        <v>8869</v>
      </c>
      <c r="H287" t="s">
        <v>7968</v>
      </c>
      <c r="I287" t="s">
        <v>8869</v>
      </c>
      <c r="J287" t="s">
        <v>8909</v>
      </c>
      <c r="K287" t="s">
        <v>8869</v>
      </c>
    </row>
    <row r="288" spans="1:11" s="1" customFormat="1" x14ac:dyDescent="0.25">
      <c r="A288" t="s">
        <v>8910</v>
      </c>
      <c r="B288" t="s">
        <v>8911</v>
      </c>
      <c r="C288" s="111"/>
      <c r="D288" t="s">
        <v>8664</v>
      </c>
      <c r="E288">
        <v>115</v>
      </c>
      <c r="F288" t="s">
        <v>8912</v>
      </c>
      <c r="G288" t="s">
        <v>8911</v>
      </c>
      <c r="H288" t="s">
        <v>7968</v>
      </c>
      <c r="I288" t="s">
        <v>8911</v>
      </c>
      <c r="J288" t="s">
        <v>8912</v>
      </c>
      <c r="K288" t="s">
        <v>8926</v>
      </c>
    </row>
    <row r="289" spans="1:11" s="1" customFormat="1" x14ac:dyDescent="0.25">
      <c r="A289" t="s">
        <v>8913</v>
      </c>
      <c r="B289" t="s">
        <v>8914</v>
      </c>
      <c r="C289" s="111"/>
      <c r="D289" t="s">
        <v>8792</v>
      </c>
      <c r="E289">
        <v>355</v>
      </c>
      <c r="F289" t="s">
        <v>8916</v>
      </c>
      <c r="G289" t="s">
        <v>8915</v>
      </c>
      <c r="H289" t="s">
        <v>7968</v>
      </c>
      <c r="I289" t="s">
        <v>8914</v>
      </c>
      <c r="J289" t="s">
        <v>8916</v>
      </c>
      <c r="K289" t="s">
        <v>8915</v>
      </c>
    </row>
    <row r="290" spans="1:11" s="1" customFormat="1" x14ac:dyDescent="0.25">
      <c r="A290" t="s">
        <v>8917</v>
      </c>
      <c r="B290" t="s">
        <v>8918</v>
      </c>
      <c r="C290" s="111"/>
      <c r="D290" t="s">
        <v>8919</v>
      </c>
      <c r="E290">
        <v>175</v>
      </c>
      <c r="F290" t="s">
        <v>8920</v>
      </c>
      <c r="G290" t="s">
        <v>8882</v>
      </c>
      <c r="H290" t="s">
        <v>7968</v>
      </c>
      <c r="I290" t="s">
        <v>8918</v>
      </c>
      <c r="J290" t="s">
        <v>8920</v>
      </c>
      <c r="K290" t="s">
        <v>8918</v>
      </c>
    </row>
    <row r="291" spans="1:11" s="1" customFormat="1" x14ac:dyDescent="0.25">
      <c r="A291" t="s">
        <v>8921</v>
      </c>
      <c r="B291" t="s">
        <v>8922</v>
      </c>
      <c r="C291" s="111"/>
      <c r="D291" t="s">
        <v>8923</v>
      </c>
      <c r="E291">
        <v>629</v>
      </c>
      <c r="F291" t="s">
        <v>8924</v>
      </c>
      <c r="G291" t="s">
        <v>8882</v>
      </c>
      <c r="H291" t="s">
        <v>7968</v>
      </c>
      <c r="I291" t="s">
        <v>8922</v>
      </c>
      <c r="J291" t="s">
        <v>8924</v>
      </c>
      <c r="K291" t="s">
        <v>8918</v>
      </c>
    </row>
    <row r="292" spans="1:11" s="1" customFormat="1" x14ac:dyDescent="0.25">
      <c r="A292" t="s">
        <v>8925</v>
      </c>
      <c r="B292" t="s">
        <v>8926</v>
      </c>
      <c r="C292" s="111"/>
      <c r="D292" t="s">
        <v>8753</v>
      </c>
      <c r="E292">
        <v>58</v>
      </c>
      <c r="F292" t="s">
        <v>8927</v>
      </c>
      <c r="G292" t="s">
        <v>8926</v>
      </c>
      <c r="H292" t="s">
        <v>7968</v>
      </c>
      <c r="I292" t="s">
        <v>8926</v>
      </c>
      <c r="J292" t="s">
        <v>8927</v>
      </c>
      <c r="K292" t="s">
        <v>8926</v>
      </c>
    </row>
    <row r="293" spans="1:11" s="1" customFormat="1" x14ac:dyDescent="0.25">
      <c r="A293" t="s">
        <v>8928</v>
      </c>
      <c r="B293" t="s">
        <v>8929</v>
      </c>
      <c r="C293" s="111"/>
      <c r="D293" t="s">
        <v>8930</v>
      </c>
      <c r="E293">
        <v>498</v>
      </c>
      <c r="F293" t="s">
        <v>8931</v>
      </c>
      <c r="G293" t="s">
        <v>8929</v>
      </c>
      <c r="H293" t="s">
        <v>7968</v>
      </c>
      <c r="I293" t="s">
        <v>8929</v>
      </c>
      <c r="J293" t="s">
        <v>8931</v>
      </c>
      <c r="K293" t="s">
        <v>8926</v>
      </c>
    </row>
    <row r="294" spans="1:11" s="1" customFormat="1" x14ac:dyDescent="0.25">
      <c r="A294" t="s">
        <v>8932</v>
      </c>
      <c r="B294" t="s">
        <v>8933</v>
      </c>
      <c r="C294" s="111"/>
      <c r="D294" t="s">
        <v>8397</v>
      </c>
      <c r="E294">
        <v>711</v>
      </c>
      <c r="F294" t="s">
        <v>8935</v>
      </c>
      <c r="G294" t="s">
        <v>8934</v>
      </c>
      <c r="H294" t="s">
        <v>7968</v>
      </c>
      <c r="I294" t="s">
        <v>8933</v>
      </c>
      <c r="J294" t="s">
        <v>8935</v>
      </c>
      <c r="K294" t="s">
        <v>8869</v>
      </c>
    </row>
    <row r="295" spans="1:11" s="1" customFormat="1" x14ac:dyDescent="0.25">
      <c r="A295" t="s">
        <v>8936</v>
      </c>
      <c r="B295" t="s">
        <v>8937</v>
      </c>
      <c r="C295" s="111"/>
      <c r="D295" t="s">
        <v>8938</v>
      </c>
      <c r="E295">
        <v>35</v>
      </c>
      <c r="F295" t="s">
        <v>8939</v>
      </c>
      <c r="G295" t="s">
        <v>8937</v>
      </c>
      <c r="H295" t="s">
        <v>7968</v>
      </c>
      <c r="I295" t="s">
        <v>8937</v>
      </c>
      <c r="J295" t="s">
        <v>8939</v>
      </c>
      <c r="K295" t="s">
        <v>8937</v>
      </c>
    </row>
    <row r="296" spans="1:11" s="1" customFormat="1" x14ac:dyDescent="0.25">
      <c r="A296" t="s">
        <v>8940</v>
      </c>
      <c r="B296" t="s">
        <v>8941</v>
      </c>
      <c r="C296" s="111"/>
      <c r="D296" t="s">
        <v>8313</v>
      </c>
      <c r="E296">
        <v>34</v>
      </c>
      <c r="F296" t="s">
        <v>8942</v>
      </c>
      <c r="G296" t="s">
        <v>8941</v>
      </c>
      <c r="H296" t="s">
        <v>7968</v>
      </c>
      <c r="I296" t="s">
        <v>8941</v>
      </c>
      <c r="J296" t="s">
        <v>8942</v>
      </c>
      <c r="K296" t="s">
        <v>8941</v>
      </c>
    </row>
    <row r="297" spans="1:11" s="1" customFormat="1" x14ac:dyDescent="0.25">
      <c r="A297" t="s">
        <v>8943</v>
      </c>
      <c r="B297" t="s">
        <v>8944</v>
      </c>
      <c r="C297" s="111"/>
      <c r="D297" t="s">
        <v>8945</v>
      </c>
      <c r="E297">
        <v>1524</v>
      </c>
      <c r="F297" t="s">
        <v>8946</v>
      </c>
      <c r="G297" t="s">
        <v>8941</v>
      </c>
      <c r="H297" t="s">
        <v>7968</v>
      </c>
      <c r="I297" t="s">
        <v>8944</v>
      </c>
      <c r="J297" t="s">
        <v>8946</v>
      </c>
      <c r="K297" t="s">
        <v>8941</v>
      </c>
    </row>
    <row r="298" spans="1:11" s="1" customFormat="1" x14ac:dyDescent="0.25">
      <c r="A298" t="s">
        <v>8947</v>
      </c>
      <c r="B298" t="s">
        <v>8948</v>
      </c>
      <c r="C298" s="111"/>
      <c r="D298" t="s">
        <v>8949</v>
      </c>
      <c r="E298">
        <v>1021</v>
      </c>
      <c r="F298" t="s">
        <v>8950</v>
      </c>
      <c r="G298" t="s">
        <v>8941</v>
      </c>
      <c r="H298" t="s">
        <v>7968</v>
      </c>
      <c r="I298" t="s">
        <v>8948</v>
      </c>
      <c r="J298" t="s">
        <v>8950</v>
      </c>
      <c r="K298" t="s">
        <v>8941</v>
      </c>
    </row>
    <row r="299" spans="1:11" s="1" customFormat="1" x14ac:dyDescent="0.25">
      <c r="A299" t="s">
        <v>8951</v>
      </c>
      <c r="B299" t="s">
        <v>8952</v>
      </c>
      <c r="C299" s="111"/>
      <c r="D299" t="s">
        <v>8768</v>
      </c>
      <c r="E299">
        <v>76</v>
      </c>
      <c r="F299" t="s">
        <v>8953</v>
      </c>
      <c r="G299" t="s">
        <v>8952</v>
      </c>
      <c r="H299" t="s">
        <v>7968</v>
      </c>
      <c r="I299" t="s">
        <v>8952</v>
      </c>
      <c r="J299" t="s">
        <v>8953</v>
      </c>
      <c r="K299" t="s">
        <v>13178</v>
      </c>
    </row>
    <row r="300" spans="1:11" s="1" customFormat="1" x14ac:dyDescent="0.25">
      <c r="A300" t="s">
        <v>8954</v>
      </c>
      <c r="B300" t="s">
        <v>8955</v>
      </c>
      <c r="C300" s="111"/>
      <c r="D300" t="s">
        <v>8956</v>
      </c>
      <c r="E300">
        <v>198</v>
      </c>
      <c r="F300" t="s">
        <v>8957</v>
      </c>
      <c r="G300" t="s">
        <v>8955</v>
      </c>
      <c r="H300" t="s">
        <v>7968</v>
      </c>
      <c r="I300" t="s">
        <v>8955</v>
      </c>
      <c r="J300" t="s">
        <v>8957</v>
      </c>
      <c r="K300" t="s">
        <v>8955</v>
      </c>
    </row>
    <row r="301" spans="1:11" s="1" customFormat="1" x14ac:dyDescent="0.25">
      <c r="A301" t="s">
        <v>8958</v>
      </c>
      <c r="B301" t="s">
        <v>8959</v>
      </c>
      <c r="C301" s="111"/>
      <c r="D301" t="s">
        <v>8960</v>
      </c>
      <c r="E301">
        <v>218</v>
      </c>
      <c r="F301" t="s">
        <v>8961</v>
      </c>
      <c r="G301" t="s">
        <v>8959</v>
      </c>
      <c r="H301" t="s">
        <v>7968</v>
      </c>
      <c r="I301" t="s">
        <v>8959</v>
      </c>
      <c r="J301" t="s">
        <v>8961</v>
      </c>
      <c r="K301" t="s">
        <v>8959</v>
      </c>
    </row>
    <row r="302" spans="1:11" s="1" customFormat="1" x14ac:dyDescent="0.25">
      <c r="A302" t="s">
        <v>8962</v>
      </c>
      <c r="B302" t="s">
        <v>8963</v>
      </c>
      <c r="C302" s="111"/>
      <c r="D302" t="s">
        <v>8964</v>
      </c>
      <c r="E302">
        <v>7</v>
      </c>
      <c r="F302" t="s">
        <v>8965</v>
      </c>
      <c r="G302" t="s">
        <v>8963</v>
      </c>
      <c r="H302" t="s">
        <v>7968</v>
      </c>
      <c r="I302" t="s">
        <v>8963</v>
      </c>
      <c r="J302" t="s">
        <v>8965</v>
      </c>
      <c r="K302" t="s">
        <v>9150</v>
      </c>
    </row>
    <row r="303" spans="1:11" s="1" customFormat="1" x14ac:dyDescent="0.25">
      <c r="A303" t="s">
        <v>8966</v>
      </c>
      <c r="B303" t="s">
        <v>8967</v>
      </c>
      <c r="C303" s="111"/>
      <c r="D303" t="s">
        <v>8968</v>
      </c>
      <c r="E303">
        <v>170</v>
      </c>
      <c r="F303" t="s">
        <v>8969</v>
      </c>
      <c r="G303" t="s">
        <v>8967</v>
      </c>
      <c r="H303" t="s">
        <v>7968</v>
      </c>
      <c r="I303" t="s">
        <v>8967</v>
      </c>
      <c r="J303" t="s">
        <v>8969</v>
      </c>
      <c r="K303" t="s">
        <v>13178</v>
      </c>
    </row>
    <row r="304" spans="1:11" s="1" customFormat="1" x14ac:dyDescent="0.25">
      <c r="A304" t="s">
        <v>8970</v>
      </c>
      <c r="B304" t="s">
        <v>8971</v>
      </c>
      <c r="C304" s="111"/>
      <c r="D304" t="s">
        <v>8972</v>
      </c>
      <c r="E304">
        <v>267</v>
      </c>
      <c r="F304" t="s">
        <v>8973</v>
      </c>
      <c r="G304" t="s">
        <v>8971</v>
      </c>
      <c r="H304" t="s">
        <v>7968</v>
      </c>
      <c r="I304" t="s">
        <v>8971</v>
      </c>
      <c r="J304" t="s">
        <v>8973</v>
      </c>
      <c r="K304" t="s">
        <v>8971</v>
      </c>
    </row>
    <row r="305" spans="1:26" s="1" customFormat="1" x14ac:dyDescent="0.25">
      <c r="A305" t="s">
        <v>8974</v>
      </c>
      <c r="B305" t="s">
        <v>8975</v>
      </c>
      <c r="C305" s="111"/>
      <c r="D305" t="s">
        <v>8976</v>
      </c>
      <c r="E305">
        <v>283</v>
      </c>
      <c r="F305" t="s">
        <v>8977</v>
      </c>
      <c r="G305" t="s">
        <v>8975</v>
      </c>
      <c r="H305" t="s">
        <v>7968</v>
      </c>
      <c r="I305" t="s">
        <v>8975</v>
      </c>
      <c r="J305" t="s">
        <v>8977</v>
      </c>
      <c r="K305" t="s">
        <v>13179</v>
      </c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</row>
    <row r="306" spans="1:26" s="1" customFormat="1" x14ac:dyDescent="0.25">
      <c r="A306" t="s">
        <v>8978</v>
      </c>
      <c r="B306" t="s">
        <v>8979</v>
      </c>
      <c r="C306" s="111"/>
      <c r="D306" t="s">
        <v>8980</v>
      </c>
      <c r="E306">
        <v>57</v>
      </c>
      <c r="F306" t="s">
        <v>8981</v>
      </c>
      <c r="G306" t="s">
        <v>8979</v>
      </c>
      <c r="H306" t="s">
        <v>7968</v>
      </c>
      <c r="I306" t="s">
        <v>8979</v>
      </c>
      <c r="J306" t="s">
        <v>8981</v>
      </c>
      <c r="K306" t="s">
        <v>9166</v>
      </c>
    </row>
    <row r="307" spans="1:26" s="1" customFormat="1" x14ac:dyDescent="0.25">
      <c r="A307" t="s">
        <v>8982</v>
      </c>
      <c r="B307" t="s">
        <v>8983</v>
      </c>
      <c r="C307" s="111"/>
      <c r="D307" t="s">
        <v>8984</v>
      </c>
      <c r="E307">
        <v>549</v>
      </c>
      <c r="F307" t="s">
        <v>8985</v>
      </c>
      <c r="G307" t="s">
        <v>8983</v>
      </c>
      <c r="H307" t="s">
        <v>7968</v>
      </c>
      <c r="I307" t="s">
        <v>8983</v>
      </c>
      <c r="J307" t="s">
        <v>8985</v>
      </c>
      <c r="K307" t="s">
        <v>8983</v>
      </c>
    </row>
    <row r="308" spans="1:26" s="1" customFormat="1" x14ac:dyDescent="0.25">
      <c r="A308" t="s">
        <v>8986</v>
      </c>
      <c r="B308" t="s">
        <v>8987</v>
      </c>
      <c r="C308" s="111"/>
      <c r="D308" t="s">
        <v>8988</v>
      </c>
      <c r="E308">
        <v>375</v>
      </c>
      <c r="F308" t="s">
        <v>8989</v>
      </c>
      <c r="G308" t="s">
        <v>8987</v>
      </c>
      <c r="H308" t="s">
        <v>7968</v>
      </c>
      <c r="I308" t="s">
        <v>8987</v>
      </c>
      <c r="J308" t="s">
        <v>8989</v>
      </c>
      <c r="K308" t="s">
        <v>8959</v>
      </c>
    </row>
    <row r="309" spans="1:26" s="1" customFormat="1" x14ac:dyDescent="0.25">
      <c r="A309" t="s">
        <v>8990</v>
      </c>
      <c r="B309" t="s">
        <v>8991</v>
      </c>
      <c r="C309" s="111"/>
      <c r="D309" t="s">
        <v>8992</v>
      </c>
      <c r="E309">
        <v>363</v>
      </c>
      <c r="F309" t="s">
        <v>8993</v>
      </c>
      <c r="G309" t="s">
        <v>8991</v>
      </c>
      <c r="H309" t="s">
        <v>7968</v>
      </c>
      <c r="I309" t="s">
        <v>8991</v>
      </c>
      <c r="J309" t="s">
        <v>8993</v>
      </c>
      <c r="K309" t="s">
        <v>8991</v>
      </c>
    </row>
    <row r="310" spans="1:26" s="1" customFormat="1" x14ac:dyDescent="0.25">
      <c r="A310" t="s">
        <v>8994</v>
      </c>
      <c r="B310" t="s">
        <v>8995</v>
      </c>
      <c r="C310" s="111"/>
      <c r="D310" t="s">
        <v>8996</v>
      </c>
      <c r="E310"/>
      <c r="F310" t="s">
        <v>8998</v>
      </c>
      <c r="G310" t="s">
        <v>8997</v>
      </c>
      <c r="H310" t="s">
        <v>7968</v>
      </c>
      <c r="I310" t="s">
        <v>8995</v>
      </c>
      <c r="J310" t="s">
        <v>8998</v>
      </c>
      <c r="K310" t="s">
        <v>8941</v>
      </c>
    </row>
    <row r="311" spans="1:26" s="1" customFormat="1" x14ac:dyDescent="0.25">
      <c r="A311" t="s">
        <v>8999</v>
      </c>
      <c r="B311" t="s">
        <v>9000</v>
      </c>
      <c r="C311" s="111"/>
      <c r="D311" t="s">
        <v>9001</v>
      </c>
      <c r="E311"/>
      <c r="F311" t="s">
        <v>9002</v>
      </c>
      <c r="G311" t="s">
        <v>9000</v>
      </c>
      <c r="H311" t="s">
        <v>7968</v>
      </c>
      <c r="I311" t="s">
        <v>9000</v>
      </c>
      <c r="J311" t="s">
        <v>9002</v>
      </c>
      <c r="K311" t="s">
        <v>13180</v>
      </c>
    </row>
    <row r="312" spans="1:26" s="1" customFormat="1" x14ac:dyDescent="0.25">
      <c r="A312" t="s">
        <v>9003</v>
      </c>
      <c r="B312" t="s">
        <v>9004</v>
      </c>
      <c r="C312" s="111"/>
      <c r="D312" t="s">
        <v>9005</v>
      </c>
      <c r="E312">
        <v>2</v>
      </c>
      <c r="F312" t="s">
        <v>9006</v>
      </c>
      <c r="G312" t="s">
        <v>9004</v>
      </c>
      <c r="H312" t="s">
        <v>7968</v>
      </c>
      <c r="I312" t="s">
        <v>9004</v>
      </c>
      <c r="J312" t="s">
        <v>9006</v>
      </c>
      <c r="K312" t="s">
        <v>9004</v>
      </c>
    </row>
    <row r="313" spans="1:26" s="1" customFormat="1" x14ac:dyDescent="0.25">
      <c r="A313" t="s">
        <v>9007</v>
      </c>
      <c r="B313" t="s">
        <v>9008</v>
      </c>
      <c r="C313" s="111"/>
      <c r="D313" t="s">
        <v>13972</v>
      </c>
      <c r="E313"/>
      <c r="F313" t="s">
        <v>9009</v>
      </c>
      <c r="G313" t="s">
        <v>9008</v>
      </c>
      <c r="H313" t="s">
        <v>7968</v>
      </c>
      <c r="I313" t="s">
        <v>9008</v>
      </c>
      <c r="J313" t="s">
        <v>9009</v>
      </c>
      <c r="K313" t="s">
        <v>9086</v>
      </c>
    </row>
    <row r="314" spans="1:26" s="1" customFormat="1" x14ac:dyDescent="0.25">
      <c r="A314" t="s">
        <v>9010</v>
      </c>
      <c r="B314" t="s">
        <v>9011</v>
      </c>
      <c r="C314" s="111"/>
      <c r="D314" t="s">
        <v>9012</v>
      </c>
      <c r="E314">
        <v>102</v>
      </c>
      <c r="F314" t="s">
        <v>9013</v>
      </c>
      <c r="G314" t="s">
        <v>9011</v>
      </c>
      <c r="H314" t="s">
        <v>7968</v>
      </c>
      <c r="I314" t="s">
        <v>9011</v>
      </c>
      <c r="J314" t="s">
        <v>9013</v>
      </c>
      <c r="K314" t="s">
        <v>9150</v>
      </c>
    </row>
    <row r="315" spans="1:26" s="1" customFormat="1" x14ac:dyDescent="0.25">
      <c r="A315" t="s">
        <v>9014</v>
      </c>
      <c r="B315" t="s">
        <v>9015</v>
      </c>
      <c r="C315" s="111"/>
      <c r="D315" t="s">
        <v>9016</v>
      </c>
      <c r="E315">
        <v>2</v>
      </c>
      <c r="F315" t="s">
        <v>9017</v>
      </c>
      <c r="G315" t="s">
        <v>9015</v>
      </c>
      <c r="H315" t="s">
        <v>7968</v>
      </c>
      <c r="I315" t="s">
        <v>9015</v>
      </c>
      <c r="J315" t="s">
        <v>9017</v>
      </c>
      <c r="K315" t="s">
        <v>8941</v>
      </c>
    </row>
    <row r="316" spans="1:26" s="1" customFormat="1" x14ac:dyDescent="0.25">
      <c r="A316" t="s">
        <v>9018</v>
      </c>
      <c r="B316" t="s">
        <v>9019</v>
      </c>
      <c r="C316" s="111"/>
      <c r="D316" t="s">
        <v>8689</v>
      </c>
      <c r="E316">
        <v>998</v>
      </c>
      <c r="F316" t="s">
        <v>9020</v>
      </c>
      <c r="G316" t="s">
        <v>9019</v>
      </c>
      <c r="H316" t="s">
        <v>7968</v>
      </c>
      <c r="I316" t="s">
        <v>9019</v>
      </c>
      <c r="J316" t="s">
        <v>9020</v>
      </c>
      <c r="K316" t="s">
        <v>13181</v>
      </c>
    </row>
    <row r="317" spans="1:26" s="1" customFormat="1" x14ac:dyDescent="0.25">
      <c r="A317" t="s">
        <v>9021</v>
      </c>
      <c r="B317" t="s">
        <v>9022</v>
      </c>
      <c r="C317" s="111"/>
      <c r="D317" t="s">
        <v>9023</v>
      </c>
      <c r="E317">
        <v>38</v>
      </c>
      <c r="F317" t="s">
        <v>9025</v>
      </c>
      <c r="G317" t="s">
        <v>9024</v>
      </c>
      <c r="H317" t="s">
        <v>7968</v>
      </c>
      <c r="I317" t="s">
        <v>9022</v>
      </c>
      <c r="J317" t="s">
        <v>9025</v>
      </c>
      <c r="K317" t="s">
        <v>13178</v>
      </c>
    </row>
    <row r="318" spans="1:26" s="1" customFormat="1" x14ac:dyDescent="0.25">
      <c r="A318" t="s">
        <v>9026</v>
      </c>
      <c r="B318" t="s">
        <v>9027</v>
      </c>
      <c r="C318" s="111"/>
      <c r="D318" t="s">
        <v>8514</v>
      </c>
      <c r="E318">
        <v>259</v>
      </c>
      <c r="F318" t="s">
        <v>9028</v>
      </c>
      <c r="G318" t="s">
        <v>9027</v>
      </c>
      <c r="H318" t="s">
        <v>7968</v>
      </c>
      <c r="I318" t="s">
        <v>9027</v>
      </c>
      <c r="J318" t="s">
        <v>9028</v>
      </c>
      <c r="K318" t="s">
        <v>9086</v>
      </c>
    </row>
    <row r="319" spans="1:26" s="1" customFormat="1" x14ac:dyDescent="0.25">
      <c r="A319" t="s">
        <v>9029</v>
      </c>
      <c r="B319" t="s">
        <v>9030</v>
      </c>
      <c r="C319" s="111"/>
      <c r="D319" t="s">
        <v>9031</v>
      </c>
      <c r="E319">
        <v>1172</v>
      </c>
      <c r="F319" t="s">
        <v>9032</v>
      </c>
      <c r="G319" t="s">
        <v>9030</v>
      </c>
      <c r="H319" t="s">
        <v>7968</v>
      </c>
      <c r="I319" t="s">
        <v>9030</v>
      </c>
      <c r="J319" t="s">
        <v>9032</v>
      </c>
      <c r="K319" t="s">
        <v>8983</v>
      </c>
    </row>
    <row r="320" spans="1:26" s="1" customFormat="1" x14ac:dyDescent="0.25">
      <c r="A320" t="s">
        <v>9033</v>
      </c>
      <c r="B320" t="s">
        <v>9034</v>
      </c>
      <c r="C320" s="111"/>
      <c r="D320" t="s">
        <v>9035</v>
      </c>
      <c r="E320">
        <v>509</v>
      </c>
      <c r="F320" t="s">
        <v>9036</v>
      </c>
      <c r="G320" t="s">
        <v>9034</v>
      </c>
      <c r="H320" t="s">
        <v>7968</v>
      </c>
      <c r="I320" t="s">
        <v>9034</v>
      </c>
      <c r="J320" t="s">
        <v>9036</v>
      </c>
      <c r="K320" t="s">
        <v>8959</v>
      </c>
    </row>
    <row r="321" spans="1:11" s="1" customFormat="1" x14ac:dyDescent="0.25">
      <c r="A321" t="s">
        <v>9037</v>
      </c>
      <c r="B321" t="s">
        <v>9038</v>
      </c>
      <c r="C321" s="111"/>
      <c r="D321" t="s">
        <v>9039</v>
      </c>
      <c r="E321">
        <v>645</v>
      </c>
      <c r="F321" t="s">
        <v>9041</v>
      </c>
      <c r="G321" t="s">
        <v>9040</v>
      </c>
      <c r="H321" t="s">
        <v>7968</v>
      </c>
      <c r="I321" t="s">
        <v>9038</v>
      </c>
      <c r="J321" t="s">
        <v>9041</v>
      </c>
      <c r="K321" t="s">
        <v>9040</v>
      </c>
    </row>
    <row r="322" spans="1:11" s="1" customFormat="1" x14ac:dyDescent="0.25">
      <c r="A322" t="s">
        <v>9042</v>
      </c>
      <c r="B322" t="s">
        <v>9043</v>
      </c>
      <c r="C322" s="111"/>
      <c r="D322" t="s">
        <v>9044</v>
      </c>
      <c r="E322">
        <v>405</v>
      </c>
      <c r="F322" t="s">
        <v>9046</v>
      </c>
      <c r="G322" t="s">
        <v>9045</v>
      </c>
      <c r="H322" t="s">
        <v>7968</v>
      </c>
      <c r="I322" t="s">
        <v>9043</v>
      </c>
      <c r="J322" t="s">
        <v>9046</v>
      </c>
      <c r="K322" t="s">
        <v>9045</v>
      </c>
    </row>
    <row r="323" spans="1:11" s="1" customFormat="1" x14ac:dyDescent="0.25">
      <c r="A323" t="s">
        <v>9047</v>
      </c>
      <c r="B323" t="s">
        <v>9048</v>
      </c>
      <c r="C323" s="111"/>
      <c r="D323" t="s">
        <v>9049</v>
      </c>
      <c r="E323">
        <v>270</v>
      </c>
      <c r="F323" t="s">
        <v>9050</v>
      </c>
      <c r="G323" t="s">
        <v>9048</v>
      </c>
      <c r="H323" t="s">
        <v>7968</v>
      </c>
      <c r="I323" t="s">
        <v>9048</v>
      </c>
      <c r="J323" t="s">
        <v>9050</v>
      </c>
      <c r="K323" t="s">
        <v>9048</v>
      </c>
    </row>
    <row r="324" spans="1:11" s="1" customFormat="1" x14ac:dyDescent="0.25">
      <c r="A324" t="s">
        <v>9051</v>
      </c>
      <c r="B324" t="s">
        <v>9052</v>
      </c>
      <c r="C324" s="111"/>
      <c r="D324" t="s">
        <v>8720</v>
      </c>
      <c r="E324">
        <v>53</v>
      </c>
      <c r="F324" t="s">
        <v>9053</v>
      </c>
      <c r="G324" t="s">
        <v>9052</v>
      </c>
      <c r="H324" t="s">
        <v>7968</v>
      </c>
      <c r="I324" t="s">
        <v>9052</v>
      </c>
      <c r="J324" t="s">
        <v>9053</v>
      </c>
      <c r="K324" t="s">
        <v>9052</v>
      </c>
    </row>
    <row r="325" spans="1:11" s="1" customFormat="1" x14ac:dyDescent="0.25">
      <c r="A325" t="s">
        <v>9054</v>
      </c>
      <c r="B325" t="s">
        <v>9055</v>
      </c>
      <c r="C325" s="111"/>
      <c r="D325" t="s">
        <v>9056</v>
      </c>
      <c r="E325">
        <v>195</v>
      </c>
      <c r="F325" t="s">
        <v>9057</v>
      </c>
      <c r="G325" t="s">
        <v>9055</v>
      </c>
      <c r="H325" t="s">
        <v>7968</v>
      </c>
      <c r="I325" t="s">
        <v>9055</v>
      </c>
      <c r="J325" t="s">
        <v>9057</v>
      </c>
      <c r="K325" t="s">
        <v>9150</v>
      </c>
    </row>
    <row r="326" spans="1:11" s="1" customFormat="1" x14ac:dyDescent="0.25">
      <c r="A326" t="s">
        <v>9058</v>
      </c>
      <c r="B326" t="s">
        <v>9059</v>
      </c>
      <c r="C326" s="111"/>
      <c r="D326" t="s">
        <v>9060</v>
      </c>
      <c r="E326">
        <v>65</v>
      </c>
      <c r="F326" t="s">
        <v>9061</v>
      </c>
      <c r="G326" t="s">
        <v>9059</v>
      </c>
      <c r="H326" t="s">
        <v>7968</v>
      </c>
      <c r="I326" t="s">
        <v>9059</v>
      </c>
      <c r="J326" t="s">
        <v>9061</v>
      </c>
      <c r="K326" t="s">
        <v>8971</v>
      </c>
    </row>
    <row r="327" spans="1:11" s="1" customFormat="1" x14ac:dyDescent="0.25">
      <c r="A327" t="s">
        <v>9062</v>
      </c>
      <c r="B327" t="s">
        <v>9063</v>
      </c>
      <c r="C327" s="111"/>
      <c r="D327" t="s">
        <v>9064</v>
      </c>
      <c r="E327">
        <v>441</v>
      </c>
      <c r="F327" t="s">
        <v>9065</v>
      </c>
      <c r="G327" t="s">
        <v>9063</v>
      </c>
      <c r="H327" t="s">
        <v>7968</v>
      </c>
      <c r="I327" t="s">
        <v>9063</v>
      </c>
      <c r="J327" t="s">
        <v>9065</v>
      </c>
      <c r="K327" t="s">
        <v>9166</v>
      </c>
    </row>
    <row r="328" spans="1:11" s="1" customFormat="1" x14ac:dyDescent="0.25">
      <c r="A328" t="s">
        <v>9066</v>
      </c>
      <c r="B328" t="s">
        <v>9067</v>
      </c>
      <c r="C328" s="111"/>
      <c r="D328" t="s">
        <v>9068</v>
      </c>
      <c r="E328">
        <v>362</v>
      </c>
      <c r="F328" t="s">
        <v>9069</v>
      </c>
      <c r="G328" t="s">
        <v>9067</v>
      </c>
      <c r="H328" t="s">
        <v>7968</v>
      </c>
      <c r="I328" t="s">
        <v>9067</v>
      </c>
      <c r="J328" t="s">
        <v>9069</v>
      </c>
      <c r="K328" t="s">
        <v>9150</v>
      </c>
    </row>
    <row r="329" spans="1:11" s="1" customFormat="1" x14ac:dyDescent="0.25">
      <c r="A329" t="s">
        <v>9070</v>
      </c>
      <c r="B329" t="s">
        <v>9071</v>
      </c>
      <c r="C329" s="111"/>
      <c r="D329" t="s">
        <v>8697</v>
      </c>
      <c r="E329">
        <v>633</v>
      </c>
      <c r="F329" t="s">
        <v>9072</v>
      </c>
      <c r="G329" t="s">
        <v>9071</v>
      </c>
      <c r="H329" t="s">
        <v>7968</v>
      </c>
      <c r="I329" t="s">
        <v>9071</v>
      </c>
      <c r="J329" t="s">
        <v>9072</v>
      </c>
      <c r="K329" t="s">
        <v>8795</v>
      </c>
    </row>
    <row r="330" spans="1:11" s="1" customFormat="1" x14ac:dyDescent="0.25">
      <c r="A330" t="s">
        <v>9073</v>
      </c>
      <c r="B330" t="s">
        <v>9074</v>
      </c>
      <c r="C330" s="111"/>
      <c r="D330" t="s">
        <v>9075</v>
      </c>
      <c r="E330">
        <v>502</v>
      </c>
      <c r="F330" t="s">
        <v>9077</v>
      </c>
      <c r="G330" t="s">
        <v>9076</v>
      </c>
      <c r="H330" t="s">
        <v>7968</v>
      </c>
      <c r="I330" t="s">
        <v>9074</v>
      </c>
      <c r="J330" t="s">
        <v>9077</v>
      </c>
      <c r="K330" t="s">
        <v>8941</v>
      </c>
    </row>
    <row r="331" spans="1:11" s="1" customFormat="1" x14ac:dyDescent="0.25">
      <c r="A331" t="s">
        <v>9078</v>
      </c>
      <c r="B331" t="s">
        <v>9079</v>
      </c>
      <c r="C331" s="111"/>
      <c r="D331" t="s">
        <v>8087</v>
      </c>
      <c r="E331">
        <v>429</v>
      </c>
      <c r="F331" t="s">
        <v>9081</v>
      </c>
      <c r="G331" t="s">
        <v>9080</v>
      </c>
      <c r="H331" t="s">
        <v>7968</v>
      </c>
      <c r="I331" t="s">
        <v>9079</v>
      </c>
      <c r="J331" t="s">
        <v>9081</v>
      </c>
      <c r="K331" t="s">
        <v>9080</v>
      </c>
    </row>
    <row r="332" spans="1:11" s="1" customFormat="1" x14ac:dyDescent="0.25">
      <c r="A332" t="s">
        <v>9082</v>
      </c>
      <c r="B332" t="s">
        <v>9083</v>
      </c>
      <c r="C332" s="111"/>
      <c r="D332" t="s">
        <v>13970</v>
      </c>
      <c r="E332">
        <v>213</v>
      </c>
      <c r="F332" t="s">
        <v>9084</v>
      </c>
      <c r="G332" t="s">
        <v>9083</v>
      </c>
      <c r="H332" t="s">
        <v>7968</v>
      </c>
      <c r="I332" t="s">
        <v>9083</v>
      </c>
      <c r="J332" t="s">
        <v>9084</v>
      </c>
      <c r="K332" t="s">
        <v>9166</v>
      </c>
    </row>
    <row r="333" spans="1:11" s="1" customFormat="1" x14ac:dyDescent="0.25">
      <c r="A333" t="s">
        <v>9085</v>
      </c>
      <c r="B333" t="s">
        <v>13645</v>
      </c>
      <c r="C333" s="111"/>
      <c r="D333" t="s">
        <v>8047</v>
      </c>
      <c r="E333">
        <v>653</v>
      </c>
      <c r="F333" t="s">
        <v>9087</v>
      </c>
      <c r="G333" t="s">
        <v>9086</v>
      </c>
      <c r="H333" t="s">
        <v>7968</v>
      </c>
      <c r="I333" t="s">
        <v>13645</v>
      </c>
      <c r="J333" t="s">
        <v>9087</v>
      </c>
      <c r="K333" t="s">
        <v>9086</v>
      </c>
    </row>
    <row r="334" spans="1:11" s="1" customFormat="1" x14ac:dyDescent="0.25">
      <c r="A334" t="s">
        <v>9088</v>
      </c>
      <c r="B334" t="s">
        <v>9089</v>
      </c>
      <c r="C334" s="111"/>
      <c r="D334" t="s">
        <v>9090</v>
      </c>
      <c r="E334">
        <v>61</v>
      </c>
      <c r="F334" t="s">
        <v>9091</v>
      </c>
      <c r="G334" t="s">
        <v>9089</v>
      </c>
      <c r="H334" t="s">
        <v>7968</v>
      </c>
      <c r="I334" t="s">
        <v>9089</v>
      </c>
      <c r="J334" t="s">
        <v>9091</v>
      </c>
      <c r="K334" t="s">
        <v>13179</v>
      </c>
    </row>
    <row r="335" spans="1:11" s="1" customFormat="1" x14ac:dyDescent="0.25">
      <c r="A335" t="s">
        <v>9092</v>
      </c>
      <c r="B335" t="s">
        <v>9093</v>
      </c>
      <c r="C335" s="111"/>
      <c r="D335" t="s">
        <v>8813</v>
      </c>
      <c r="E335">
        <v>0</v>
      </c>
      <c r="F335" t="s">
        <v>9094</v>
      </c>
      <c r="G335" t="s">
        <v>9093</v>
      </c>
      <c r="H335" t="s">
        <v>7968</v>
      </c>
      <c r="I335" t="s">
        <v>9093</v>
      </c>
      <c r="J335" t="s">
        <v>9094</v>
      </c>
      <c r="K335" t="s">
        <v>9133</v>
      </c>
    </row>
    <row r="336" spans="1:11" s="1" customFormat="1" x14ac:dyDescent="0.25">
      <c r="A336" t="s">
        <v>9095</v>
      </c>
      <c r="B336" t="s">
        <v>9096</v>
      </c>
      <c r="C336" s="111"/>
      <c r="D336" t="s">
        <v>9097</v>
      </c>
      <c r="E336">
        <v>364</v>
      </c>
      <c r="F336" t="s">
        <v>9098</v>
      </c>
      <c r="G336" t="s">
        <v>9096</v>
      </c>
      <c r="H336" t="s">
        <v>7968</v>
      </c>
      <c r="I336" t="s">
        <v>9096</v>
      </c>
      <c r="J336" t="s">
        <v>9098</v>
      </c>
      <c r="K336" t="s">
        <v>9048</v>
      </c>
    </row>
    <row r="337" spans="1:11" s="1" customFormat="1" x14ac:dyDescent="0.25">
      <c r="A337" t="s">
        <v>9099</v>
      </c>
      <c r="B337" t="s">
        <v>9100</v>
      </c>
      <c r="C337" s="111"/>
      <c r="D337" t="s">
        <v>13973</v>
      </c>
      <c r="E337">
        <v>50</v>
      </c>
      <c r="F337" t="s">
        <v>9101</v>
      </c>
      <c r="G337" t="s">
        <v>9100</v>
      </c>
      <c r="H337" t="s">
        <v>7968</v>
      </c>
      <c r="I337" t="s">
        <v>9100</v>
      </c>
      <c r="J337" t="s">
        <v>9101</v>
      </c>
      <c r="K337" t="s">
        <v>9045</v>
      </c>
    </row>
    <row r="338" spans="1:11" s="1" customFormat="1" x14ac:dyDescent="0.25">
      <c r="A338" t="s">
        <v>9102</v>
      </c>
      <c r="B338" t="s">
        <v>9103</v>
      </c>
      <c r="C338" s="111"/>
      <c r="D338" t="s">
        <v>8640</v>
      </c>
      <c r="E338">
        <v>3654</v>
      </c>
      <c r="F338" t="s">
        <v>9105</v>
      </c>
      <c r="G338" t="s">
        <v>9104</v>
      </c>
      <c r="H338" t="s">
        <v>7968</v>
      </c>
      <c r="I338" t="s">
        <v>9103</v>
      </c>
      <c r="J338" t="s">
        <v>9105</v>
      </c>
      <c r="K338" t="s">
        <v>8941</v>
      </c>
    </row>
    <row r="339" spans="1:11" s="1" customFormat="1" x14ac:dyDescent="0.25">
      <c r="A339" t="s">
        <v>9106</v>
      </c>
      <c r="B339" t="s">
        <v>9107</v>
      </c>
      <c r="C339" s="111"/>
      <c r="D339" t="s">
        <v>13970</v>
      </c>
      <c r="E339">
        <v>948</v>
      </c>
      <c r="F339" t="s">
        <v>9109</v>
      </c>
      <c r="G339" t="s">
        <v>9108</v>
      </c>
      <c r="H339" t="s">
        <v>7968</v>
      </c>
      <c r="I339" t="s">
        <v>9107</v>
      </c>
      <c r="J339" t="s">
        <v>9109</v>
      </c>
      <c r="K339" t="s">
        <v>9040</v>
      </c>
    </row>
    <row r="340" spans="1:11" s="1" customFormat="1" x14ac:dyDescent="0.25">
      <c r="A340" t="s">
        <v>9110</v>
      </c>
      <c r="B340" t="s">
        <v>9111</v>
      </c>
      <c r="C340" s="111"/>
      <c r="D340" t="s">
        <v>13974</v>
      </c>
      <c r="E340">
        <v>75</v>
      </c>
      <c r="F340" t="s">
        <v>9112</v>
      </c>
      <c r="G340" t="s">
        <v>9111</v>
      </c>
      <c r="H340" t="s">
        <v>7968</v>
      </c>
      <c r="I340" t="s">
        <v>9111</v>
      </c>
      <c r="J340" t="s">
        <v>9112</v>
      </c>
      <c r="K340" t="s">
        <v>9080</v>
      </c>
    </row>
    <row r="341" spans="1:11" s="1" customFormat="1" x14ac:dyDescent="0.25">
      <c r="A341" t="s">
        <v>9113</v>
      </c>
      <c r="B341" t="s">
        <v>7987</v>
      </c>
      <c r="C341" s="111"/>
      <c r="D341" t="s">
        <v>9114</v>
      </c>
      <c r="E341">
        <v>1133</v>
      </c>
      <c r="F341" t="s">
        <v>9115</v>
      </c>
      <c r="G341" t="s">
        <v>7987</v>
      </c>
      <c r="H341" t="s">
        <v>7968</v>
      </c>
      <c r="I341" t="s">
        <v>7987</v>
      </c>
      <c r="J341" t="s">
        <v>9115</v>
      </c>
      <c r="K341" t="s">
        <v>7987</v>
      </c>
    </row>
    <row r="342" spans="1:11" s="1" customFormat="1" x14ac:dyDescent="0.25">
      <c r="A342" t="s">
        <v>9116</v>
      </c>
      <c r="B342" t="s">
        <v>9117</v>
      </c>
      <c r="C342" s="111"/>
      <c r="D342" t="s">
        <v>9118</v>
      </c>
      <c r="E342">
        <v>1101</v>
      </c>
      <c r="F342" t="s">
        <v>9119</v>
      </c>
      <c r="G342" t="s">
        <v>9117</v>
      </c>
      <c r="H342" t="s">
        <v>7968</v>
      </c>
      <c r="I342" t="s">
        <v>9117</v>
      </c>
      <c r="J342" t="s">
        <v>9119</v>
      </c>
      <c r="K342" t="s">
        <v>13179</v>
      </c>
    </row>
    <row r="343" spans="1:11" s="1" customFormat="1" x14ac:dyDescent="0.25">
      <c r="A343" t="s">
        <v>9120</v>
      </c>
      <c r="B343" t="s">
        <v>9121</v>
      </c>
      <c r="C343" s="111"/>
      <c r="D343" t="s">
        <v>8682</v>
      </c>
      <c r="E343">
        <v>265</v>
      </c>
      <c r="F343" t="s">
        <v>9123</v>
      </c>
      <c r="G343" t="s">
        <v>9122</v>
      </c>
      <c r="H343" t="s">
        <v>7968</v>
      </c>
      <c r="I343" t="s">
        <v>9121</v>
      </c>
      <c r="J343" t="s">
        <v>9123</v>
      </c>
      <c r="K343" t="s">
        <v>13181</v>
      </c>
    </row>
    <row r="344" spans="1:11" s="1" customFormat="1" x14ac:dyDescent="0.25">
      <c r="A344" t="s">
        <v>9124</v>
      </c>
      <c r="B344" t="s">
        <v>13646</v>
      </c>
      <c r="C344" s="111"/>
      <c r="D344" t="s">
        <v>9125</v>
      </c>
      <c r="E344">
        <v>650</v>
      </c>
      <c r="F344" t="s">
        <v>9127</v>
      </c>
      <c r="G344" t="s">
        <v>9126</v>
      </c>
      <c r="H344" t="s">
        <v>7968</v>
      </c>
      <c r="I344" t="s">
        <v>13646</v>
      </c>
      <c r="J344" t="s">
        <v>9127</v>
      </c>
      <c r="K344" t="s">
        <v>13179</v>
      </c>
    </row>
    <row r="345" spans="1:11" s="1" customFormat="1" x14ac:dyDescent="0.25">
      <c r="A345" t="s">
        <v>9128</v>
      </c>
      <c r="B345" t="s">
        <v>9129</v>
      </c>
      <c r="C345" s="111"/>
      <c r="D345" t="s">
        <v>9130</v>
      </c>
      <c r="E345">
        <v>300</v>
      </c>
      <c r="F345" t="s">
        <v>9131</v>
      </c>
      <c r="G345" t="s">
        <v>9129</v>
      </c>
      <c r="H345" t="s">
        <v>7968</v>
      </c>
      <c r="I345" t="s">
        <v>9129</v>
      </c>
      <c r="J345" t="s">
        <v>9131</v>
      </c>
      <c r="K345" t="s">
        <v>8959</v>
      </c>
    </row>
    <row r="346" spans="1:11" s="1" customFormat="1" x14ac:dyDescent="0.25">
      <c r="A346" t="s">
        <v>9132</v>
      </c>
      <c r="B346" t="s">
        <v>9133</v>
      </c>
      <c r="C346" s="111"/>
      <c r="D346" t="s">
        <v>8972</v>
      </c>
      <c r="E346">
        <v>2973</v>
      </c>
      <c r="F346" t="s">
        <v>9134</v>
      </c>
      <c r="G346" t="s">
        <v>9133</v>
      </c>
      <c r="H346" t="s">
        <v>7968</v>
      </c>
      <c r="I346" t="s">
        <v>9133</v>
      </c>
      <c r="J346" t="s">
        <v>9134</v>
      </c>
      <c r="K346" t="s">
        <v>9133</v>
      </c>
    </row>
    <row r="347" spans="1:11" s="1" customFormat="1" x14ac:dyDescent="0.25">
      <c r="A347" t="s">
        <v>9135</v>
      </c>
      <c r="B347" t="s">
        <v>9136</v>
      </c>
      <c r="C347" s="111"/>
      <c r="D347" t="s">
        <v>8020</v>
      </c>
      <c r="E347">
        <v>257</v>
      </c>
      <c r="F347" t="s">
        <v>9137</v>
      </c>
      <c r="G347" t="s">
        <v>9136</v>
      </c>
      <c r="H347" t="s">
        <v>7968</v>
      </c>
      <c r="I347" t="s">
        <v>9136</v>
      </c>
      <c r="J347" t="s">
        <v>9137</v>
      </c>
      <c r="K347" t="s">
        <v>8959</v>
      </c>
    </row>
    <row r="348" spans="1:11" s="1" customFormat="1" x14ac:dyDescent="0.25">
      <c r="A348" t="s">
        <v>9138</v>
      </c>
      <c r="B348" t="s">
        <v>9139</v>
      </c>
      <c r="C348" s="111"/>
      <c r="D348" t="s">
        <v>9140</v>
      </c>
      <c r="E348">
        <v>253</v>
      </c>
      <c r="F348" t="s">
        <v>9141</v>
      </c>
      <c r="G348" t="s">
        <v>9139</v>
      </c>
      <c r="H348" t="s">
        <v>7968</v>
      </c>
      <c r="I348" t="s">
        <v>9139</v>
      </c>
      <c r="J348" t="s">
        <v>9141</v>
      </c>
      <c r="K348" t="s">
        <v>9040</v>
      </c>
    </row>
    <row r="349" spans="1:11" s="1" customFormat="1" x14ac:dyDescent="0.25">
      <c r="A349" t="s">
        <v>9142</v>
      </c>
      <c r="B349" t="s">
        <v>9143</v>
      </c>
      <c r="C349" s="111"/>
      <c r="D349" t="s">
        <v>9144</v>
      </c>
      <c r="E349">
        <v>141</v>
      </c>
      <c r="F349" t="s">
        <v>9145</v>
      </c>
      <c r="G349" t="s">
        <v>9143</v>
      </c>
      <c r="H349" t="s">
        <v>7968</v>
      </c>
      <c r="I349" t="s">
        <v>9143</v>
      </c>
      <c r="J349" t="s">
        <v>9145</v>
      </c>
      <c r="K349" t="s">
        <v>13179</v>
      </c>
    </row>
    <row r="350" spans="1:11" s="1" customFormat="1" x14ac:dyDescent="0.25">
      <c r="A350" t="s">
        <v>9146</v>
      </c>
      <c r="B350" t="s">
        <v>13647</v>
      </c>
      <c r="C350" s="111"/>
      <c r="D350" t="s">
        <v>8002</v>
      </c>
      <c r="E350">
        <v>47</v>
      </c>
      <c r="F350" t="s">
        <v>9148</v>
      </c>
      <c r="G350" t="s">
        <v>9147</v>
      </c>
      <c r="H350" t="s">
        <v>7968</v>
      </c>
      <c r="I350" t="s">
        <v>13647</v>
      </c>
      <c r="J350" t="s">
        <v>9148</v>
      </c>
      <c r="K350" t="s">
        <v>9166</v>
      </c>
    </row>
    <row r="351" spans="1:11" s="1" customFormat="1" x14ac:dyDescent="0.25">
      <c r="A351" t="s">
        <v>9149</v>
      </c>
      <c r="B351" t="s">
        <v>13648</v>
      </c>
      <c r="C351" s="111"/>
      <c r="D351" t="s">
        <v>8313</v>
      </c>
      <c r="E351">
        <v>682</v>
      </c>
      <c r="F351" t="s">
        <v>9151</v>
      </c>
      <c r="G351" t="s">
        <v>9150</v>
      </c>
      <c r="H351" t="s">
        <v>7968</v>
      </c>
      <c r="I351" t="s">
        <v>13648</v>
      </c>
      <c r="J351" t="s">
        <v>9151</v>
      </c>
      <c r="K351" t="s">
        <v>9150</v>
      </c>
    </row>
    <row r="352" spans="1:11" s="1" customFormat="1" x14ac:dyDescent="0.25">
      <c r="A352" t="s">
        <v>9152</v>
      </c>
      <c r="B352" t="s">
        <v>9153</v>
      </c>
      <c r="C352" s="111"/>
      <c r="D352" t="s">
        <v>9154</v>
      </c>
      <c r="E352">
        <v>4325</v>
      </c>
      <c r="F352" t="s">
        <v>9155</v>
      </c>
      <c r="G352" t="s">
        <v>9153</v>
      </c>
      <c r="H352" t="s">
        <v>7968</v>
      </c>
      <c r="I352" t="s">
        <v>9153</v>
      </c>
      <c r="J352" t="s">
        <v>9155</v>
      </c>
      <c r="K352" t="s">
        <v>9048</v>
      </c>
    </row>
    <row r="353" spans="1:11" s="1" customFormat="1" x14ac:dyDescent="0.25">
      <c r="A353" t="s">
        <v>9156</v>
      </c>
      <c r="B353" t="s">
        <v>9157</v>
      </c>
      <c r="C353" s="111"/>
      <c r="D353" t="s">
        <v>9158</v>
      </c>
      <c r="E353">
        <v>0</v>
      </c>
      <c r="F353" t="s">
        <v>9159</v>
      </c>
      <c r="G353" t="s">
        <v>9157</v>
      </c>
      <c r="H353" t="s">
        <v>7968</v>
      </c>
      <c r="I353" t="s">
        <v>9157</v>
      </c>
      <c r="J353" t="s">
        <v>9159</v>
      </c>
      <c r="K353" t="s">
        <v>13180</v>
      </c>
    </row>
    <row r="354" spans="1:11" s="1" customFormat="1" x14ac:dyDescent="0.25">
      <c r="A354" t="s">
        <v>9160</v>
      </c>
      <c r="B354" t="s">
        <v>9161</v>
      </c>
      <c r="C354" s="111"/>
      <c r="D354" t="s">
        <v>8112</v>
      </c>
      <c r="E354">
        <v>602</v>
      </c>
      <c r="F354" t="s">
        <v>9162</v>
      </c>
      <c r="G354" t="s">
        <v>9161</v>
      </c>
      <c r="H354" t="s">
        <v>7968</v>
      </c>
      <c r="I354" t="s">
        <v>9161</v>
      </c>
      <c r="J354" t="s">
        <v>9162</v>
      </c>
      <c r="K354" t="s">
        <v>13180</v>
      </c>
    </row>
    <row r="355" spans="1:11" s="1" customFormat="1" x14ac:dyDescent="0.25">
      <c r="A355" t="s">
        <v>9163</v>
      </c>
      <c r="B355" t="s">
        <v>8145</v>
      </c>
      <c r="C355" s="111"/>
      <c r="D355" t="s">
        <v>8087</v>
      </c>
      <c r="E355">
        <v>310</v>
      </c>
      <c r="F355" t="s">
        <v>9164</v>
      </c>
      <c r="G355" t="s">
        <v>8145</v>
      </c>
      <c r="H355" t="s">
        <v>7968</v>
      </c>
      <c r="I355" t="s">
        <v>8145</v>
      </c>
      <c r="J355" t="s">
        <v>9164</v>
      </c>
      <c r="K355" t="s">
        <v>13181</v>
      </c>
    </row>
    <row r="356" spans="1:11" s="1" customFormat="1" x14ac:dyDescent="0.25">
      <c r="A356" t="s">
        <v>9165</v>
      </c>
      <c r="B356" t="s">
        <v>9166</v>
      </c>
      <c r="C356" s="111"/>
      <c r="D356" t="s">
        <v>9167</v>
      </c>
      <c r="E356">
        <v>300</v>
      </c>
      <c r="F356" t="s">
        <v>9168</v>
      </c>
      <c r="G356" t="s">
        <v>9166</v>
      </c>
      <c r="H356" t="s">
        <v>7968</v>
      </c>
      <c r="I356" t="s">
        <v>9166</v>
      </c>
      <c r="J356" t="s">
        <v>9168</v>
      </c>
      <c r="K356" t="s">
        <v>9166</v>
      </c>
    </row>
    <row r="357" spans="1:11" s="1" customFormat="1" x14ac:dyDescent="0.25">
      <c r="A357" t="s">
        <v>9169</v>
      </c>
      <c r="B357" t="s">
        <v>9170</v>
      </c>
      <c r="C357" s="111"/>
      <c r="D357" t="s">
        <v>9171</v>
      </c>
      <c r="E357">
        <v>453</v>
      </c>
      <c r="F357" t="s">
        <v>9172</v>
      </c>
      <c r="G357" t="s">
        <v>9170</v>
      </c>
      <c r="H357" t="s">
        <v>7968</v>
      </c>
      <c r="I357" t="s">
        <v>9170</v>
      </c>
      <c r="J357" t="s">
        <v>9172</v>
      </c>
      <c r="K357" t="s">
        <v>9052</v>
      </c>
    </row>
    <row r="358" spans="1:11" s="1" customFormat="1" x14ac:dyDescent="0.25">
      <c r="A358" t="s">
        <v>9173</v>
      </c>
      <c r="B358" t="s">
        <v>9174</v>
      </c>
      <c r="C358" s="111"/>
      <c r="D358" t="s">
        <v>8343</v>
      </c>
      <c r="E358">
        <v>324</v>
      </c>
      <c r="F358" t="s">
        <v>9175</v>
      </c>
      <c r="G358" t="s">
        <v>9174</v>
      </c>
      <c r="H358" t="s">
        <v>7968</v>
      </c>
      <c r="I358" t="s">
        <v>9174</v>
      </c>
      <c r="J358" t="s">
        <v>9175</v>
      </c>
      <c r="K358" t="s">
        <v>8955</v>
      </c>
    </row>
    <row r="359" spans="1:11" s="1" customFormat="1" x14ac:dyDescent="0.25">
      <c r="A359" t="s">
        <v>9176</v>
      </c>
      <c r="B359" t="s">
        <v>9177</v>
      </c>
      <c r="C359" s="111"/>
      <c r="D359" t="s">
        <v>9178</v>
      </c>
      <c r="E359">
        <v>567</v>
      </c>
      <c r="F359" t="s">
        <v>9180</v>
      </c>
      <c r="G359" t="s">
        <v>9179</v>
      </c>
      <c r="H359" t="s">
        <v>7968</v>
      </c>
      <c r="I359" t="s">
        <v>9177</v>
      </c>
      <c r="J359" t="s">
        <v>9180</v>
      </c>
      <c r="K359" t="s">
        <v>8959</v>
      </c>
    </row>
    <row r="360" spans="1:11" s="1" customFormat="1" x14ac:dyDescent="0.25">
      <c r="A360" t="s">
        <v>9181</v>
      </c>
      <c r="B360" t="s">
        <v>9182</v>
      </c>
      <c r="C360" s="111"/>
      <c r="D360" t="s">
        <v>9183</v>
      </c>
      <c r="E360">
        <v>175</v>
      </c>
      <c r="F360" t="s">
        <v>9184</v>
      </c>
      <c r="G360" t="s">
        <v>9182</v>
      </c>
      <c r="H360" t="s">
        <v>7968</v>
      </c>
      <c r="I360" t="s">
        <v>9182</v>
      </c>
      <c r="J360" t="s">
        <v>9184</v>
      </c>
      <c r="K360" t="s">
        <v>13181</v>
      </c>
    </row>
    <row r="361" spans="1:11" s="1" customFormat="1" x14ac:dyDescent="0.25">
      <c r="A361" t="s">
        <v>9185</v>
      </c>
      <c r="B361" t="s">
        <v>9186</v>
      </c>
      <c r="C361" s="111"/>
      <c r="D361" t="s">
        <v>9187</v>
      </c>
      <c r="E361">
        <v>195</v>
      </c>
      <c r="F361" t="s">
        <v>9188</v>
      </c>
      <c r="G361" t="s">
        <v>9186</v>
      </c>
      <c r="H361" t="s">
        <v>7968</v>
      </c>
      <c r="I361" t="s">
        <v>9186</v>
      </c>
      <c r="J361" t="s">
        <v>9188</v>
      </c>
      <c r="K361" t="s">
        <v>8955</v>
      </c>
    </row>
    <row r="362" spans="1:11" s="1" customFormat="1" x14ac:dyDescent="0.25">
      <c r="A362" t="s">
        <v>9189</v>
      </c>
      <c r="B362" t="s">
        <v>9190</v>
      </c>
      <c r="C362" s="111"/>
      <c r="D362" t="s">
        <v>9191</v>
      </c>
      <c r="E362">
        <v>2190</v>
      </c>
      <c r="F362" t="s">
        <v>9192</v>
      </c>
      <c r="G362" t="s">
        <v>9190</v>
      </c>
      <c r="H362" t="s">
        <v>7968</v>
      </c>
      <c r="I362" t="s">
        <v>9190</v>
      </c>
      <c r="J362" t="s">
        <v>9192</v>
      </c>
      <c r="K362" t="s">
        <v>9133</v>
      </c>
    </row>
    <row r="363" spans="1:11" s="1" customFormat="1" x14ac:dyDescent="0.25">
      <c r="A363" t="s">
        <v>9193</v>
      </c>
      <c r="B363" t="s">
        <v>9194</v>
      </c>
      <c r="C363" s="111"/>
      <c r="D363" t="s">
        <v>9097</v>
      </c>
      <c r="E363">
        <v>1958</v>
      </c>
      <c r="F363" t="s">
        <v>9196</v>
      </c>
      <c r="G363" t="s">
        <v>9195</v>
      </c>
      <c r="H363" t="s">
        <v>7968</v>
      </c>
      <c r="I363" t="s">
        <v>9194</v>
      </c>
      <c r="J363" t="s">
        <v>9196</v>
      </c>
      <c r="K363" t="s">
        <v>13182</v>
      </c>
    </row>
    <row r="364" spans="1:11" s="1" customFormat="1" x14ac:dyDescent="0.25">
      <c r="A364" t="s">
        <v>9197</v>
      </c>
      <c r="B364" t="s">
        <v>9198</v>
      </c>
      <c r="C364" s="111"/>
      <c r="D364" t="s">
        <v>9199</v>
      </c>
      <c r="E364">
        <v>2714</v>
      </c>
      <c r="F364" t="s">
        <v>9200</v>
      </c>
      <c r="G364" t="s">
        <v>9195</v>
      </c>
      <c r="H364" t="s">
        <v>7968</v>
      </c>
      <c r="I364" t="s">
        <v>9198</v>
      </c>
      <c r="J364" t="s">
        <v>9200</v>
      </c>
      <c r="K364" t="s">
        <v>13182</v>
      </c>
    </row>
    <row r="365" spans="1:11" s="1" customFormat="1" x14ac:dyDescent="0.25">
      <c r="A365" t="s">
        <v>9201</v>
      </c>
      <c r="B365" t="s">
        <v>9202</v>
      </c>
      <c r="C365" s="111"/>
      <c r="D365" t="s">
        <v>9203</v>
      </c>
      <c r="E365">
        <v>1333</v>
      </c>
      <c r="F365" t="s">
        <v>9204</v>
      </c>
      <c r="G365" t="s">
        <v>9195</v>
      </c>
      <c r="H365" t="s">
        <v>7968</v>
      </c>
      <c r="I365" t="s">
        <v>9202</v>
      </c>
      <c r="J365" t="s">
        <v>9204</v>
      </c>
      <c r="K365" t="s">
        <v>13182</v>
      </c>
    </row>
    <row r="366" spans="1:11" s="1" customFormat="1" x14ac:dyDescent="0.25">
      <c r="A366" t="s">
        <v>9205</v>
      </c>
      <c r="B366" t="s">
        <v>9206</v>
      </c>
      <c r="C366" s="111"/>
      <c r="D366" t="s">
        <v>9207</v>
      </c>
      <c r="E366">
        <v>4001</v>
      </c>
      <c r="F366" t="s">
        <v>9208</v>
      </c>
      <c r="G366" t="s">
        <v>9206</v>
      </c>
      <c r="H366" t="s">
        <v>7968</v>
      </c>
      <c r="I366" t="s">
        <v>9206</v>
      </c>
      <c r="J366" t="s">
        <v>9208</v>
      </c>
      <c r="K366" t="s">
        <v>9206</v>
      </c>
    </row>
    <row r="367" spans="1:11" s="1" customFormat="1" x14ac:dyDescent="0.25">
      <c r="A367" t="s">
        <v>9209</v>
      </c>
      <c r="B367" t="s">
        <v>8007</v>
      </c>
      <c r="C367" s="111"/>
      <c r="D367" t="s">
        <v>7998</v>
      </c>
      <c r="E367">
        <v>2052</v>
      </c>
      <c r="F367" t="s">
        <v>9210</v>
      </c>
      <c r="G367" t="s">
        <v>8007</v>
      </c>
      <c r="H367" t="s">
        <v>7968</v>
      </c>
      <c r="I367" t="s">
        <v>8007</v>
      </c>
      <c r="J367" t="s">
        <v>9210</v>
      </c>
      <c r="K367" t="s">
        <v>8046</v>
      </c>
    </row>
    <row r="368" spans="1:11" s="1" customFormat="1" x14ac:dyDescent="0.25">
      <c r="A368" t="s">
        <v>9211</v>
      </c>
      <c r="B368" t="s">
        <v>9212</v>
      </c>
      <c r="C368" s="111"/>
      <c r="D368" t="s">
        <v>9203</v>
      </c>
      <c r="E368">
        <v>405</v>
      </c>
      <c r="F368" t="s">
        <v>9213</v>
      </c>
      <c r="G368" t="s">
        <v>9212</v>
      </c>
      <c r="H368" t="s">
        <v>7968</v>
      </c>
      <c r="I368" t="s">
        <v>9212</v>
      </c>
      <c r="J368" t="s">
        <v>9213</v>
      </c>
      <c r="K368" t="s">
        <v>9212</v>
      </c>
    </row>
    <row r="369" spans="1:11" s="1" customFormat="1" x14ac:dyDescent="0.25">
      <c r="A369" t="s">
        <v>9214</v>
      </c>
      <c r="B369" t="s">
        <v>9215</v>
      </c>
      <c r="C369" s="111"/>
      <c r="D369" t="s">
        <v>9216</v>
      </c>
      <c r="E369">
        <v>4319</v>
      </c>
      <c r="F369" t="s">
        <v>9217</v>
      </c>
      <c r="G369" t="s">
        <v>9215</v>
      </c>
      <c r="H369" t="s">
        <v>7968</v>
      </c>
      <c r="I369" t="s">
        <v>9215</v>
      </c>
      <c r="J369" t="s">
        <v>9217</v>
      </c>
      <c r="K369" t="s">
        <v>7975</v>
      </c>
    </row>
    <row r="370" spans="1:11" s="1" customFormat="1" x14ac:dyDescent="0.25">
      <c r="A370" t="s">
        <v>9218</v>
      </c>
      <c r="B370" t="s">
        <v>9219</v>
      </c>
      <c r="C370" s="111"/>
      <c r="D370" t="s">
        <v>8128</v>
      </c>
      <c r="E370">
        <v>9109</v>
      </c>
      <c r="F370" t="s">
        <v>9220</v>
      </c>
      <c r="G370" t="s">
        <v>9219</v>
      </c>
      <c r="H370" t="s">
        <v>7968</v>
      </c>
      <c r="I370" t="s">
        <v>9219</v>
      </c>
      <c r="J370" t="s">
        <v>9220</v>
      </c>
      <c r="K370" t="s">
        <v>9219</v>
      </c>
    </row>
    <row r="371" spans="1:11" s="1" customFormat="1" x14ac:dyDescent="0.25">
      <c r="A371" t="s">
        <v>9221</v>
      </c>
      <c r="B371" t="s">
        <v>9222</v>
      </c>
      <c r="C371" s="111"/>
      <c r="D371" t="s">
        <v>8640</v>
      </c>
      <c r="E371">
        <v>252</v>
      </c>
      <c r="F371" t="s">
        <v>9223</v>
      </c>
      <c r="G371" t="s">
        <v>9222</v>
      </c>
      <c r="H371" t="s">
        <v>7968</v>
      </c>
      <c r="I371" t="s">
        <v>9222</v>
      </c>
      <c r="J371" t="s">
        <v>9223</v>
      </c>
      <c r="K371" t="s">
        <v>9222</v>
      </c>
    </row>
    <row r="372" spans="1:11" s="1" customFormat="1" x14ac:dyDescent="0.25">
      <c r="A372" t="s">
        <v>9224</v>
      </c>
      <c r="B372" t="s">
        <v>9225</v>
      </c>
      <c r="C372" s="111"/>
      <c r="D372" t="s">
        <v>9226</v>
      </c>
      <c r="E372">
        <v>658</v>
      </c>
      <c r="F372" t="s">
        <v>9227</v>
      </c>
      <c r="G372" t="s">
        <v>9225</v>
      </c>
      <c r="H372" t="s">
        <v>7968</v>
      </c>
      <c r="I372" t="s">
        <v>9225</v>
      </c>
      <c r="J372" t="s">
        <v>9227</v>
      </c>
      <c r="K372" t="s">
        <v>9219</v>
      </c>
    </row>
    <row r="373" spans="1:11" s="1" customFormat="1" x14ac:dyDescent="0.25">
      <c r="A373" t="s">
        <v>9228</v>
      </c>
      <c r="B373" t="s">
        <v>9195</v>
      </c>
      <c r="C373" s="111"/>
      <c r="D373" t="s">
        <v>9229</v>
      </c>
      <c r="E373">
        <v>2460</v>
      </c>
      <c r="F373" t="s">
        <v>9230</v>
      </c>
      <c r="G373" t="s">
        <v>9195</v>
      </c>
      <c r="H373" t="s">
        <v>7968</v>
      </c>
      <c r="I373" t="s">
        <v>9195</v>
      </c>
      <c r="J373" t="s">
        <v>9230</v>
      </c>
      <c r="K373" t="s">
        <v>13182</v>
      </c>
    </row>
    <row r="374" spans="1:11" s="1" customFormat="1" x14ac:dyDescent="0.25">
      <c r="A374" t="s">
        <v>9231</v>
      </c>
      <c r="B374" t="s">
        <v>9232</v>
      </c>
      <c r="C374" s="111"/>
      <c r="D374" t="s">
        <v>9233</v>
      </c>
      <c r="E374">
        <v>5556</v>
      </c>
      <c r="F374" t="s">
        <v>9234</v>
      </c>
      <c r="G374" t="s">
        <v>9195</v>
      </c>
      <c r="H374" t="s">
        <v>7968</v>
      </c>
      <c r="I374" t="s">
        <v>9232</v>
      </c>
      <c r="J374" t="s">
        <v>9234</v>
      </c>
      <c r="K374" t="s">
        <v>13182</v>
      </c>
    </row>
    <row r="375" spans="1:11" s="1" customFormat="1" x14ac:dyDescent="0.25">
      <c r="A375" t="s">
        <v>9235</v>
      </c>
      <c r="B375" t="s">
        <v>9236</v>
      </c>
      <c r="C375" s="111"/>
      <c r="D375" t="s">
        <v>9237</v>
      </c>
      <c r="E375">
        <v>350</v>
      </c>
      <c r="F375" t="s">
        <v>9238</v>
      </c>
      <c r="G375" t="s">
        <v>9195</v>
      </c>
      <c r="H375" t="s">
        <v>7968</v>
      </c>
      <c r="I375" t="s">
        <v>9236</v>
      </c>
      <c r="J375" t="s">
        <v>9238</v>
      </c>
      <c r="K375" t="s">
        <v>13182</v>
      </c>
    </row>
    <row r="376" spans="1:11" s="1" customFormat="1" x14ac:dyDescent="0.25">
      <c r="A376" t="s">
        <v>9239</v>
      </c>
      <c r="B376" t="s">
        <v>9240</v>
      </c>
      <c r="C376" s="111"/>
      <c r="D376" t="s">
        <v>9241</v>
      </c>
      <c r="E376">
        <v>865</v>
      </c>
      <c r="F376" t="s">
        <v>9242</v>
      </c>
      <c r="G376" t="s">
        <v>9195</v>
      </c>
      <c r="H376" t="s">
        <v>7968</v>
      </c>
      <c r="I376" t="s">
        <v>9240</v>
      </c>
      <c r="J376" t="s">
        <v>9242</v>
      </c>
      <c r="K376" t="s">
        <v>13182</v>
      </c>
    </row>
    <row r="377" spans="1:11" s="1" customFormat="1" x14ac:dyDescent="0.25">
      <c r="A377" t="s">
        <v>9243</v>
      </c>
      <c r="B377" t="s">
        <v>9244</v>
      </c>
      <c r="C377" s="111"/>
      <c r="D377" t="s">
        <v>8514</v>
      </c>
      <c r="E377">
        <v>2702</v>
      </c>
      <c r="F377" t="s">
        <v>9245</v>
      </c>
      <c r="G377" t="s">
        <v>9195</v>
      </c>
      <c r="H377" t="s">
        <v>7968</v>
      </c>
      <c r="I377" t="s">
        <v>9244</v>
      </c>
      <c r="J377" t="s">
        <v>9245</v>
      </c>
      <c r="K377" t="s">
        <v>13182</v>
      </c>
    </row>
    <row r="378" spans="1:11" s="3" customFormat="1" x14ac:dyDescent="0.25">
      <c r="A378" t="s">
        <v>9246</v>
      </c>
      <c r="B378" t="s">
        <v>9247</v>
      </c>
      <c r="C378" s="111"/>
      <c r="D378" t="s">
        <v>9248</v>
      </c>
      <c r="E378">
        <v>4264</v>
      </c>
      <c r="F378" t="s">
        <v>9249</v>
      </c>
      <c r="G378" t="s">
        <v>9247</v>
      </c>
      <c r="H378" t="s">
        <v>7968</v>
      </c>
      <c r="I378" t="s">
        <v>9247</v>
      </c>
      <c r="J378" t="s">
        <v>9249</v>
      </c>
      <c r="K378" t="s">
        <v>13182</v>
      </c>
    </row>
    <row r="379" spans="1:11" s="1" customFormat="1" x14ac:dyDescent="0.25">
      <c r="A379" t="s">
        <v>9250</v>
      </c>
      <c r="B379" t="s">
        <v>9251</v>
      </c>
      <c r="C379" s="111"/>
      <c r="D379" t="s">
        <v>9252</v>
      </c>
      <c r="E379">
        <v>2374</v>
      </c>
      <c r="F379" t="s">
        <v>9254</v>
      </c>
      <c r="G379" t="s">
        <v>9253</v>
      </c>
      <c r="H379" t="s">
        <v>7968</v>
      </c>
      <c r="I379" t="s">
        <v>9251</v>
      </c>
      <c r="J379" t="s">
        <v>9254</v>
      </c>
      <c r="K379" t="s">
        <v>13183</v>
      </c>
    </row>
    <row r="380" spans="1:11" s="1" customFormat="1" x14ac:dyDescent="0.25">
      <c r="A380" t="s">
        <v>9255</v>
      </c>
      <c r="B380" t="s">
        <v>9256</v>
      </c>
      <c r="C380" s="111"/>
      <c r="D380" t="s">
        <v>8972</v>
      </c>
      <c r="E380">
        <v>538</v>
      </c>
      <c r="F380" t="s">
        <v>9257</v>
      </c>
      <c r="G380" t="s">
        <v>9256</v>
      </c>
      <c r="H380" t="s">
        <v>7968</v>
      </c>
      <c r="I380" t="s">
        <v>9256</v>
      </c>
      <c r="J380" t="s">
        <v>9257</v>
      </c>
      <c r="K380" t="s">
        <v>13184</v>
      </c>
    </row>
    <row r="381" spans="1:11" s="1" customFormat="1" x14ac:dyDescent="0.25">
      <c r="A381" t="s">
        <v>9258</v>
      </c>
      <c r="B381" t="s">
        <v>9259</v>
      </c>
      <c r="C381" s="111"/>
      <c r="D381" t="s">
        <v>8087</v>
      </c>
      <c r="E381">
        <v>250</v>
      </c>
      <c r="F381" t="s">
        <v>9261</v>
      </c>
      <c r="G381" t="s">
        <v>9260</v>
      </c>
      <c r="H381" t="s">
        <v>7968</v>
      </c>
      <c r="I381" t="s">
        <v>9259</v>
      </c>
      <c r="J381" t="s">
        <v>9261</v>
      </c>
      <c r="K381" t="s">
        <v>9260</v>
      </c>
    </row>
    <row r="382" spans="1:11" s="1" customFormat="1" x14ac:dyDescent="0.25">
      <c r="A382" t="s">
        <v>9262</v>
      </c>
      <c r="B382" t="s">
        <v>9263</v>
      </c>
      <c r="C382" s="111"/>
      <c r="D382" t="s">
        <v>9264</v>
      </c>
      <c r="E382">
        <v>1186</v>
      </c>
      <c r="F382" t="s">
        <v>9266</v>
      </c>
      <c r="G382" t="s">
        <v>9265</v>
      </c>
      <c r="H382" t="s">
        <v>7968</v>
      </c>
      <c r="I382" t="s">
        <v>9263</v>
      </c>
      <c r="J382" t="s">
        <v>9266</v>
      </c>
      <c r="K382" t="s">
        <v>9265</v>
      </c>
    </row>
    <row r="383" spans="1:11" s="1" customFormat="1" x14ac:dyDescent="0.25">
      <c r="A383" t="s">
        <v>9267</v>
      </c>
      <c r="B383" t="s">
        <v>9268</v>
      </c>
      <c r="C383" s="111"/>
      <c r="D383" t="s">
        <v>8136</v>
      </c>
      <c r="E383">
        <v>712</v>
      </c>
      <c r="F383" t="s">
        <v>9270</v>
      </c>
      <c r="G383" t="s">
        <v>9269</v>
      </c>
      <c r="H383" t="s">
        <v>7968</v>
      </c>
      <c r="I383" t="s">
        <v>9268</v>
      </c>
      <c r="J383" t="s">
        <v>9270</v>
      </c>
      <c r="K383" t="s">
        <v>9269</v>
      </c>
    </row>
    <row r="384" spans="1:11" s="1" customFormat="1" x14ac:dyDescent="0.25">
      <c r="A384" t="s">
        <v>9271</v>
      </c>
      <c r="B384" t="s">
        <v>9272</v>
      </c>
      <c r="C384" s="111"/>
      <c r="D384" t="s">
        <v>9005</v>
      </c>
      <c r="E384">
        <v>599</v>
      </c>
      <c r="F384" t="s">
        <v>9274</v>
      </c>
      <c r="G384" t="s">
        <v>9273</v>
      </c>
      <c r="H384" t="s">
        <v>7968</v>
      </c>
      <c r="I384" t="s">
        <v>9272</v>
      </c>
      <c r="J384" t="s">
        <v>9274</v>
      </c>
      <c r="K384" t="s">
        <v>13184</v>
      </c>
    </row>
    <row r="385" spans="1:11" s="1" customFormat="1" x14ac:dyDescent="0.25">
      <c r="A385" t="s">
        <v>9275</v>
      </c>
      <c r="B385" t="s">
        <v>9276</v>
      </c>
      <c r="C385" s="111"/>
      <c r="D385" t="s">
        <v>9277</v>
      </c>
      <c r="E385">
        <v>1298</v>
      </c>
      <c r="F385" t="s">
        <v>9279</v>
      </c>
      <c r="G385" t="s">
        <v>9278</v>
      </c>
      <c r="H385" t="s">
        <v>7968</v>
      </c>
      <c r="I385" t="s">
        <v>9276</v>
      </c>
      <c r="J385" t="s">
        <v>9279</v>
      </c>
      <c r="K385" t="s">
        <v>9300</v>
      </c>
    </row>
    <row r="386" spans="1:11" s="1" customFormat="1" x14ac:dyDescent="0.25">
      <c r="A386" t="s">
        <v>9280</v>
      </c>
      <c r="B386" t="s">
        <v>9281</v>
      </c>
      <c r="C386" s="111"/>
      <c r="D386" t="s">
        <v>9144</v>
      </c>
      <c r="E386">
        <v>875</v>
      </c>
      <c r="F386" t="s">
        <v>9282</v>
      </c>
      <c r="G386" t="s">
        <v>9281</v>
      </c>
      <c r="H386" t="s">
        <v>7968</v>
      </c>
      <c r="I386" t="s">
        <v>9281</v>
      </c>
      <c r="J386" t="s">
        <v>9282</v>
      </c>
      <c r="K386" t="s">
        <v>9300</v>
      </c>
    </row>
    <row r="387" spans="1:11" s="1" customFormat="1" x14ac:dyDescent="0.25">
      <c r="A387" t="s">
        <v>9283</v>
      </c>
      <c r="B387" t="s">
        <v>9284</v>
      </c>
      <c r="C387" s="111"/>
      <c r="D387" t="s">
        <v>9285</v>
      </c>
      <c r="E387">
        <v>49</v>
      </c>
      <c r="F387" t="s">
        <v>9286</v>
      </c>
      <c r="G387" t="s">
        <v>9284</v>
      </c>
      <c r="H387" t="s">
        <v>7968</v>
      </c>
      <c r="I387" t="s">
        <v>9284</v>
      </c>
      <c r="J387" t="s">
        <v>9286</v>
      </c>
      <c r="K387" t="s">
        <v>9284</v>
      </c>
    </row>
    <row r="388" spans="1:11" s="1" customFormat="1" x14ac:dyDescent="0.25">
      <c r="A388" t="s">
        <v>9287</v>
      </c>
      <c r="B388" t="s">
        <v>9288</v>
      </c>
      <c r="C388" s="111"/>
      <c r="D388" t="s">
        <v>9289</v>
      </c>
      <c r="E388">
        <v>552</v>
      </c>
      <c r="F388" t="s">
        <v>9290</v>
      </c>
      <c r="G388" t="s">
        <v>9288</v>
      </c>
      <c r="H388" t="s">
        <v>7968</v>
      </c>
      <c r="I388" t="s">
        <v>9288</v>
      </c>
      <c r="J388" t="s">
        <v>9290</v>
      </c>
      <c r="K388" t="s">
        <v>9288</v>
      </c>
    </row>
    <row r="389" spans="1:11" s="1" customFormat="1" x14ac:dyDescent="0.25">
      <c r="A389" t="s">
        <v>9291</v>
      </c>
      <c r="B389" t="s">
        <v>9292</v>
      </c>
      <c r="C389" s="111"/>
      <c r="D389" t="s">
        <v>9293</v>
      </c>
      <c r="E389">
        <v>1602</v>
      </c>
      <c r="F389" t="s">
        <v>9294</v>
      </c>
      <c r="G389" t="s">
        <v>9292</v>
      </c>
      <c r="H389" t="s">
        <v>7968</v>
      </c>
      <c r="I389" t="s">
        <v>9292</v>
      </c>
      <c r="J389" t="s">
        <v>9294</v>
      </c>
      <c r="K389" t="s">
        <v>13183</v>
      </c>
    </row>
    <row r="390" spans="1:11" s="1" customFormat="1" x14ac:dyDescent="0.25">
      <c r="A390" t="s">
        <v>9295</v>
      </c>
      <c r="B390" t="s">
        <v>9296</v>
      </c>
      <c r="C390" s="111"/>
      <c r="D390" t="s">
        <v>9297</v>
      </c>
      <c r="E390">
        <v>7454</v>
      </c>
      <c r="F390" t="s">
        <v>9298</v>
      </c>
      <c r="G390" t="s">
        <v>9296</v>
      </c>
      <c r="H390" t="s">
        <v>7968</v>
      </c>
      <c r="I390" t="s">
        <v>9296</v>
      </c>
      <c r="J390" t="s">
        <v>9298</v>
      </c>
      <c r="K390" t="s">
        <v>13174</v>
      </c>
    </row>
    <row r="391" spans="1:11" s="1" customFormat="1" x14ac:dyDescent="0.25">
      <c r="A391" t="s">
        <v>9299</v>
      </c>
      <c r="B391" t="s">
        <v>9300</v>
      </c>
      <c r="C391" s="111"/>
      <c r="D391" t="s">
        <v>9301</v>
      </c>
      <c r="E391">
        <v>3088</v>
      </c>
      <c r="F391" t="s">
        <v>9302</v>
      </c>
      <c r="G391" t="s">
        <v>9300</v>
      </c>
      <c r="H391" t="s">
        <v>7968</v>
      </c>
      <c r="I391" t="s">
        <v>9300</v>
      </c>
      <c r="J391" t="s">
        <v>9302</v>
      </c>
      <c r="K391" t="s">
        <v>9300</v>
      </c>
    </row>
    <row r="392" spans="1:11" s="1" customFormat="1" x14ac:dyDescent="0.25">
      <c r="A392" t="s">
        <v>9303</v>
      </c>
      <c r="B392" t="s">
        <v>9304</v>
      </c>
      <c r="C392" s="111"/>
      <c r="D392" t="s">
        <v>9305</v>
      </c>
      <c r="E392">
        <v>337</v>
      </c>
      <c r="F392" t="s">
        <v>9306</v>
      </c>
      <c r="G392" t="s">
        <v>9300</v>
      </c>
      <c r="H392" t="s">
        <v>7968</v>
      </c>
      <c r="I392" t="s">
        <v>9304</v>
      </c>
      <c r="J392" t="s">
        <v>9306</v>
      </c>
      <c r="K392" t="s">
        <v>9300</v>
      </c>
    </row>
    <row r="393" spans="1:11" s="1" customFormat="1" x14ac:dyDescent="0.25">
      <c r="A393" t="s">
        <v>9307</v>
      </c>
      <c r="B393" t="s">
        <v>9308</v>
      </c>
      <c r="C393" s="111"/>
      <c r="D393" t="s">
        <v>9309</v>
      </c>
      <c r="E393">
        <v>1660</v>
      </c>
      <c r="F393" t="s">
        <v>9310</v>
      </c>
      <c r="G393" t="s">
        <v>9308</v>
      </c>
      <c r="H393" t="s">
        <v>7968</v>
      </c>
      <c r="I393" t="s">
        <v>9308</v>
      </c>
      <c r="J393" t="s">
        <v>9310</v>
      </c>
      <c r="K393" t="s">
        <v>13174</v>
      </c>
    </row>
    <row r="394" spans="1:11" s="1" customFormat="1" x14ac:dyDescent="0.25">
      <c r="A394" t="s">
        <v>9311</v>
      </c>
      <c r="B394" t="s">
        <v>9312</v>
      </c>
      <c r="C394" s="111"/>
      <c r="D394" t="s">
        <v>9313</v>
      </c>
      <c r="E394">
        <v>51</v>
      </c>
      <c r="F394" t="s">
        <v>9314</v>
      </c>
      <c r="G394" t="s">
        <v>9312</v>
      </c>
      <c r="H394" t="s">
        <v>7968</v>
      </c>
      <c r="I394" t="s">
        <v>9312</v>
      </c>
      <c r="J394" t="s">
        <v>9314</v>
      </c>
      <c r="K394" t="s">
        <v>9312</v>
      </c>
    </row>
    <row r="395" spans="1:11" s="1" customFormat="1" x14ac:dyDescent="0.25">
      <c r="A395" t="s">
        <v>9315</v>
      </c>
      <c r="B395" t="s">
        <v>9316</v>
      </c>
      <c r="C395" s="111"/>
      <c r="D395" t="s">
        <v>8471</v>
      </c>
      <c r="E395">
        <v>2602</v>
      </c>
      <c r="F395" t="s">
        <v>9317</v>
      </c>
      <c r="G395" t="s">
        <v>9316</v>
      </c>
      <c r="H395" t="s">
        <v>7968</v>
      </c>
      <c r="I395" t="s">
        <v>9316</v>
      </c>
      <c r="J395" t="s">
        <v>9317</v>
      </c>
      <c r="K395" t="s">
        <v>9300</v>
      </c>
    </row>
    <row r="396" spans="1:11" s="1" customFormat="1" x14ac:dyDescent="0.25">
      <c r="A396" t="s">
        <v>9318</v>
      </c>
      <c r="B396" t="s">
        <v>9319</v>
      </c>
      <c r="C396" s="111"/>
      <c r="D396" t="s">
        <v>8689</v>
      </c>
      <c r="E396">
        <v>325</v>
      </c>
      <c r="F396" t="s">
        <v>9320</v>
      </c>
      <c r="G396" t="s">
        <v>9319</v>
      </c>
      <c r="H396" t="s">
        <v>7968</v>
      </c>
      <c r="I396" t="s">
        <v>9319</v>
      </c>
      <c r="J396" t="s">
        <v>9320</v>
      </c>
      <c r="K396" t="s">
        <v>9319</v>
      </c>
    </row>
    <row r="397" spans="1:11" s="1" customFormat="1" x14ac:dyDescent="0.25">
      <c r="A397" t="s">
        <v>9321</v>
      </c>
      <c r="B397" t="s">
        <v>9322</v>
      </c>
      <c r="C397" s="111"/>
      <c r="D397" t="s">
        <v>9323</v>
      </c>
      <c r="E397">
        <v>2037</v>
      </c>
      <c r="F397" t="s">
        <v>9324</v>
      </c>
      <c r="G397" t="s">
        <v>9322</v>
      </c>
      <c r="H397" t="s">
        <v>7968</v>
      </c>
      <c r="I397" t="s">
        <v>9322</v>
      </c>
      <c r="J397" t="s">
        <v>9324</v>
      </c>
      <c r="K397" t="s">
        <v>13174</v>
      </c>
    </row>
    <row r="398" spans="1:11" s="1" customFormat="1" x14ac:dyDescent="0.25">
      <c r="A398" t="s">
        <v>9325</v>
      </c>
      <c r="B398" t="s">
        <v>9326</v>
      </c>
      <c r="C398" s="111"/>
      <c r="D398" t="s">
        <v>9277</v>
      </c>
      <c r="E398">
        <v>226</v>
      </c>
      <c r="F398" t="s">
        <v>9327</v>
      </c>
      <c r="G398" t="s">
        <v>9326</v>
      </c>
      <c r="H398" t="s">
        <v>7968</v>
      </c>
      <c r="I398" t="s">
        <v>9326</v>
      </c>
      <c r="J398" t="s">
        <v>9327</v>
      </c>
      <c r="K398" t="s">
        <v>13174</v>
      </c>
    </row>
    <row r="399" spans="1:11" s="1" customFormat="1" x14ac:dyDescent="0.25">
      <c r="A399" t="s">
        <v>9328</v>
      </c>
      <c r="B399" t="s">
        <v>9329</v>
      </c>
      <c r="C399" s="111"/>
      <c r="D399" t="s">
        <v>9330</v>
      </c>
      <c r="E399">
        <v>472</v>
      </c>
      <c r="F399" t="s">
        <v>9331</v>
      </c>
      <c r="G399" t="s">
        <v>9329</v>
      </c>
      <c r="H399" t="s">
        <v>7968</v>
      </c>
      <c r="I399" t="s">
        <v>9329</v>
      </c>
      <c r="J399" t="s">
        <v>9331</v>
      </c>
      <c r="K399" t="s">
        <v>13184</v>
      </c>
    </row>
    <row r="400" spans="1:11" s="1" customFormat="1" x14ac:dyDescent="0.25">
      <c r="A400" t="s">
        <v>9332</v>
      </c>
      <c r="B400" t="s">
        <v>9206</v>
      </c>
      <c r="C400" s="111"/>
      <c r="D400" t="s">
        <v>9333</v>
      </c>
      <c r="E400">
        <v>806</v>
      </c>
      <c r="F400" t="s">
        <v>9334</v>
      </c>
      <c r="G400" t="s">
        <v>9206</v>
      </c>
      <c r="H400" t="s">
        <v>7968</v>
      </c>
      <c r="I400" t="s">
        <v>9206</v>
      </c>
      <c r="J400" t="s">
        <v>9334</v>
      </c>
      <c r="K400" t="s">
        <v>9206</v>
      </c>
    </row>
    <row r="401" spans="1:11" s="1" customFormat="1" x14ac:dyDescent="0.25">
      <c r="A401" t="s">
        <v>9335</v>
      </c>
      <c r="B401" t="s">
        <v>9336</v>
      </c>
      <c r="C401" s="111"/>
      <c r="D401" t="s">
        <v>9337</v>
      </c>
      <c r="E401">
        <v>167</v>
      </c>
      <c r="F401" t="s">
        <v>9338</v>
      </c>
      <c r="G401" t="s">
        <v>9336</v>
      </c>
      <c r="H401" t="s">
        <v>7968</v>
      </c>
      <c r="I401" t="s">
        <v>9336</v>
      </c>
      <c r="J401" t="s">
        <v>9338</v>
      </c>
      <c r="K401" t="s">
        <v>9336</v>
      </c>
    </row>
    <row r="402" spans="1:11" s="1" customFormat="1" x14ac:dyDescent="0.25">
      <c r="A402" t="s">
        <v>9339</v>
      </c>
      <c r="B402" t="s">
        <v>9340</v>
      </c>
      <c r="C402" s="111"/>
      <c r="D402" t="s">
        <v>8380</v>
      </c>
      <c r="E402">
        <v>117</v>
      </c>
      <c r="F402" t="s">
        <v>9341</v>
      </c>
      <c r="G402" t="s">
        <v>9340</v>
      </c>
      <c r="H402" t="s">
        <v>7968</v>
      </c>
      <c r="I402" t="s">
        <v>9340</v>
      </c>
      <c r="J402" t="s">
        <v>9341</v>
      </c>
      <c r="K402" t="s">
        <v>9340</v>
      </c>
    </row>
    <row r="403" spans="1:11" s="1" customFormat="1" x14ac:dyDescent="0.25">
      <c r="A403" t="s">
        <v>9342</v>
      </c>
      <c r="B403" t="s">
        <v>9343</v>
      </c>
      <c r="C403" s="111"/>
      <c r="D403" t="s">
        <v>9344</v>
      </c>
      <c r="E403">
        <v>2836</v>
      </c>
      <c r="F403" t="s">
        <v>9345</v>
      </c>
      <c r="G403" t="s">
        <v>9343</v>
      </c>
      <c r="H403" t="s">
        <v>7968</v>
      </c>
      <c r="I403" t="s">
        <v>9343</v>
      </c>
      <c r="J403" t="s">
        <v>9345</v>
      </c>
      <c r="K403" t="s">
        <v>13185</v>
      </c>
    </row>
    <row r="404" spans="1:11" s="1" customFormat="1" x14ac:dyDescent="0.25">
      <c r="A404" t="s">
        <v>9346</v>
      </c>
      <c r="B404" t="s">
        <v>9347</v>
      </c>
      <c r="C404" s="111"/>
      <c r="D404" t="s">
        <v>9348</v>
      </c>
      <c r="E404">
        <v>416</v>
      </c>
      <c r="F404" t="s">
        <v>9349</v>
      </c>
      <c r="G404" t="s">
        <v>9347</v>
      </c>
      <c r="H404" t="s">
        <v>7968</v>
      </c>
      <c r="I404" t="s">
        <v>9347</v>
      </c>
      <c r="J404" t="s">
        <v>9349</v>
      </c>
      <c r="K404" t="s">
        <v>9347</v>
      </c>
    </row>
    <row r="405" spans="1:11" s="1" customFormat="1" x14ac:dyDescent="0.25">
      <c r="A405" t="s">
        <v>9350</v>
      </c>
      <c r="B405" t="s">
        <v>9351</v>
      </c>
      <c r="C405" s="111"/>
      <c r="D405" t="s">
        <v>8047</v>
      </c>
      <c r="E405">
        <v>1144</v>
      </c>
      <c r="F405" t="s">
        <v>9352</v>
      </c>
      <c r="G405" t="s">
        <v>9351</v>
      </c>
      <c r="H405" t="s">
        <v>7968</v>
      </c>
      <c r="I405" t="s">
        <v>9351</v>
      </c>
      <c r="J405" t="s">
        <v>9352</v>
      </c>
      <c r="K405" t="s">
        <v>9351</v>
      </c>
    </row>
    <row r="406" spans="1:11" s="1" customFormat="1" x14ac:dyDescent="0.25">
      <c r="A406" t="s">
        <v>9353</v>
      </c>
      <c r="B406" t="s">
        <v>9354</v>
      </c>
      <c r="C406" s="111"/>
      <c r="D406" t="s">
        <v>8806</v>
      </c>
      <c r="E406">
        <v>3001</v>
      </c>
      <c r="F406" t="s">
        <v>9355</v>
      </c>
      <c r="G406" t="s">
        <v>9354</v>
      </c>
      <c r="H406" t="s">
        <v>7968</v>
      </c>
      <c r="I406" t="s">
        <v>9354</v>
      </c>
      <c r="J406" t="s">
        <v>9355</v>
      </c>
      <c r="K406" t="s">
        <v>9354</v>
      </c>
    </row>
    <row r="407" spans="1:11" s="1" customFormat="1" x14ac:dyDescent="0.25">
      <c r="A407" t="s">
        <v>9356</v>
      </c>
      <c r="B407" t="s">
        <v>9357</v>
      </c>
      <c r="C407" s="111"/>
      <c r="D407" t="s">
        <v>8011</v>
      </c>
      <c r="E407">
        <v>37</v>
      </c>
      <c r="F407" t="s">
        <v>9358</v>
      </c>
      <c r="G407" t="s">
        <v>9357</v>
      </c>
      <c r="H407" t="s">
        <v>7968</v>
      </c>
      <c r="I407" t="s">
        <v>9357</v>
      </c>
      <c r="J407" t="s">
        <v>9358</v>
      </c>
      <c r="K407" t="s">
        <v>9357</v>
      </c>
    </row>
    <row r="408" spans="1:11" s="1" customFormat="1" x14ac:dyDescent="0.25">
      <c r="A408" t="s">
        <v>9359</v>
      </c>
      <c r="B408" t="s">
        <v>9360</v>
      </c>
      <c r="C408" s="111"/>
      <c r="D408" t="s">
        <v>9361</v>
      </c>
      <c r="E408">
        <v>623</v>
      </c>
      <c r="F408" t="s">
        <v>9362</v>
      </c>
      <c r="G408" t="s">
        <v>9360</v>
      </c>
      <c r="H408" t="s">
        <v>7968</v>
      </c>
      <c r="I408" t="s">
        <v>9360</v>
      </c>
      <c r="J408" t="s">
        <v>9362</v>
      </c>
      <c r="K408" t="s">
        <v>9360</v>
      </c>
    </row>
    <row r="409" spans="1:11" s="1" customFormat="1" x14ac:dyDescent="0.25">
      <c r="A409" t="s">
        <v>9363</v>
      </c>
      <c r="B409" t="s">
        <v>9364</v>
      </c>
      <c r="C409" s="111"/>
      <c r="D409" t="s">
        <v>8682</v>
      </c>
      <c r="E409">
        <v>599</v>
      </c>
      <c r="F409" t="s">
        <v>9365</v>
      </c>
      <c r="G409" t="s">
        <v>9364</v>
      </c>
      <c r="H409" t="s">
        <v>7968</v>
      </c>
      <c r="I409" t="s">
        <v>9364</v>
      </c>
      <c r="J409" t="s">
        <v>9365</v>
      </c>
      <c r="K409" t="s">
        <v>9364</v>
      </c>
    </row>
    <row r="410" spans="1:11" s="1" customFormat="1" x14ac:dyDescent="0.25">
      <c r="A410" t="s">
        <v>9366</v>
      </c>
      <c r="B410" t="s">
        <v>9367</v>
      </c>
      <c r="C410" s="111"/>
      <c r="D410" t="s">
        <v>9368</v>
      </c>
      <c r="E410">
        <v>575</v>
      </c>
      <c r="F410" t="s">
        <v>9369</v>
      </c>
      <c r="G410" t="s">
        <v>9367</v>
      </c>
      <c r="H410" t="s">
        <v>7968</v>
      </c>
      <c r="I410" t="s">
        <v>9367</v>
      </c>
      <c r="J410" t="s">
        <v>9369</v>
      </c>
      <c r="K410" t="s">
        <v>9360</v>
      </c>
    </row>
    <row r="411" spans="1:11" s="1" customFormat="1" x14ac:dyDescent="0.25">
      <c r="A411" t="s">
        <v>9370</v>
      </c>
      <c r="B411" t="s">
        <v>9371</v>
      </c>
      <c r="C411" s="111"/>
      <c r="D411" t="s">
        <v>9372</v>
      </c>
      <c r="E411">
        <v>1597</v>
      </c>
      <c r="F411" t="s">
        <v>9373</v>
      </c>
      <c r="G411" t="s">
        <v>9371</v>
      </c>
      <c r="H411" t="s">
        <v>7968</v>
      </c>
      <c r="I411" t="s">
        <v>9371</v>
      </c>
      <c r="J411" t="s">
        <v>9373</v>
      </c>
      <c r="K411" t="s">
        <v>9404</v>
      </c>
    </row>
    <row r="412" spans="1:11" s="1" customFormat="1" x14ac:dyDescent="0.25">
      <c r="A412" t="s">
        <v>9374</v>
      </c>
      <c r="B412" t="s">
        <v>9375</v>
      </c>
      <c r="C412" s="111"/>
      <c r="D412" t="s">
        <v>9376</v>
      </c>
      <c r="E412">
        <v>322</v>
      </c>
      <c r="F412" t="s">
        <v>9377</v>
      </c>
      <c r="G412" t="s">
        <v>9375</v>
      </c>
      <c r="H412" t="s">
        <v>7968</v>
      </c>
      <c r="I412" t="s">
        <v>9375</v>
      </c>
      <c r="J412" t="s">
        <v>9377</v>
      </c>
      <c r="K412" t="s">
        <v>8343</v>
      </c>
    </row>
    <row r="413" spans="1:11" s="1" customFormat="1" x14ac:dyDescent="0.25">
      <c r="A413" t="s">
        <v>9378</v>
      </c>
      <c r="B413" t="s">
        <v>8945</v>
      </c>
      <c r="C413" s="111"/>
      <c r="D413" t="s">
        <v>8051</v>
      </c>
      <c r="E413">
        <v>359</v>
      </c>
      <c r="F413" t="s">
        <v>9379</v>
      </c>
      <c r="G413" t="s">
        <v>8945</v>
      </c>
      <c r="H413" t="s">
        <v>7968</v>
      </c>
      <c r="I413" t="s">
        <v>8945</v>
      </c>
      <c r="J413" t="s">
        <v>9379</v>
      </c>
      <c r="K413" t="s">
        <v>8945</v>
      </c>
    </row>
    <row r="414" spans="1:11" s="1" customFormat="1" x14ac:dyDescent="0.25">
      <c r="A414" t="s">
        <v>9380</v>
      </c>
      <c r="B414" t="s">
        <v>9381</v>
      </c>
      <c r="C414" s="111"/>
      <c r="D414" t="s">
        <v>9382</v>
      </c>
      <c r="E414">
        <v>55</v>
      </c>
      <c r="F414" t="s">
        <v>9383</v>
      </c>
      <c r="G414" t="s">
        <v>9381</v>
      </c>
      <c r="H414" t="s">
        <v>7968</v>
      </c>
      <c r="I414" t="s">
        <v>9381</v>
      </c>
      <c r="J414" t="s">
        <v>9383</v>
      </c>
      <c r="K414" t="s">
        <v>13174</v>
      </c>
    </row>
    <row r="415" spans="1:11" s="1" customFormat="1" x14ac:dyDescent="0.25">
      <c r="A415" t="s">
        <v>9384</v>
      </c>
      <c r="B415" t="s">
        <v>9385</v>
      </c>
      <c r="C415" s="111"/>
      <c r="D415" t="s">
        <v>9386</v>
      </c>
      <c r="E415">
        <v>2450</v>
      </c>
      <c r="F415" t="s">
        <v>9387</v>
      </c>
      <c r="G415" t="s">
        <v>9225</v>
      </c>
      <c r="H415" t="s">
        <v>7968</v>
      </c>
      <c r="I415" t="s">
        <v>9385</v>
      </c>
      <c r="J415" t="s">
        <v>9387</v>
      </c>
      <c r="K415" t="s">
        <v>9219</v>
      </c>
    </row>
    <row r="416" spans="1:11" s="1" customFormat="1" x14ac:dyDescent="0.25">
      <c r="A416" t="s">
        <v>9388</v>
      </c>
      <c r="B416" t="s">
        <v>9389</v>
      </c>
      <c r="C416" s="111"/>
      <c r="D416" t="s">
        <v>9390</v>
      </c>
      <c r="E416">
        <v>1101</v>
      </c>
      <c r="F416" t="s">
        <v>9391</v>
      </c>
      <c r="G416" t="s">
        <v>8264</v>
      </c>
      <c r="H416" t="s">
        <v>7968</v>
      </c>
      <c r="I416" t="s">
        <v>9389</v>
      </c>
      <c r="J416" t="s">
        <v>9391</v>
      </c>
      <c r="K416" t="s">
        <v>13171</v>
      </c>
    </row>
    <row r="417" spans="1:11" s="1" customFormat="1" x14ac:dyDescent="0.25">
      <c r="A417" t="s">
        <v>9392</v>
      </c>
      <c r="B417" t="s">
        <v>9393</v>
      </c>
      <c r="C417" s="111"/>
      <c r="D417" t="s">
        <v>8258</v>
      </c>
      <c r="E417">
        <v>90</v>
      </c>
      <c r="F417" t="s">
        <v>9394</v>
      </c>
      <c r="G417" t="s">
        <v>9393</v>
      </c>
      <c r="H417" t="s">
        <v>7968</v>
      </c>
      <c r="I417" t="s">
        <v>9393</v>
      </c>
      <c r="J417" t="s">
        <v>9394</v>
      </c>
      <c r="K417" t="s">
        <v>8237</v>
      </c>
    </row>
    <row r="418" spans="1:11" s="1" customFormat="1" x14ac:dyDescent="0.25">
      <c r="A418" t="s">
        <v>9395</v>
      </c>
      <c r="B418" t="s">
        <v>9396</v>
      </c>
      <c r="C418" s="111"/>
      <c r="D418" t="s">
        <v>8514</v>
      </c>
      <c r="E418">
        <v>164</v>
      </c>
      <c r="F418" t="s">
        <v>9397</v>
      </c>
      <c r="G418" t="s">
        <v>9396</v>
      </c>
      <c r="H418" t="s">
        <v>7968</v>
      </c>
      <c r="I418" t="s">
        <v>9396</v>
      </c>
      <c r="J418" t="s">
        <v>9397</v>
      </c>
      <c r="K418" t="s">
        <v>9284</v>
      </c>
    </row>
    <row r="419" spans="1:11" s="1" customFormat="1" x14ac:dyDescent="0.25">
      <c r="A419" t="s">
        <v>9398</v>
      </c>
      <c r="B419" t="s">
        <v>9399</v>
      </c>
      <c r="C419" s="111"/>
      <c r="D419" t="s">
        <v>9400</v>
      </c>
      <c r="E419">
        <v>0</v>
      </c>
      <c r="F419" t="s">
        <v>9402</v>
      </c>
      <c r="G419" t="s">
        <v>9401</v>
      </c>
      <c r="H419" t="s">
        <v>7968</v>
      </c>
      <c r="I419" t="s">
        <v>9399</v>
      </c>
      <c r="J419" t="s">
        <v>9402</v>
      </c>
      <c r="K419" t="s">
        <v>13182</v>
      </c>
    </row>
    <row r="420" spans="1:11" s="1" customFormat="1" x14ac:dyDescent="0.25">
      <c r="A420" t="s">
        <v>9403</v>
      </c>
      <c r="B420" t="s">
        <v>9404</v>
      </c>
      <c r="C420" s="111"/>
      <c r="D420" t="s">
        <v>9405</v>
      </c>
      <c r="E420">
        <v>0</v>
      </c>
      <c r="F420" t="s">
        <v>9406</v>
      </c>
      <c r="G420" t="s">
        <v>9404</v>
      </c>
      <c r="H420" t="s">
        <v>7968</v>
      </c>
      <c r="I420" t="s">
        <v>9404</v>
      </c>
      <c r="J420" t="s">
        <v>9406</v>
      </c>
      <c r="K420" t="s">
        <v>9404</v>
      </c>
    </row>
    <row r="421" spans="1:11" s="1" customFormat="1" x14ac:dyDescent="0.25">
      <c r="A421" t="s">
        <v>9407</v>
      </c>
      <c r="B421" t="s">
        <v>9408</v>
      </c>
      <c r="C421" s="111"/>
      <c r="D421" t="s">
        <v>9409</v>
      </c>
      <c r="E421">
        <v>0</v>
      </c>
      <c r="F421" t="s">
        <v>9410</v>
      </c>
      <c r="G421" t="s">
        <v>9408</v>
      </c>
      <c r="H421" t="s">
        <v>7968</v>
      </c>
      <c r="I421" t="s">
        <v>9408</v>
      </c>
      <c r="J421" t="s">
        <v>9410</v>
      </c>
      <c r="K421" t="s">
        <v>8343</v>
      </c>
    </row>
    <row r="422" spans="1:11" s="1" customFormat="1" x14ac:dyDescent="0.25">
      <c r="A422" t="s">
        <v>9411</v>
      </c>
      <c r="B422" t="s">
        <v>9412</v>
      </c>
      <c r="C422" s="111"/>
      <c r="D422" t="s">
        <v>9413</v>
      </c>
      <c r="E422">
        <v>399</v>
      </c>
      <c r="F422" t="s">
        <v>9414</v>
      </c>
      <c r="G422" t="s">
        <v>8941</v>
      </c>
      <c r="H422" t="s">
        <v>7968</v>
      </c>
      <c r="I422" t="s">
        <v>9412</v>
      </c>
      <c r="J422" t="s">
        <v>9414</v>
      </c>
      <c r="K422" t="s">
        <v>8941</v>
      </c>
    </row>
    <row r="423" spans="1:11" s="1" customFormat="1" x14ac:dyDescent="0.25">
      <c r="A423" t="s">
        <v>9415</v>
      </c>
      <c r="B423" t="s">
        <v>9416</v>
      </c>
      <c r="C423" s="111"/>
      <c r="D423" t="s">
        <v>9417</v>
      </c>
      <c r="E423">
        <v>1363</v>
      </c>
      <c r="F423" t="s">
        <v>9418</v>
      </c>
      <c r="G423" t="s">
        <v>9416</v>
      </c>
      <c r="H423" t="s">
        <v>7968</v>
      </c>
      <c r="I423" t="s">
        <v>9416</v>
      </c>
      <c r="J423" t="s">
        <v>9418</v>
      </c>
      <c r="K423" t="s">
        <v>9133</v>
      </c>
    </row>
    <row r="424" spans="1:11" s="1" customFormat="1" x14ac:dyDescent="0.25">
      <c r="A424" t="s">
        <v>9419</v>
      </c>
      <c r="B424" t="s">
        <v>9420</v>
      </c>
      <c r="C424" s="111"/>
      <c r="D424" t="s">
        <v>8507</v>
      </c>
      <c r="E424">
        <v>173</v>
      </c>
      <c r="F424" t="s">
        <v>9421</v>
      </c>
      <c r="G424" t="s">
        <v>9420</v>
      </c>
      <c r="H424" t="s">
        <v>7968</v>
      </c>
      <c r="I424" t="s">
        <v>9420</v>
      </c>
      <c r="J424" t="s">
        <v>9421</v>
      </c>
      <c r="K424" t="s">
        <v>13177</v>
      </c>
    </row>
    <row r="425" spans="1:11" s="1" customFormat="1" x14ac:dyDescent="0.25">
      <c r="A425" t="s">
        <v>9422</v>
      </c>
      <c r="B425" t="s">
        <v>9423</v>
      </c>
      <c r="C425" s="111"/>
      <c r="D425" t="s">
        <v>9424</v>
      </c>
      <c r="E425">
        <v>177</v>
      </c>
      <c r="F425" t="s">
        <v>9425</v>
      </c>
      <c r="G425" t="s">
        <v>9423</v>
      </c>
      <c r="H425" t="s">
        <v>7968</v>
      </c>
      <c r="I425" t="s">
        <v>9423</v>
      </c>
      <c r="J425" t="s">
        <v>9425</v>
      </c>
      <c r="K425" t="s">
        <v>13177</v>
      </c>
    </row>
    <row r="426" spans="1:11" s="1" customFormat="1" x14ac:dyDescent="0.25">
      <c r="A426" t="s">
        <v>9426</v>
      </c>
      <c r="B426" t="s">
        <v>9427</v>
      </c>
      <c r="C426" s="111"/>
      <c r="D426" t="s">
        <v>8360</v>
      </c>
      <c r="E426">
        <v>670</v>
      </c>
      <c r="F426" t="s">
        <v>9428</v>
      </c>
      <c r="G426" t="s">
        <v>8343</v>
      </c>
      <c r="H426" t="s">
        <v>7968</v>
      </c>
      <c r="I426" t="s">
        <v>9427</v>
      </c>
      <c r="J426" t="s">
        <v>9428</v>
      </c>
      <c r="K426" t="s">
        <v>8343</v>
      </c>
    </row>
    <row r="427" spans="1:11" s="1" customFormat="1" x14ac:dyDescent="0.25">
      <c r="A427" t="s">
        <v>9429</v>
      </c>
      <c r="B427" t="s">
        <v>9430</v>
      </c>
      <c r="C427" s="111"/>
      <c r="D427" t="s">
        <v>8813</v>
      </c>
      <c r="E427">
        <v>0</v>
      </c>
      <c r="F427" t="s">
        <v>9431</v>
      </c>
      <c r="G427" t="s">
        <v>9430</v>
      </c>
      <c r="H427" t="s">
        <v>7968</v>
      </c>
      <c r="I427" t="s">
        <v>9430</v>
      </c>
      <c r="J427" t="s">
        <v>9431</v>
      </c>
      <c r="K427" t="s">
        <v>8466</v>
      </c>
    </row>
    <row r="428" spans="1:11" s="1" customFormat="1" x14ac:dyDescent="0.25">
      <c r="A428" t="s">
        <v>9432</v>
      </c>
      <c r="B428" t="s">
        <v>9433</v>
      </c>
      <c r="C428" s="111"/>
      <c r="D428" t="s">
        <v>8095</v>
      </c>
      <c r="E428">
        <v>429</v>
      </c>
      <c r="F428" t="s">
        <v>9434</v>
      </c>
      <c r="G428" t="s">
        <v>8046</v>
      </c>
      <c r="H428" t="s">
        <v>7968</v>
      </c>
      <c r="I428" t="s">
        <v>9433</v>
      </c>
      <c r="J428" t="s">
        <v>9434</v>
      </c>
      <c r="K428" t="s">
        <v>8046</v>
      </c>
    </row>
    <row r="429" spans="1:11" s="1" customFormat="1" x14ac:dyDescent="0.25">
      <c r="A429" t="s">
        <v>9435</v>
      </c>
      <c r="B429" t="s">
        <v>9436</v>
      </c>
      <c r="C429" s="111"/>
      <c r="D429" t="s">
        <v>9437</v>
      </c>
      <c r="E429">
        <v>1342</v>
      </c>
      <c r="F429" t="s">
        <v>9438</v>
      </c>
      <c r="G429" t="s">
        <v>8343</v>
      </c>
      <c r="H429" t="s">
        <v>7968</v>
      </c>
      <c r="I429" t="s">
        <v>9436</v>
      </c>
      <c r="J429" t="s">
        <v>9438</v>
      </c>
      <c r="K429" t="s">
        <v>8343</v>
      </c>
    </row>
    <row r="430" spans="1:11" s="1" customFormat="1" x14ac:dyDescent="0.25">
      <c r="A430" t="s">
        <v>9439</v>
      </c>
      <c r="B430" t="s">
        <v>9440</v>
      </c>
      <c r="C430" s="111"/>
      <c r="D430" t="s">
        <v>8401</v>
      </c>
      <c r="E430">
        <v>579</v>
      </c>
      <c r="F430" t="s">
        <v>9441</v>
      </c>
      <c r="G430" t="s">
        <v>8941</v>
      </c>
      <c r="H430" t="s">
        <v>7968</v>
      </c>
      <c r="I430" t="s">
        <v>9440</v>
      </c>
      <c r="J430" t="s">
        <v>9441</v>
      </c>
      <c r="K430" t="s">
        <v>8941</v>
      </c>
    </row>
    <row r="431" spans="1:11" s="1" customFormat="1" x14ac:dyDescent="0.25">
      <c r="A431" t="s">
        <v>9442</v>
      </c>
      <c r="B431" t="s">
        <v>9443</v>
      </c>
      <c r="C431" s="111"/>
      <c r="D431" t="s">
        <v>9444</v>
      </c>
      <c r="E431">
        <v>2766</v>
      </c>
      <c r="F431" t="s">
        <v>9445</v>
      </c>
      <c r="G431" t="s">
        <v>9443</v>
      </c>
      <c r="H431" t="s">
        <v>7968</v>
      </c>
      <c r="I431" t="s">
        <v>9443</v>
      </c>
      <c r="J431" t="s">
        <v>9445</v>
      </c>
      <c r="K431" t="s">
        <v>13171</v>
      </c>
    </row>
    <row r="432" spans="1:11" s="1" customFormat="1" x14ac:dyDescent="0.25">
      <c r="A432" t="s">
        <v>9446</v>
      </c>
      <c r="B432" t="s">
        <v>9447</v>
      </c>
      <c r="C432" s="111"/>
      <c r="D432" t="s">
        <v>9448</v>
      </c>
      <c r="E432">
        <v>1764</v>
      </c>
      <c r="F432" t="s">
        <v>9449</v>
      </c>
      <c r="G432" t="s">
        <v>9447</v>
      </c>
      <c r="H432" t="s">
        <v>7968</v>
      </c>
      <c r="I432" t="s">
        <v>9447</v>
      </c>
      <c r="J432" t="s">
        <v>9449</v>
      </c>
      <c r="K432" t="s">
        <v>8061</v>
      </c>
    </row>
    <row r="433" spans="1:11" s="1" customFormat="1" x14ac:dyDescent="0.25">
      <c r="A433" t="s">
        <v>9450</v>
      </c>
      <c r="B433" t="s">
        <v>9451</v>
      </c>
      <c r="C433" s="111"/>
      <c r="D433" t="s">
        <v>9452</v>
      </c>
      <c r="E433">
        <v>1753</v>
      </c>
      <c r="F433" t="s">
        <v>9453</v>
      </c>
      <c r="G433" t="s">
        <v>7967</v>
      </c>
      <c r="H433" t="s">
        <v>7968</v>
      </c>
      <c r="I433" t="s">
        <v>9451</v>
      </c>
      <c r="J433" t="s">
        <v>9453</v>
      </c>
      <c r="K433" t="s">
        <v>7967</v>
      </c>
    </row>
    <row r="434" spans="1:11" s="1" customFormat="1" x14ac:dyDescent="0.25">
      <c r="A434" t="s">
        <v>9454</v>
      </c>
      <c r="B434" t="s">
        <v>9455</v>
      </c>
      <c r="C434" s="111"/>
      <c r="D434" t="s">
        <v>9455</v>
      </c>
      <c r="E434"/>
      <c r="F434" t="s">
        <v>9456</v>
      </c>
      <c r="G434" t="s">
        <v>9455</v>
      </c>
      <c r="H434" t="s">
        <v>7968</v>
      </c>
      <c r="I434" t="s">
        <v>9455</v>
      </c>
      <c r="J434" t="s">
        <v>9456</v>
      </c>
      <c r="K434" t="s">
        <v>8343</v>
      </c>
    </row>
    <row r="435" spans="1:11" s="1" customFormat="1" x14ac:dyDescent="0.25">
      <c r="A435" t="s">
        <v>9457</v>
      </c>
      <c r="B435" t="s">
        <v>9458</v>
      </c>
      <c r="C435" s="111"/>
      <c r="D435" t="s">
        <v>8242</v>
      </c>
      <c r="E435">
        <v>0</v>
      </c>
      <c r="F435" t="s">
        <v>9460</v>
      </c>
      <c r="G435" t="s">
        <v>9459</v>
      </c>
      <c r="H435" t="s">
        <v>7968</v>
      </c>
      <c r="I435" t="s">
        <v>9458</v>
      </c>
      <c r="J435" t="s">
        <v>9460</v>
      </c>
      <c r="K435" t="s">
        <v>7971</v>
      </c>
    </row>
    <row r="436" spans="1:11" s="1" customFormat="1" x14ac:dyDescent="0.25">
      <c r="A436" t="s">
        <v>9461</v>
      </c>
      <c r="B436" t="s">
        <v>9462</v>
      </c>
      <c r="C436" s="111"/>
      <c r="D436" t="s">
        <v>9463</v>
      </c>
      <c r="E436">
        <v>1043</v>
      </c>
      <c r="F436" t="s">
        <v>9464</v>
      </c>
      <c r="G436" t="s">
        <v>9462</v>
      </c>
      <c r="H436" t="s">
        <v>7968</v>
      </c>
      <c r="I436" t="s">
        <v>9462</v>
      </c>
      <c r="J436" t="s">
        <v>9464</v>
      </c>
      <c r="K436" t="s">
        <v>8112</v>
      </c>
    </row>
    <row r="437" spans="1:11" s="1" customFormat="1" x14ac:dyDescent="0.25">
      <c r="A437" t="s">
        <v>9465</v>
      </c>
      <c r="B437" t="s">
        <v>9466</v>
      </c>
      <c r="C437" s="111"/>
      <c r="D437" t="s">
        <v>8242</v>
      </c>
      <c r="E437">
        <v>26</v>
      </c>
      <c r="F437" t="s">
        <v>9467</v>
      </c>
      <c r="G437" t="s">
        <v>9466</v>
      </c>
      <c r="H437" t="s">
        <v>7968</v>
      </c>
      <c r="I437" t="s">
        <v>9466</v>
      </c>
      <c r="J437" t="s">
        <v>9467</v>
      </c>
      <c r="K437" t="s">
        <v>8830</v>
      </c>
    </row>
    <row r="438" spans="1:11" s="1" customFormat="1" x14ac:dyDescent="0.25">
      <c r="A438" t="s">
        <v>9468</v>
      </c>
      <c r="B438" t="s">
        <v>9469</v>
      </c>
      <c r="C438" s="111"/>
      <c r="D438" t="s">
        <v>9470</v>
      </c>
      <c r="E438">
        <v>1960</v>
      </c>
      <c r="F438" t="s">
        <v>9472</v>
      </c>
      <c r="G438" t="s">
        <v>9471</v>
      </c>
      <c r="H438" t="s">
        <v>7968</v>
      </c>
      <c r="I438" t="s">
        <v>9469</v>
      </c>
      <c r="J438" t="s">
        <v>9472</v>
      </c>
      <c r="K438" t="s">
        <v>8116</v>
      </c>
    </row>
    <row r="439" spans="1:11" s="1" customFormat="1" x14ac:dyDescent="0.25">
      <c r="A439" t="s">
        <v>9473</v>
      </c>
      <c r="B439" t="s">
        <v>9474</v>
      </c>
      <c r="C439" s="111"/>
      <c r="D439" t="s">
        <v>8502</v>
      </c>
      <c r="E439">
        <v>1846</v>
      </c>
      <c r="F439" t="s">
        <v>9476</v>
      </c>
      <c r="G439" t="s">
        <v>9475</v>
      </c>
      <c r="H439" t="s">
        <v>7968</v>
      </c>
      <c r="I439" t="s">
        <v>9474</v>
      </c>
      <c r="J439" t="s">
        <v>9476</v>
      </c>
      <c r="K439" t="s">
        <v>8901</v>
      </c>
    </row>
    <row r="440" spans="1:11" s="1" customFormat="1" x14ac:dyDescent="0.25">
      <c r="A440" t="s">
        <v>9477</v>
      </c>
      <c r="B440" t="s">
        <v>9478</v>
      </c>
      <c r="C440" s="111"/>
      <c r="D440" t="s">
        <v>9479</v>
      </c>
      <c r="E440">
        <v>321</v>
      </c>
      <c r="F440" t="s">
        <v>9482</v>
      </c>
      <c r="G440" t="s">
        <v>9480</v>
      </c>
      <c r="H440" t="s">
        <v>9481</v>
      </c>
      <c r="I440" t="s">
        <v>9478</v>
      </c>
      <c r="J440" t="s">
        <v>9482</v>
      </c>
      <c r="K440" t="s">
        <v>9481</v>
      </c>
    </row>
    <row r="441" spans="1:11" s="1" customFormat="1" x14ac:dyDescent="0.25">
      <c r="A441" t="s">
        <v>9483</v>
      </c>
      <c r="B441" t="s">
        <v>9484</v>
      </c>
      <c r="C441" s="111"/>
      <c r="D441" t="s">
        <v>9485</v>
      </c>
      <c r="E441">
        <v>770</v>
      </c>
      <c r="F441" t="s">
        <v>9486</v>
      </c>
      <c r="G441" t="s">
        <v>9480</v>
      </c>
      <c r="H441" t="s">
        <v>9481</v>
      </c>
      <c r="I441" t="s">
        <v>9484</v>
      </c>
      <c r="J441" t="s">
        <v>9486</v>
      </c>
      <c r="K441" t="s">
        <v>9481</v>
      </c>
    </row>
    <row r="442" spans="1:11" s="1" customFormat="1" x14ac:dyDescent="0.25">
      <c r="A442" t="s">
        <v>9487</v>
      </c>
      <c r="B442" t="s">
        <v>9488</v>
      </c>
      <c r="C442" s="111"/>
      <c r="D442" t="s">
        <v>9489</v>
      </c>
      <c r="E442">
        <v>131</v>
      </c>
      <c r="F442" t="s">
        <v>9490</v>
      </c>
      <c r="G442" t="s">
        <v>9480</v>
      </c>
      <c r="H442" t="s">
        <v>9481</v>
      </c>
      <c r="I442" t="s">
        <v>9488</v>
      </c>
      <c r="J442" t="s">
        <v>9490</v>
      </c>
      <c r="K442" t="s">
        <v>9481</v>
      </c>
    </row>
    <row r="443" spans="1:11" s="1" customFormat="1" x14ac:dyDescent="0.25">
      <c r="A443" t="s">
        <v>9491</v>
      </c>
      <c r="B443" t="s">
        <v>9492</v>
      </c>
      <c r="C443" s="111"/>
      <c r="D443" t="s">
        <v>9479</v>
      </c>
      <c r="E443">
        <v>2821</v>
      </c>
      <c r="F443" t="s">
        <v>9493</v>
      </c>
      <c r="G443" t="s">
        <v>9480</v>
      </c>
      <c r="H443" t="s">
        <v>9481</v>
      </c>
      <c r="I443" t="s">
        <v>9492</v>
      </c>
      <c r="J443" t="s">
        <v>9493</v>
      </c>
      <c r="K443" t="s">
        <v>9481</v>
      </c>
    </row>
    <row r="444" spans="1:11" s="1" customFormat="1" x14ac:dyDescent="0.25">
      <c r="A444" t="s">
        <v>9494</v>
      </c>
      <c r="B444" t="s">
        <v>9495</v>
      </c>
      <c r="C444" s="111"/>
      <c r="D444" t="s">
        <v>9496</v>
      </c>
      <c r="E444">
        <v>66</v>
      </c>
      <c r="F444" t="s">
        <v>9497</v>
      </c>
      <c r="G444" t="s">
        <v>9480</v>
      </c>
      <c r="H444" t="s">
        <v>9481</v>
      </c>
      <c r="I444" t="s">
        <v>9495</v>
      </c>
      <c r="J444" t="s">
        <v>9497</v>
      </c>
      <c r="K444" t="s">
        <v>9481</v>
      </c>
    </row>
    <row r="445" spans="1:11" s="1" customFormat="1" x14ac:dyDescent="0.25">
      <c r="A445" t="s">
        <v>9498</v>
      </c>
      <c r="B445" t="s">
        <v>9499</v>
      </c>
      <c r="C445" s="111"/>
      <c r="D445" t="s">
        <v>9500</v>
      </c>
      <c r="E445">
        <v>756</v>
      </c>
      <c r="F445" t="s">
        <v>9501</v>
      </c>
      <c r="G445" t="s">
        <v>9480</v>
      </c>
      <c r="H445" t="s">
        <v>9481</v>
      </c>
      <c r="I445" t="s">
        <v>9499</v>
      </c>
      <c r="J445" t="s">
        <v>9501</v>
      </c>
      <c r="K445" t="s">
        <v>9481</v>
      </c>
    </row>
    <row r="446" spans="1:11" s="1" customFormat="1" x14ac:dyDescent="0.25">
      <c r="A446" t="s">
        <v>9502</v>
      </c>
      <c r="B446" t="s">
        <v>9503</v>
      </c>
      <c r="C446" s="111"/>
      <c r="D446" t="s">
        <v>9504</v>
      </c>
      <c r="E446">
        <v>31</v>
      </c>
      <c r="F446" t="s">
        <v>9505</v>
      </c>
      <c r="G446" t="s">
        <v>9480</v>
      </c>
      <c r="H446" t="s">
        <v>9481</v>
      </c>
      <c r="I446" t="s">
        <v>9503</v>
      </c>
      <c r="J446" t="s">
        <v>9505</v>
      </c>
      <c r="K446" t="s">
        <v>9481</v>
      </c>
    </row>
    <row r="447" spans="1:11" s="1" customFormat="1" x14ac:dyDescent="0.25">
      <c r="A447" t="s">
        <v>9506</v>
      </c>
      <c r="B447" t="s">
        <v>9068</v>
      </c>
      <c r="C447" s="111"/>
      <c r="D447" t="s">
        <v>8806</v>
      </c>
      <c r="E447">
        <v>11256</v>
      </c>
      <c r="F447" t="s">
        <v>9507</v>
      </c>
      <c r="G447" t="s">
        <v>9480</v>
      </c>
      <c r="H447" t="s">
        <v>9481</v>
      </c>
      <c r="I447" t="s">
        <v>9068</v>
      </c>
      <c r="J447" t="s">
        <v>9507</v>
      </c>
      <c r="K447" t="s">
        <v>9481</v>
      </c>
    </row>
    <row r="448" spans="1:11" s="1" customFormat="1" x14ac:dyDescent="0.25">
      <c r="A448" t="s">
        <v>9508</v>
      </c>
      <c r="B448" t="s">
        <v>9509</v>
      </c>
      <c r="C448" s="111"/>
      <c r="D448" t="s">
        <v>9510</v>
      </c>
      <c r="E448">
        <v>5150</v>
      </c>
      <c r="F448" t="s">
        <v>9511</v>
      </c>
      <c r="G448" t="s">
        <v>9480</v>
      </c>
      <c r="H448" t="s">
        <v>9481</v>
      </c>
      <c r="I448" t="s">
        <v>9509</v>
      </c>
      <c r="J448" t="s">
        <v>9511</v>
      </c>
      <c r="K448" t="s">
        <v>9481</v>
      </c>
    </row>
    <row r="449" spans="1:11" s="1" customFormat="1" x14ac:dyDescent="0.25">
      <c r="A449" t="s">
        <v>9512</v>
      </c>
      <c r="B449" t="s">
        <v>9513</v>
      </c>
      <c r="C449" s="111"/>
      <c r="D449" t="s">
        <v>9489</v>
      </c>
      <c r="E449">
        <v>1577</v>
      </c>
      <c r="F449" t="s">
        <v>9514</v>
      </c>
      <c r="G449" t="s">
        <v>9480</v>
      </c>
      <c r="H449" t="s">
        <v>9481</v>
      </c>
      <c r="I449" t="s">
        <v>9513</v>
      </c>
      <c r="J449" t="s">
        <v>9514</v>
      </c>
      <c r="K449" t="s">
        <v>9481</v>
      </c>
    </row>
    <row r="450" spans="1:11" s="1" customFormat="1" x14ac:dyDescent="0.25">
      <c r="A450" t="s">
        <v>9515</v>
      </c>
      <c r="B450" t="s">
        <v>9516</v>
      </c>
      <c r="C450" s="111"/>
      <c r="D450" t="s">
        <v>9517</v>
      </c>
      <c r="E450">
        <v>815</v>
      </c>
      <c r="F450" t="s">
        <v>9518</v>
      </c>
      <c r="G450" t="s">
        <v>9480</v>
      </c>
      <c r="H450" t="s">
        <v>9481</v>
      </c>
      <c r="I450" t="s">
        <v>9516</v>
      </c>
      <c r="J450" t="s">
        <v>9518</v>
      </c>
      <c r="K450" t="s">
        <v>9481</v>
      </c>
    </row>
    <row r="451" spans="1:11" s="1" customFormat="1" x14ac:dyDescent="0.25">
      <c r="A451" t="s">
        <v>9519</v>
      </c>
      <c r="B451" t="s">
        <v>9520</v>
      </c>
      <c r="C451" s="111"/>
      <c r="D451" t="s">
        <v>9521</v>
      </c>
      <c r="E451">
        <v>1352</v>
      </c>
      <c r="F451" t="s">
        <v>9522</v>
      </c>
      <c r="G451" t="s">
        <v>9480</v>
      </c>
      <c r="H451" t="s">
        <v>9481</v>
      </c>
      <c r="I451" t="s">
        <v>9520</v>
      </c>
      <c r="J451" t="s">
        <v>9522</v>
      </c>
      <c r="K451" t="s">
        <v>9481</v>
      </c>
    </row>
    <row r="452" spans="1:11" s="1" customFormat="1" x14ac:dyDescent="0.25">
      <c r="A452" t="s">
        <v>9523</v>
      </c>
      <c r="B452" t="s">
        <v>9408</v>
      </c>
      <c r="C452" s="111"/>
      <c r="D452" t="s">
        <v>9524</v>
      </c>
      <c r="E452">
        <v>3702</v>
      </c>
      <c r="F452" t="s">
        <v>9525</v>
      </c>
      <c r="G452" t="s">
        <v>9480</v>
      </c>
      <c r="H452" t="s">
        <v>9481</v>
      </c>
      <c r="I452" t="s">
        <v>9408</v>
      </c>
      <c r="J452" t="s">
        <v>9525</v>
      </c>
      <c r="K452" t="s">
        <v>9481</v>
      </c>
    </row>
    <row r="453" spans="1:11" s="1" customFormat="1" x14ac:dyDescent="0.25">
      <c r="A453" t="s">
        <v>9526</v>
      </c>
      <c r="B453" t="s">
        <v>9527</v>
      </c>
      <c r="C453" s="111"/>
      <c r="D453" t="s">
        <v>8697</v>
      </c>
      <c r="E453">
        <v>2710</v>
      </c>
      <c r="F453" t="s">
        <v>9528</v>
      </c>
      <c r="G453" t="s">
        <v>9480</v>
      </c>
      <c r="H453" t="s">
        <v>9481</v>
      </c>
      <c r="I453" t="s">
        <v>9527</v>
      </c>
      <c r="J453" t="s">
        <v>9528</v>
      </c>
      <c r="K453" t="s">
        <v>9481</v>
      </c>
    </row>
    <row r="454" spans="1:11" s="1" customFormat="1" x14ac:dyDescent="0.25">
      <c r="A454" t="s">
        <v>9529</v>
      </c>
      <c r="B454" t="s">
        <v>9530</v>
      </c>
      <c r="C454" s="111"/>
      <c r="D454" t="s">
        <v>9531</v>
      </c>
      <c r="E454">
        <v>2901</v>
      </c>
      <c r="F454" t="s">
        <v>9532</v>
      </c>
      <c r="G454" t="s">
        <v>9480</v>
      </c>
      <c r="H454" t="s">
        <v>9481</v>
      </c>
      <c r="I454" t="s">
        <v>9530</v>
      </c>
      <c r="J454" t="s">
        <v>9532</v>
      </c>
      <c r="K454" t="s">
        <v>9481</v>
      </c>
    </row>
    <row r="455" spans="1:11" s="1" customFormat="1" x14ac:dyDescent="0.25">
      <c r="A455" t="s">
        <v>9533</v>
      </c>
      <c r="B455" t="s">
        <v>9534</v>
      </c>
      <c r="C455" s="111"/>
      <c r="D455" t="s">
        <v>9535</v>
      </c>
      <c r="E455">
        <v>4675</v>
      </c>
      <c r="F455" t="s">
        <v>9536</v>
      </c>
      <c r="G455" t="s">
        <v>9480</v>
      </c>
      <c r="H455" t="s">
        <v>9481</v>
      </c>
      <c r="I455" t="s">
        <v>9534</v>
      </c>
      <c r="J455" t="s">
        <v>9536</v>
      </c>
      <c r="K455" t="s">
        <v>9481</v>
      </c>
    </row>
    <row r="456" spans="1:11" s="1" customFormat="1" x14ac:dyDescent="0.25">
      <c r="A456" t="s">
        <v>9537</v>
      </c>
      <c r="B456" t="s">
        <v>9538</v>
      </c>
      <c r="C456" s="111"/>
      <c r="D456" t="s">
        <v>8697</v>
      </c>
      <c r="E456">
        <v>6354</v>
      </c>
      <c r="F456" t="s">
        <v>9539</v>
      </c>
      <c r="G456" t="s">
        <v>9480</v>
      </c>
      <c r="H456" t="s">
        <v>9481</v>
      </c>
      <c r="I456" t="s">
        <v>9538</v>
      </c>
      <c r="J456" t="s">
        <v>9539</v>
      </c>
      <c r="K456" t="s">
        <v>9481</v>
      </c>
    </row>
    <row r="457" spans="1:11" s="1" customFormat="1" x14ac:dyDescent="0.25">
      <c r="A457" t="s">
        <v>9540</v>
      </c>
      <c r="B457" t="s">
        <v>9541</v>
      </c>
      <c r="C457" s="111"/>
      <c r="D457" t="s">
        <v>8002</v>
      </c>
      <c r="E457">
        <v>698</v>
      </c>
      <c r="F457" t="s">
        <v>9542</v>
      </c>
      <c r="G457" t="s">
        <v>9480</v>
      </c>
      <c r="H457" t="s">
        <v>9481</v>
      </c>
      <c r="I457" t="s">
        <v>9541</v>
      </c>
      <c r="J457" t="s">
        <v>9542</v>
      </c>
      <c r="K457" t="s">
        <v>9481</v>
      </c>
    </row>
    <row r="458" spans="1:11" s="1" customFormat="1" x14ac:dyDescent="0.25">
      <c r="A458" t="s">
        <v>9543</v>
      </c>
      <c r="B458" t="s">
        <v>9544</v>
      </c>
      <c r="C458" s="111"/>
      <c r="D458" t="s">
        <v>9545</v>
      </c>
      <c r="E458">
        <v>452</v>
      </c>
      <c r="F458" t="s">
        <v>9546</v>
      </c>
      <c r="G458" t="s">
        <v>9480</v>
      </c>
      <c r="H458" t="s">
        <v>9481</v>
      </c>
      <c r="I458" t="s">
        <v>9544</v>
      </c>
      <c r="J458" t="s">
        <v>9546</v>
      </c>
      <c r="K458" t="s">
        <v>9481</v>
      </c>
    </row>
    <row r="459" spans="1:11" s="1" customFormat="1" x14ac:dyDescent="0.25">
      <c r="A459" t="s">
        <v>9547</v>
      </c>
      <c r="B459" t="s">
        <v>9548</v>
      </c>
      <c r="C459" s="111"/>
      <c r="D459" t="s">
        <v>9549</v>
      </c>
      <c r="E459">
        <v>176</v>
      </c>
      <c r="F459" t="s">
        <v>9550</v>
      </c>
      <c r="G459" t="s">
        <v>9480</v>
      </c>
      <c r="H459" t="s">
        <v>9481</v>
      </c>
      <c r="I459" t="s">
        <v>9548</v>
      </c>
      <c r="J459" t="s">
        <v>9550</v>
      </c>
      <c r="K459" t="s">
        <v>9481</v>
      </c>
    </row>
    <row r="460" spans="1:11" s="1" customFormat="1" x14ac:dyDescent="0.25">
      <c r="A460" t="s">
        <v>9551</v>
      </c>
      <c r="B460" t="s">
        <v>9552</v>
      </c>
      <c r="C460" s="111"/>
      <c r="D460" t="s">
        <v>9553</v>
      </c>
      <c r="E460">
        <v>3001</v>
      </c>
      <c r="F460" t="s">
        <v>9554</v>
      </c>
      <c r="G460" t="s">
        <v>9480</v>
      </c>
      <c r="H460" t="s">
        <v>9481</v>
      </c>
      <c r="I460" t="s">
        <v>9552</v>
      </c>
      <c r="J460" t="s">
        <v>9554</v>
      </c>
      <c r="K460" t="s">
        <v>9481</v>
      </c>
    </row>
    <row r="461" spans="1:11" s="1" customFormat="1" x14ac:dyDescent="0.25">
      <c r="A461" t="s">
        <v>9555</v>
      </c>
      <c r="B461" t="s">
        <v>9556</v>
      </c>
      <c r="C461" s="111"/>
      <c r="D461" t="s">
        <v>9557</v>
      </c>
      <c r="E461">
        <v>552</v>
      </c>
      <c r="F461" t="s">
        <v>9558</v>
      </c>
      <c r="G461" t="s">
        <v>9480</v>
      </c>
      <c r="H461" t="s">
        <v>9481</v>
      </c>
      <c r="I461" t="s">
        <v>9556</v>
      </c>
      <c r="J461" t="s">
        <v>9558</v>
      </c>
      <c r="K461" t="s">
        <v>9481</v>
      </c>
    </row>
    <row r="462" spans="1:11" s="1" customFormat="1" x14ac:dyDescent="0.25">
      <c r="A462" t="s">
        <v>9559</v>
      </c>
      <c r="B462" t="s">
        <v>9560</v>
      </c>
      <c r="C462" s="111"/>
      <c r="D462" t="s">
        <v>7998</v>
      </c>
      <c r="E462">
        <v>3882</v>
      </c>
      <c r="F462" t="s">
        <v>9561</v>
      </c>
      <c r="G462" t="s">
        <v>9480</v>
      </c>
      <c r="H462" t="s">
        <v>9481</v>
      </c>
      <c r="I462" t="s">
        <v>9560</v>
      </c>
      <c r="J462" t="s">
        <v>9561</v>
      </c>
      <c r="K462" t="s">
        <v>9481</v>
      </c>
    </row>
    <row r="463" spans="1:11" s="1" customFormat="1" x14ac:dyDescent="0.25">
      <c r="A463" t="s">
        <v>9562</v>
      </c>
      <c r="B463" t="s">
        <v>9563</v>
      </c>
      <c r="C463" s="111"/>
      <c r="D463" t="s">
        <v>9564</v>
      </c>
      <c r="E463">
        <v>2476</v>
      </c>
      <c r="F463" t="s">
        <v>9565</v>
      </c>
      <c r="G463" t="s">
        <v>9480</v>
      </c>
      <c r="H463" t="s">
        <v>9481</v>
      </c>
      <c r="I463" t="s">
        <v>9563</v>
      </c>
      <c r="J463" t="s">
        <v>9565</v>
      </c>
      <c r="K463" t="s">
        <v>9481</v>
      </c>
    </row>
    <row r="464" spans="1:11" s="1" customFormat="1" x14ac:dyDescent="0.25">
      <c r="A464" t="s">
        <v>9566</v>
      </c>
      <c r="B464" t="s">
        <v>9567</v>
      </c>
      <c r="C464" s="111"/>
      <c r="D464" t="s">
        <v>9568</v>
      </c>
      <c r="E464">
        <v>2349</v>
      </c>
      <c r="F464" t="s">
        <v>9569</v>
      </c>
      <c r="G464" t="s">
        <v>9480</v>
      </c>
      <c r="H464" t="s">
        <v>9481</v>
      </c>
      <c r="I464" t="s">
        <v>9567</v>
      </c>
      <c r="J464" t="s">
        <v>9569</v>
      </c>
      <c r="K464" t="s">
        <v>9481</v>
      </c>
    </row>
    <row r="465" spans="1:11" s="1" customFormat="1" x14ac:dyDescent="0.25">
      <c r="A465" t="s">
        <v>9570</v>
      </c>
      <c r="B465" t="s">
        <v>13943</v>
      </c>
      <c r="C465" s="111"/>
      <c r="D465" t="s">
        <v>9568</v>
      </c>
      <c r="E465">
        <v>4576</v>
      </c>
      <c r="F465" t="s">
        <v>9571</v>
      </c>
      <c r="G465" t="s">
        <v>9480</v>
      </c>
      <c r="H465" t="s">
        <v>9481</v>
      </c>
      <c r="I465" t="s">
        <v>13943</v>
      </c>
      <c r="J465" t="s">
        <v>9571</v>
      </c>
      <c r="K465" t="s">
        <v>9481</v>
      </c>
    </row>
    <row r="466" spans="1:11" s="1" customFormat="1" x14ac:dyDescent="0.25">
      <c r="A466" t="s">
        <v>9572</v>
      </c>
      <c r="B466" t="s">
        <v>9573</v>
      </c>
      <c r="C466" s="111"/>
      <c r="D466" t="s">
        <v>9574</v>
      </c>
      <c r="E466">
        <v>3381</v>
      </c>
      <c r="F466" t="s">
        <v>9575</v>
      </c>
      <c r="G466" t="s">
        <v>9480</v>
      </c>
      <c r="H466" t="s">
        <v>9481</v>
      </c>
      <c r="I466" t="s">
        <v>9573</v>
      </c>
      <c r="J466" t="s">
        <v>9575</v>
      </c>
      <c r="K466" t="s">
        <v>9481</v>
      </c>
    </row>
    <row r="467" spans="1:11" s="1" customFormat="1" x14ac:dyDescent="0.25">
      <c r="A467" t="s">
        <v>9576</v>
      </c>
      <c r="B467" t="s">
        <v>9577</v>
      </c>
      <c r="C467" s="111"/>
      <c r="D467" t="s">
        <v>9578</v>
      </c>
      <c r="E467">
        <v>5254</v>
      </c>
      <c r="F467" t="s">
        <v>9579</v>
      </c>
      <c r="G467" t="s">
        <v>9480</v>
      </c>
      <c r="H467" t="s">
        <v>9481</v>
      </c>
      <c r="I467" t="s">
        <v>9577</v>
      </c>
      <c r="J467" t="s">
        <v>9579</v>
      </c>
      <c r="K467" t="s">
        <v>9481</v>
      </c>
    </row>
    <row r="468" spans="1:11" s="1" customFormat="1" x14ac:dyDescent="0.25">
      <c r="A468" t="s">
        <v>9580</v>
      </c>
      <c r="B468" t="s">
        <v>9581</v>
      </c>
      <c r="C468" s="111"/>
      <c r="D468" t="s">
        <v>8168</v>
      </c>
      <c r="E468">
        <v>780</v>
      </c>
      <c r="F468" t="s">
        <v>9582</v>
      </c>
      <c r="G468" t="s">
        <v>9480</v>
      </c>
      <c r="H468" t="s">
        <v>9481</v>
      </c>
      <c r="I468" t="s">
        <v>9581</v>
      </c>
      <c r="J468" t="s">
        <v>9582</v>
      </c>
      <c r="K468" t="s">
        <v>9481</v>
      </c>
    </row>
    <row r="469" spans="1:11" s="1" customFormat="1" x14ac:dyDescent="0.25">
      <c r="A469" t="s">
        <v>9583</v>
      </c>
      <c r="B469" t="s">
        <v>9584</v>
      </c>
      <c r="C469" s="111"/>
      <c r="D469" t="s">
        <v>9585</v>
      </c>
      <c r="E469">
        <v>1750</v>
      </c>
      <c r="F469" t="s">
        <v>9586</v>
      </c>
      <c r="G469" t="s">
        <v>9480</v>
      </c>
      <c r="H469" t="s">
        <v>9481</v>
      </c>
      <c r="I469" t="s">
        <v>9584</v>
      </c>
      <c r="J469" t="s">
        <v>9586</v>
      </c>
      <c r="K469" t="s">
        <v>9481</v>
      </c>
    </row>
    <row r="470" spans="1:11" s="1" customFormat="1" x14ac:dyDescent="0.25">
      <c r="A470" t="s">
        <v>9587</v>
      </c>
      <c r="B470" t="s">
        <v>9588</v>
      </c>
      <c r="C470" s="111"/>
      <c r="D470" t="s">
        <v>9589</v>
      </c>
      <c r="E470">
        <v>1999</v>
      </c>
      <c r="F470" t="s">
        <v>9590</v>
      </c>
      <c r="G470" t="s">
        <v>9480</v>
      </c>
      <c r="H470" t="s">
        <v>9481</v>
      </c>
      <c r="I470" t="s">
        <v>9588</v>
      </c>
      <c r="J470" t="s">
        <v>9590</v>
      </c>
      <c r="K470" t="s">
        <v>9481</v>
      </c>
    </row>
    <row r="471" spans="1:11" s="1" customFormat="1" x14ac:dyDescent="0.25">
      <c r="A471" t="s">
        <v>9591</v>
      </c>
      <c r="B471" t="s">
        <v>9592</v>
      </c>
      <c r="C471" s="111"/>
      <c r="D471" t="s">
        <v>9593</v>
      </c>
      <c r="E471">
        <v>1954</v>
      </c>
      <c r="F471" t="s">
        <v>9594</v>
      </c>
      <c r="G471" t="s">
        <v>9480</v>
      </c>
      <c r="H471" t="s">
        <v>9481</v>
      </c>
      <c r="I471" t="s">
        <v>9592</v>
      </c>
      <c r="J471" t="s">
        <v>9594</v>
      </c>
      <c r="K471" t="s">
        <v>9481</v>
      </c>
    </row>
    <row r="472" spans="1:11" s="1" customFormat="1" x14ac:dyDescent="0.25">
      <c r="A472" t="s">
        <v>9595</v>
      </c>
      <c r="B472" t="s">
        <v>9596</v>
      </c>
      <c r="C472" s="111"/>
      <c r="D472" t="s">
        <v>9597</v>
      </c>
      <c r="E472">
        <v>753</v>
      </c>
      <c r="F472" t="s">
        <v>9598</v>
      </c>
      <c r="G472" t="s">
        <v>9480</v>
      </c>
      <c r="H472" t="s">
        <v>9481</v>
      </c>
      <c r="I472" t="s">
        <v>9596</v>
      </c>
      <c r="J472" t="s">
        <v>9598</v>
      </c>
      <c r="K472" t="s">
        <v>9481</v>
      </c>
    </row>
    <row r="473" spans="1:11" s="1" customFormat="1" x14ac:dyDescent="0.25">
      <c r="A473" t="s">
        <v>9599</v>
      </c>
      <c r="B473" t="s">
        <v>9600</v>
      </c>
      <c r="C473" s="111"/>
      <c r="D473" t="s">
        <v>9601</v>
      </c>
      <c r="E473">
        <v>2995</v>
      </c>
      <c r="F473" t="s">
        <v>9602</v>
      </c>
      <c r="G473" t="s">
        <v>9480</v>
      </c>
      <c r="H473" t="s">
        <v>9481</v>
      </c>
      <c r="I473" t="s">
        <v>9600</v>
      </c>
      <c r="J473" t="s">
        <v>9602</v>
      </c>
      <c r="K473" t="s">
        <v>9481</v>
      </c>
    </row>
    <row r="474" spans="1:11" s="1" customFormat="1" x14ac:dyDescent="0.25">
      <c r="A474" t="s">
        <v>9603</v>
      </c>
      <c r="B474" t="s">
        <v>9604</v>
      </c>
      <c r="C474" s="111"/>
      <c r="D474" t="s">
        <v>9605</v>
      </c>
      <c r="E474">
        <v>5719</v>
      </c>
      <c r="F474" t="s">
        <v>9606</v>
      </c>
      <c r="G474" t="s">
        <v>9480</v>
      </c>
      <c r="H474" t="s">
        <v>9481</v>
      </c>
      <c r="I474" t="s">
        <v>9604</v>
      </c>
      <c r="J474" t="s">
        <v>9606</v>
      </c>
      <c r="K474" t="s">
        <v>9481</v>
      </c>
    </row>
    <row r="475" spans="1:11" s="1" customFormat="1" x14ac:dyDescent="0.25">
      <c r="A475" t="s">
        <v>9607</v>
      </c>
      <c r="B475" t="s">
        <v>9608</v>
      </c>
      <c r="C475" s="111"/>
      <c r="D475" t="s">
        <v>9609</v>
      </c>
      <c r="E475">
        <v>5924</v>
      </c>
      <c r="F475" t="s">
        <v>9610</v>
      </c>
      <c r="G475" t="s">
        <v>9480</v>
      </c>
      <c r="H475" t="s">
        <v>9481</v>
      </c>
      <c r="I475" t="s">
        <v>9608</v>
      </c>
      <c r="J475" t="s">
        <v>9610</v>
      </c>
      <c r="K475" t="s">
        <v>9481</v>
      </c>
    </row>
    <row r="476" spans="1:11" s="1" customFormat="1" x14ac:dyDescent="0.25">
      <c r="A476" t="s">
        <v>9611</v>
      </c>
      <c r="B476" t="s">
        <v>9612</v>
      </c>
      <c r="C476" s="111"/>
      <c r="D476" t="s">
        <v>9613</v>
      </c>
      <c r="E476">
        <v>4624</v>
      </c>
      <c r="F476" t="s">
        <v>9614</v>
      </c>
      <c r="G476" t="s">
        <v>9480</v>
      </c>
      <c r="H476" t="s">
        <v>9481</v>
      </c>
      <c r="I476" t="s">
        <v>9612</v>
      </c>
      <c r="J476" t="s">
        <v>9614</v>
      </c>
      <c r="K476" t="s">
        <v>9481</v>
      </c>
    </row>
    <row r="477" spans="1:11" s="1" customFormat="1" x14ac:dyDescent="0.25">
      <c r="A477" t="s">
        <v>9615</v>
      </c>
      <c r="B477" t="s">
        <v>9616</v>
      </c>
      <c r="C477" s="111"/>
      <c r="D477" t="s">
        <v>9288</v>
      </c>
      <c r="E477">
        <v>24</v>
      </c>
      <c r="F477" t="s">
        <v>9617</v>
      </c>
      <c r="G477" t="s">
        <v>9480</v>
      </c>
      <c r="H477" t="s">
        <v>9481</v>
      </c>
      <c r="I477" t="s">
        <v>9616</v>
      </c>
      <c r="J477" t="s">
        <v>9617</v>
      </c>
      <c r="K477" t="s">
        <v>9481</v>
      </c>
    </row>
    <row r="478" spans="1:11" s="1" customFormat="1" x14ac:dyDescent="0.25">
      <c r="A478" t="s">
        <v>9618</v>
      </c>
      <c r="B478" t="s">
        <v>13944</v>
      </c>
      <c r="C478" s="111"/>
      <c r="D478" t="s">
        <v>8388</v>
      </c>
      <c r="E478">
        <v>1069</v>
      </c>
      <c r="F478" t="s">
        <v>9619</v>
      </c>
      <c r="G478" t="s">
        <v>9480</v>
      </c>
      <c r="H478" t="s">
        <v>9481</v>
      </c>
      <c r="I478" t="s">
        <v>13944</v>
      </c>
      <c r="J478" t="s">
        <v>9619</v>
      </c>
      <c r="K478" t="s">
        <v>9481</v>
      </c>
    </row>
    <row r="479" spans="1:11" s="1" customFormat="1" x14ac:dyDescent="0.25">
      <c r="A479" t="s">
        <v>9620</v>
      </c>
      <c r="B479" t="s">
        <v>9621</v>
      </c>
      <c r="C479" s="111"/>
      <c r="D479" t="s">
        <v>8806</v>
      </c>
      <c r="E479">
        <v>5337</v>
      </c>
      <c r="F479" t="s">
        <v>9622</v>
      </c>
      <c r="G479" t="s">
        <v>9480</v>
      </c>
      <c r="H479" t="s">
        <v>9481</v>
      </c>
      <c r="I479" t="s">
        <v>9621</v>
      </c>
      <c r="J479" t="s">
        <v>9622</v>
      </c>
      <c r="K479" t="s">
        <v>9481</v>
      </c>
    </row>
    <row r="480" spans="1:11" s="1" customFormat="1" x14ac:dyDescent="0.25">
      <c r="A480" t="s">
        <v>9623</v>
      </c>
      <c r="B480" t="s">
        <v>9624</v>
      </c>
      <c r="C480" s="111"/>
      <c r="D480" t="s">
        <v>9625</v>
      </c>
      <c r="E480">
        <v>1153</v>
      </c>
      <c r="F480" t="s">
        <v>9626</v>
      </c>
      <c r="G480" t="s">
        <v>9480</v>
      </c>
      <c r="H480" t="s">
        <v>9481</v>
      </c>
      <c r="I480" t="s">
        <v>9624</v>
      </c>
      <c r="J480" t="s">
        <v>9626</v>
      </c>
      <c r="K480" t="s">
        <v>9481</v>
      </c>
    </row>
    <row r="481" spans="1:11" s="1" customFormat="1" x14ac:dyDescent="0.25">
      <c r="A481" t="s">
        <v>9627</v>
      </c>
      <c r="B481" t="s">
        <v>9628</v>
      </c>
      <c r="C481" s="111"/>
      <c r="D481" t="s">
        <v>8689</v>
      </c>
      <c r="E481">
        <v>326</v>
      </c>
      <c r="F481" t="s">
        <v>9629</v>
      </c>
      <c r="G481" t="s">
        <v>9480</v>
      </c>
      <c r="H481" t="s">
        <v>9481</v>
      </c>
      <c r="I481" t="s">
        <v>9628</v>
      </c>
      <c r="J481" t="s">
        <v>9629</v>
      </c>
      <c r="K481" t="s">
        <v>9481</v>
      </c>
    </row>
    <row r="482" spans="1:11" s="1" customFormat="1" x14ac:dyDescent="0.25">
      <c r="A482" t="s">
        <v>9630</v>
      </c>
      <c r="B482" t="s">
        <v>9631</v>
      </c>
      <c r="C482" s="111"/>
      <c r="D482" t="s">
        <v>9632</v>
      </c>
      <c r="E482">
        <v>768</v>
      </c>
      <c r="F482" t="s">
        <v>9633</v>
      </c>
      <c r="G482" t="s">
        <v>9480</v>
      </c>
      <c r="H482" t="s">
        <v>9481</v>
      </c>
      <c r="I482" t="s">
        <v>9631</v>
      </c>
      <c r="J482" t="s">
        <v>9633</v>
      </c>
      <c r="K482" t="s">
        <v>9481</v>
      </c>
    </row>
    <row r="483" spans="1:11" s="1" customFormat="1" x14ac:dyDescent="0.25">
      <c r="A483" t="s">
        <v>9634</v>
      </c>
      <c r="B483" t="s">
        <v>9635</v>
      </c>
      <c r="C483" s="111"/>
      <c r="D483" t="s">
        <v>9636</v>
      </c>
      <c r="E483">
        <v>250</v>
      </c>
      <c r="F483" t="s">
        <v>9637</v>
      </c>
      <c r="G483" t="s">
        <v>9480</v>
      </c>
      <c r="H483" t="s">
        <v>9481</v>
      </c>
      <c r="I483" t="s">
        <v>9635</v>
      </c>
      <c r="J483" t="s">
        <v>9637</v>
      </c>
      <c r="K483" t="s">
        <v>9481</v>
      </c>
    </row>
    <row r="484" spans="1:11" s="1" customFormat="1" x14ac:dyDescent="0.25">
      <c r="A484" t="s">
        <v>9638</v>
      </c>
      <c r="B484" t="s">
        <v>9166</v>
      </c>
      <c r="C484" s="111"/>
      <c r="D484" t="s">
        <v>9639</v>
      </c>
      <c r="E484">
        <v>3855</v>
      </c>
      <c r="F484" t="s">
        <v>9640</v>
      </c>
      <c r="G484" t="s">
        <v>9480</v>
      </c>
      <c r="H484" t="s">
        <v>9481</v>
      </c>
      <c r="I484" t="s">
        <v>9166</v>
      </c>
      <c r="J484" t="s">
        <v>9640</v>
      </c>
      <c r="K484" t="s">
        <v>9481</v>
      </c>
    </row>
    <row r="485" spans="1:11" s="1" customFormat="1" x14ac:dyDescent="0.25">
      <c r="A485" t="s">
        <v>9641</v>
      </c>
      <c r="B485" t="s">
        <v>9642</v>
      </c>
      <c r="C485" s="111"/>
      <c r="D485" t="s">
        <v>9643</v>
      </c>
      <c r="E485">
        <v>616</v>
      </c>
      <c r="F485" t="s">
        <v>9644</v>
      </c>
      <c r="G485" t="s">
        <v>9480</v>
      </c>
      <c r="H485" t="s">
        <v>9481</v>
      </c>
      <c r="I485" t="s">
        <v>9642</v>
      </c>
      <c r="J485" t="s">
        <v>9644</v>
      </c>
      <c r="K485" t="s">
        <v>9481</v>
      </c>
    </row>
    <row r="486" spans="1:11" s="1" customFormat="1" x14ac:dyDescent="0.25">
      <c r="A486" t="s">
        <v>9645</v>
      </c>
      <c r="B486" t="s">
        <v>9646</v>
      </c>
      <c r="C486" s="111"/>
      <c r="D486" t="s">
        <v>8380</v>
      </c>
      <c r="E486">
        <v>250</v>
      </c>
      <c r="F486" t="s">
        <v>9647</v>
      </c>
      <c r="G486" t="s">
        <v>9480</v>
      </c>
      <c r="H486" t="s">
        <v>9481</v>
      </c>
      <c r="I486" t="s">
        <v>9646</v>
      </c>
      <c r="J486" t="s">
        <v>9647</v>
      </c>
      <c r="K486" t="s">
        <v>9481</v>
      </c>
    </row>
    <row r="487" spans="1:11" s="1" customFormat="1" x14ac:dyDescent="0.25">
      <c r="A487" t="s">
        <v>9648</v>
      </c>
      <c r="B487" t="s">
        <v>9649</v>
      </c>
      <c r="C487" s="111"/>
      <c r="D487" t="s">
        <v>7976</v>
      </c>
      <c r="E487">
        <v>132</v>
      </c>
      <c r="F487" t="s">
        <v>9650</v>
      </c>
      <c r="G487" t="s">
        <v>9480</v>
      </c>
      <c r="H487" t="s">
        <v>9481</v>
      </c>
      <c r="I487" t="s">
        <v>9649</v>
      </c>
      <c r="J487" t="s">
        <v>9650</v>
      </c>
      <c r="K487" t="s">
        <v>9481</v>
      </c>
    </row>
    <row r="488" spans="1:11" s="1" customFormat="1" x14ac:dyDescent="0.25">
      <c r="A488" t="s">
        <v>9651</v>
      </c>
      <c r="B488" t="s">
        <v>9652</v>
      </c>
      <c r="C488" s="111"/>
      <c r="D488" t="s">
        <v>7987</v>
      </c>
      <c r="E488">
        <v>2128</v>
      </c>
      <c r="F488" t="s">
        <v>9653</v>
      </c>
      <c r="G488" t="s">
        <v>9480</v>
      </c>
      <c r="H488" t="s">
        <v>9481</v>
      </c>
      <c r="I488" t="s">
        <v>9652</v>
      </c>
      <c r="J488" t="s">
        <v>9653</v>
      </c>
      <c r="K488" t="s">
        <v>9481</v>
      </c>
    </row>
    <row r="489" spans="1:11" s="1" customFormat="1" x14ac:dyDescent="0.25">
      <c r="A489" t="s">
        <v>9654</v>
      </c>
      <c r="B489" t="s">
        <v>9655</v>
      </c>
      <c r="C489" s="111"/>
      <c r="D489" t="s">
        <v>9656</v>
      </c>
      <c r="E489">
        <v>2888</v>
      </c>
      <c r="F489" t="s">
        <v>9657</v>
      </c>
      <c r="G489" t="s">
        <v>9480</v>
      </c>
      <c r="H489" t="s">
        <v>9481</v>
      </c>
      <c r="I489" t="s">
        <v>9655</v>
      </c>
      <c r="J489" t="s">
        <v>9657</v>
      </c>
      <c r="K489" t="s">
        <v>9481</v>
      </c>
    </row>
    <row r="490" spans="1:11" s="1" customFormat="1" x14ac:dyDescent="0.25">
      <c r="A490" t="s">
        <v>9658</v>
      </c>
      <c r="B490" t="s">
        <v>9659</v>
      </c>
      <c r="C490" s="111"/>
      <c r="D490" t="s">
        <v>9660</v>
      </c>
      <c r="E490">
        <v>368</v>
      </c>
      <c r="F490" t="s">
        <v>9661</v>
      </c>
      <c r="G490" t="s">
        <v>9480</v>
      </c>
      <c r="H490" t="s">
        <v>9481</v>
      </c>
      <c r="I490" t="s">
        <v>9659</v>
      </c>
      <c r="J490" t="s">
        <v>9661</v>
      </c>
      <c r="K490" t="s">
        <v>9481</v>
      </c>
    </row>
    <row r="491" spans="1:11" s="1" customFormat="1" x14ac:dyDescent="0.25">
      <c r="A491" t="s">
        <v>9662</v>
      </c>
      <c r="B491" t="s">
        <v>9663</v>
      </c>
      <c r="C491" s="111"/>
      <c r="D491" t="s">
        <v>7998</v>
      </c>
      <c r="E491">
        <v>945</v>
      </c>
      <c r="F491" t="s">
        <v>9664</v>
      </c>
      <c r="G491" t="s">
        <v>9480</v>
      </c>
      <c r="H491" t="s">
        <v>9481</v>
      </c>
      <c r="I491" t="s">
        <v>9663</v>
      </c>
      <c r="J491" t="s">
        <v>9664</v>
      </c>
      <c r="K491" t="s">
        <v>9481</v>
      </c>
    </row>
    <row r="492" spans="1:11" s="1" customFormat="1" x14ac:dyDescent="0.25">
      <c r="A492" t="s">
        <v>9665</v>
      </c>
      <c r="B492" t="s">
        <v>9666</v>
      </c>
      <c r="C492" s="111"/>
      <c r="D492" t="s">
        <v>9564</v>
      </c>
      <c r="E492">
        <v>4164</v>
      </c>
      <c r="F492" t="s">
        <v>9667</v>
      </c>
      <c r="G492" t="s">
        <v>9480</v>
      </c>
      <c r="H492" t="s">
        <v>9481</v>
      </c>
      <c r="I492" t="s">
        <v>9666</v>
      </c>
      <c r="J492" t="s">
        <v>9667</v>
      </c>
      <c r="K492" t="s">
        <v>9481</v>
      </c>
    </row>
    <row r="493" spans="1:11" s="1" customFormat="1" x14ac:dyDescent="0.25">
      <c r="A493" t="s">
        <v>9668</v>
      </c>
      <c r="B493" t="s">
        <v>9669</v>
      </c>
      <c r="C493" s="111"/>
      <c r="D493" t="s">
        <v>9670</v>
      </c>
      <c r="E493">
        <v>40</v>
      </c>
      <c r="F493" t="s">
        <v>9671</v>
      </c>
      <c r="G493" t="s">
        <v>9480</v>
      </c>
      <c r="H493" t="s">
        <v>9481</v>
      </c>
      <c r="I493" t="s">
        <v>9669</v>
      </c>
      <c r="J493" t="s">
        <v>9671</v>
      </c>
      <c r="K493" t="s">
        <v>9481</v>
      </c>
    </row>
    <row r="494" spans="1:11" s="1" customFormat="1" x14ac:dyDescent="0.25">
      <c r="A494" t="s">
        <v>9672</v>
      </c>
      <c r="B494" t="s">
        <v>9673</v>
      </c>
      <c r="C494" s="111"/>
      <c r="D494" t="s">
        <v>9674</v>
      </c>
      <c r="E494">
        <v>777</v>
      </c>
      <c r="F494" t="s">
        <v>9675</v>
      </c>
      <c r="G494" t="s">
        <v>9480</v>
      </c>
      <c r="H494" t="s">
        <v>9481</v>
      </c>
      <c r="I494" t="s">
        <v>9673</v>
      </c>
      <c r="J494" t="s">
        <v>9675</v>
      </c>
      <c r="K494" t="s">
        <v>9481</v>
      </c>
    </row>
    <row r="495" spans="1:11" s="1" customFormat="1" x14ac:dyDescent="0.25">
      <c r="A495" t="s">
        <v>9676</v>
      </c>
      <c r="B495" t="s">
        <v>9677</v>
      </c>
      <c r="C495" s="111"/>
      <c r="D495" t="s">
        <v>9678</v>
      </c>
      <c r="E495">
        <v>663</v>
      </c>
      <c r="F495" t="s">
        <v>9679</v>
      </c>
      <c r="G495" t="s">
        <v>9480</v>
      </c>
      <c r="H495" t="s">
        <v>9481</v>
      </c>
      <c r="I495" t="s">
        <v>9677</v>
      </c>
      <c r="J495" t="s">
        <v>9679</v>
      </c>
      <c r="K495" t="s">
        <v>9481</v>
      </c>
    </row>
    <row r="496" spans="1:11" s="1" customFormat="1" x14ac:dyDescent="0.25">
      <c r="A496" t="s">
        <v>9680</v>
      </c>
      <c r="B496" t="s">
        <v>9681</v>
      </c>
      <c r="C496" s="111"/>
      <c r="D496" t="s">
        <v>9678</v>
      </c>
      <c r="E496">
        <v>663</v>
      </c>
      <c r="F496" t="s">
        <v>9682</v>
      </c>
      <c r="G496" t="s">
        <v>9480</v>
      </c>
      <c r="H496" t="s">
        <v>9481</v>
      </c>
      <c r="I496" t="s">
        <v>9681</v>
      </c>
      <c r="J496" t="s">
        <v>9682</v>
      </c>
      <c r="K496" t="s">
        <v>9481</v>
      </c>
    </row>
    <row r="497" spans="1:11" s="1" customFormat="1" x14ac:dyDescent="0.25">
      <c r="A497" t="s">
        <v>9683</v>
      </c>
      <c r="B497" t="s">
        <v>9684</v>
      </c>
      <c r="C497" s="111"/>
      <c r="D497" t="s">
        <v>9553</v>
      </c>
      <c r="E497">
        <v>1349</v>
      </c>
      <c r="F497" t="s">
        <v>9685</v>
      </c>
      <c r="G497" t="s">
        <v>9480</v>
      </c>
      <c r="H497" t="s">
        <v>9481</v>
      </c>
      <c r="I497" t="s">
        <v>9684</v>
      </c>
      <c r="J497" t="s">
        <v>9685</v>
      </c>
      <c r="K497" t="s">
        <v>9481</v>
      </c>
    </row>
    <row r="498" spans="1:11" s="1" customFormat="1" x14ac:dyDescent="0.25">
      <c r="A498" t="s">
        <v>9686</v>
      </c>
      <c r="B498" t="s">
        <v>9687</v>
      </c>
      <c r="C498" s="111"/>
      <c r="D498" t="s">
        <v>8213</v>
      </c>
      <c r="E498">
        <v>1100</v>
      </c>
      <c r="F498" t="s">
        <v>9688</v>
      </c>
      <c r="G498" t="s">
        <v>9480</v>
      </c>
      <c r="H498" t="s">
        <v>9481</v>
      </c>
      <c r="I498" t="s">
        <v>9687</v>
      </c>
      <c r="J498" t="s">
        <v>9688</v>
      </c>
      <c r="K498" t="s">
        <v>9481</v>
      </c>
    </row>
    <row r="499" spans="1:11" s="1" customFormat="1" x14ac:dyDescent="0.25">
      <c r="A499" t="s">
        <v>9689</v>
      </c>
      <c r="B499" t="s">
        <v>9690</v>
      </c>
      <c r="C499" s="111"/>
      <c r="D499" t="s">
        <v>9691</v>
      </c>
      <c r="E499">
        <v>550</v>
      </c>
      <c r="F499" t="s">
        <v>9692</v>
      </c>
      <c r="G499" t="s">
        <v>9480</v>
      </c>
      <c r="H499" t="s">
        <v>9481</v>
      </c>
      <c r="I499" t="s">
        <v>9690</v>
      </c>
      <c r="J499" t="s">
        <v>9692</v>
      </c>
      <c r="K499" t="s">
        <v>9481</v>
      </c>
    </row>
    <row r="500" spans="1:11" s="1" customFormat="1" x14ac:dyDescent="0.25">
      <c r="A500" t="s">
        <v>9693</v>
      </c>
      <c r="B500" t="s">
        <v>9694</v>
      </c>
      <c r="C500" s="111"/>
      <c r="D500" t="s">
        <v>9695</v>
      </c>
      <c r="E500">
        <v>2190</v>
      </c>
      <c r="F500" t="s">
        <v>9696</v>
      </c>
      <c r="G500" t="s">
        <v>9480</v>
      </c>
      <c r="H500" t="s">
        <v>9481</v>
      </c>
      <c r="I500" t="s">
        <v>9694</v>
      </c>
      <c r="J500" t="s">
        <v>9696</v>
      </c>
      <c r="K500" t="s">
        <v>9481</v>
      </c>
    </row>
    <row r="501" spans="1:11" s="1" customFormat="1" x14ac:dyDescent="0.25">
      <c r="A501" t="s">
        <v>9697</v>
      </c>
      <c r="B501" t="s">
        <v>9698</v>
      </c>
      <c r="C501" s="111"/>
      <c r="D501" t="s">
        <v>9699</v>
      </c>
      <c r="E501">
        <v>1950</v>
      </c>
      <c r="F501" t="s">
        <v>9700</v>
      </c>
      <c r="G501" t="s">
        <v>9480</v>
      </c>
      <c r="H501" t="s">
        <v>9481</v>
      </c>
      <c r="I501" t="s">
        <v>9698</v>
      </c>
      <c r="J501" t="s">
        <v>9700</v>
      </c>
      <c r="K501" t="s">
        <v>9481</v>
      </c>
    </row>
    <row r="502" spans="1:11" s="1" customFormat="1" x14ac:dyDescent="0.25">
      <c r="A502" t="s">
        <v>9701</v>
      </c>
      <c r="B502" t="s">
        <v>9702</v>
      </c>
      <c r="C502" s="111"/>
      <c r="D502" t="s">
        <v>9524</v>
      </c>
      <c r="E502">
        <v>1441</v>
      </c>
      <c r="F502" t="s">
        <v>9703</v>
      </c>
      <c r="G502" t="s">
        <v>9480</v>
      </c>
      <c r="H502" t="s">
        <v>9481</v>
      </c>
      <c r="I502" t="s">
        <v>9702</v>
      </c>
      <c r="J502" t="s">
        <v>9703</v>
      </c>
      <c r="K502" t="s">
        <v>9481</v>
      </c>
    </row>
    <row r="503" spans="1:11" s="1" customFormat="1" x14ac:dyDescent="0.25">
      <c r="A503" t="s">
        <v>9704</v>
      </c>
      <c r="B503" t="s">
        <v>9705</v>
      </c>
      <c r="C503" s="111"/>
      <c r="D503" t="s">
        <v>8242</v>
      </c>
      <c r="E503">
        <v>151</v>
      </c>
      <c r="F503" t="s">
        <v>9706</v>
      </c>
      <c r="G503" t="s">
        <v>9480</v>
      </c>
      <c r="H503" t="s">
        <v>9481</v>
      </c>
      <c r="I503" t="s">
        <v>9705</v>
      </c>
      <c r="J503" t="s">
        <v>9706</v>
      </c>
      <c r="K503" t="s">
        <v>9481</v>
      </c>
    </row>
    <row r="504" spans="1:11" s="1" customFormat="1" x14ac:dyDescent="0.25">
      <c r="A504" t="s">
        <v>9707</v>
      </c>
      <c r="B504" t="s">
        <v>9708</v>
      </c>
      <c r="C504" s="111"/>
      <c r="D504" t="s">
        <v>8242</v>
      </c>
      <c r="E504">
        <v>151</v>
      </c>
      <c r="F504" t="s">
        <v>9709</v>
      </c>
      <c r="G504" t="s">
        <v>9480</v>
      </c>
      <c r="H504" t="s">
        <v>9481</v>
      </c>
      <c r="I504" t="s">
        <v>9708</v>
      </c>
      <c r="J504" t="s">
        <v>9709</v>
      </c>
      <c r="K504" t="s">
        <v>9481</v>
      </c>
    </row>
    <row r="505" spans="1:11" s="1" customFormat="1" x14ac:dyDescent="0.25">
      <c r="A505" t="s">
        <v>9710</v>
      </c>
      <c r="B505" t="s">
        <v>9711</v>
      </c>
      <c r="C505" s="111"/>
      <c r="D505" t="s">
        <v>9553</v>
      </c>
      <c r="E505">
        <v>1349</v>
      </c>
      <c r="F505" t="s">
        <v>9712</v>
      </c>
      <c r="G505" t="s">
        <v>9480</v>
      </c>
      <c r="H505" t="s">
        <v>9481</v>
      </c>
      <c r="I505" t="s">
        <v>9711</v>
      </c>
      <c r="J505" t="s">
        <v>9712</v>
      </c>
      <c r="K505" t="s">
        <v>9481</v>
      </c>
    </row>
    <row r="506" spans="1:11" s="1" customFormat="1" x14ac:dyDescent="0.25">
      <c r="A506" t="s">
        <v>9713</v>
      </c>
      <c r="B506" t="s">
        <v>9714</v>
      </c>
      <c r="C506" s="111"/>
      <c r="D506" t="s">
        <v>9715</v>
      </c>
      <c r="E506">
        <v>2000</v>
      </c>
      <c r="F506" t="s">
        <v>9716</v>
      </c>
      <c r="G506" t="s">
        <v>9480</v>
      </c>
      <c r="H506" t="s">
        <v>9481</v>
      </c>
      <c r="I506" t="s">
        <v>9714</v>
      </c>
      <c r="J506" t="s">
        <v>9716</v>
      </c>
      <c r="K506" t="s">
        <v>9481</v>
      </c>
    </row>
    <row r="507" spans="1:11" s="1" customFormat="1" x14ac:dyDescent="0.25">
      <c r="A507" t="s">
        <v>12074</v>
      </c>
      <c r="B507" t="s">
        <v>8750</v>
      </c>
      <c r="C507" s="111"/>
      <c r="D507" t="s">
        <v>7965</v>
      </c>
      <c r="E507">
        <v>801</v>
      </c>
      <c r="F507" t="s">
        <v>12075</v>
      </c>
      <c r="G507" t="s">
        <v>8750</v>
      </c>
      <c r="H507" t="s">
        <v>8750</v>
      </c>
      <c r="I507" t="s">
        <v>8750</v>
      </c>
      <c r="J507" t="s">
        <v>12075</v>
      </c>
      <c r="K507" t="s">
        <v>13186</v>
      </c>
    </row>
    <row r="508" spans="1:11" s="1" customFormat="1" x14ac:dyDescent="0.25">
      <c r="A508" t="s">
        <v>12076</v>
      </c>
      <c r="B508" t="s">
        <v>12077</v>
      </c>
      <c r="C508" s="111"/>
      <c r="D508" t="s">
        <v>8376</v>
      </c>
      <c r="E508">
        <v>1024</v>
      </c>
      <c r="F508" t="s">
        <v>12078</v>
      </c>
      <c r="G508" t="s">
        <v>8750</v>
      </c>
      <c r="H508" t="s">
        <v>8750</v>
      </c>
      <c r="I508" t="s">
        <v>12077</v>
      </c>
      <c r="J508" t="s">
        <v>12078</v>
      </c>
      <c r="K508" t="s">
        <v>13186</v>
      </c>
    </row>
    <row r="509" spans="1:11" s="1" customFormat="1" x14ac:dyDescent="0.25">
      <c r="A509" t="s">
        <v>12079</v>
      </c>
      <c r="B509" t="s">
        <v>12080</v>
      </c>
      <c r="C509" s="111"/>
      <c r="D509" t="s">
        <v>12081</v>
      </c>
      <c r="E509">
        <v>0</v>
      </c>
      <c r="F509" t="s">
        <v>12082</v>
      </c>
      <c r="G509" t="s">
        <v>12080</v>
      </c>
      <c r="H509" t="s">
        <v>8750</v>
      </c>
      <c r="I509" t="s">
        <v>12080</v>
      </c>
      <c r="J509" t="s">
        <v>12082</v>
      </c>
      <c r="K509" t="s">
        <v>13187</v>
      </c>
    </row>
    <row r="510" spans="1:11" s="1" customFormat="1" x14ac:dyDescent="0.25">
      <c r="A510" t="s">
        <v>12083</v>
      </c>
      <c r="B510" t="s">
        <v>12084</v>
      </c>
      <c r="C510" s="111"/>
      <c r="D510" t="s">
        <v>10001</v>
      </c>
      <c r="E510">
        <v>0</v>
      </c>
      <c r="F510" t="s">
        <v>12085</v>
      </c>
      <c r="G510" t="s">
        <v>12084</v>
      </c>
      <c r="H510" t="s">
        <v>8750</v>
      </c>
      <c r="I510" t="s">
        <v>12084</v>
      </c>
      <c r="J510" t="s">
        <v>12085</v>
      </c>
      <c r="K510" t="s">
        <v>13187</v>
      </c>
    </row>
    <row r="511" spans="1:11" s="1" customFormat="1" x14ac:dyDescent="0.25">
      <c r="A511" t="s">
        <v>12086</v>
      </c>
      <c r="B511" t="s">
        <v>11564</v>
      </c>
      <c r="C511" s="111"/>
      <c r="D511" t="s">
        <v>8738</v>
      </c>
      <c r="E511">
        <v>0</v>
      </c>
      <c r="F511" t="s">
        <v>12087</v>
      </c>
      <c r="G511" t="s">
        <v>11564</v>
      </c>
      <c r="H511" t="s">
        <v>8750</v>
      </c>
      <c r="I511" t="s">
        <v>11564</v>
      </c>
      <c r="J511" t="s">
        <v>12087</v>
      </c>
      <c r="K511" t="s">
        <v>8379</v>
      </c>
    </row>
    <row r="512" spans="1:11" s="1" customFormat="1" x14ac:dyDescent="0.25">
      <c r="A512" t="s">
        <v>12088</v>
      </c>
      <c r="B512" t="s">
        <v>12089</v>
      </c>
      <c r="C512" s="111"/>
      <c r="D512" t="s">
        <v>8380</v>
      </c>
      <c r="E512">
        <v>534</v>
      </c>
      <c r="F512" t="s">
        <v>12090</v>
      </c>
      <c r="G512" t="s">
        <v>12089</v>
      </c>
      <c r="H512" t="s">
        <v>8750</v>
      </c>
      <c r="I512" t="s">
        <v>12089</v>
      </c>
      <c r="J512" t="s">
        <v>12090</v>
      </c>
      <c r="K512" t="s">
        <v>8467</v>
      </c>
    </row>
    <row r="513" spans="1:11" s="1" customFormat="1" x14ac:dyDescent="0.25">
      <c r="A513" t="s">
        <v>12091</v>
      </c>
      <c r="B513" t="s">
        <v>12092</v>
      </c>
      <c r="C513" s="111"/>
      <c r="D513" t="s">
        <v>8128</v>
      </c>
      <c r="E513">
        <v>791</v>
      </c>
      <c r="F513" t="s">
        <v>12093</v>
      </c>
      <c r="G513" t="s">
        <v>12092</v>
      </c>
      <c r="H513" t="s">
        <v>8750</v>
      </c>
      <c r="I513" t="s">
        <v>12092</v>
      </c>
      <c r="J513" t="s">
        <v>12093</v>
      </c>
      <c r="K513" t="s">
        <v>13188</v>
      </c>
    </row>
    <row r="514" spans="1:11" s="1" customFormat="1" x14ac:dyDescent="0.25">
      <c r="A514" t="s">
        <v>12094</v>
      </c>
      <c r="B514" t="s">
        <v>12095</v>
      </c>
      <c r="C514" s="111"/>
      <c r="D514" t="s">
        <v>12096</v>
      </c>
      <c r="E514">
        <v>193</v>
      </c>
      <c r="F514" t="s">
        <v>12097</v>
      </c>
      <c r="G514" t="s">
        <v>12095</v>
      </c>
      <c r="H514" t="s">
        <v>8750</v>
      </c>
      <c r="I514" t="s">
        <v>12095</v>
      </c>
      <c r="J514" t="s">
        <v>12097</v>
      </c>
      <c r="K514" t="s">
        <v>9045</v>
      </c>
    </row>
    <row r="515" spans="1:11" s="1" customFormat="1" x14ac:dyDescent="0.25">
      <c r="A515" t="s">
        <v>12098</v>
      </c>
      <c r="B515" t="s">
        <v>8688</v>
      </c>
      <c r="C515" s="111"/>
      <c r="D515" t="s">
        <v>10001</v>
      </c>
      <c r="E515">
        <v>0</v>
      </c>
      <c r="F515" t="s">
        <v>12099</v>
      </c>
      <c r="G515" t="s">
        <v>8688</v>
      </c>
      <c r="H515" t="s">
        <v>8750</v>
      </c>
      <c r="I515" t="s">
        <v>8688</v>
      </c>
      <c r="J515" t="s">
        <v>12099</v>
      </c>
      <c r="K515" t="s">
        <v>8379</v>
      </c>
    </row>
    <row r="516" spans="1:11" s="1" customFormat="1" x14ac:dyDescent="0.25">
      <c r="A516" t="s">
        <v>12100</v>
      </c>
      <c r="B516" t="s">
        <v>12069</v>
      </c>
      <c r="C516" s="111"/>
      <c r="D516" t="s">
        <v>12101</v>
      </c>
      <c r="E516">
        <v>31</v>
      </c>
      <c r="F516" t="s">
        <v>12102</v>
      </c>
      <c r="G516" t="s">
        <v>12069</v>
      </c>
      <c r="H516" t="s">
        <v>8750</v>
      </c>
      <c r="I516" t="s">
        <v>12069</v>
      </c>
      <c r="J516" t="s">
        <v>12102</v>
      </c>
      <c r="K516" t="s">
        <v>13188</v>
      </c>
    </row>
    <row r="517" spans="1:11" s="1" customFormat="1" x14ac:dyDescent="0.25">
      <c r="A517" t="s">
        <v>12103</v>
      </c>
      <c r="B517" t="s">
        <v>13987</v>
      </c>
      <c r="C517" s="111"/>
      <c r="D517" t="s">
        <v>8304</v>
      </c>
      <c r="E517">
        <v>88</v>
      </c>
      <c r="F517" t="s">
        <v>12104</v>
      </c>
      <c r="G517" t="s">
        <v>12069</v>
      </c>
      <c r="H517" t="s">
        <v>8750</v>
      </c>
      <c r="I517" t="s">
        <v>13987</v>
      </c>
      <c r="J517" t="s">
        <v>12104</v>
      </c>
      <c r="K517" t="s">
        <v>13188</v>
      </c>
    </row>
    <row r="518" spans="1:11" s="1" customFormat="1" x14ac:dyDescent="0.25">
      <c r="A518" t="s">
        <v>12105</v>
      </c>
      <c r="B518" t="s">
        <v>8310</v>
      </c>
      <c r="C518" s="111"/>
      <c r="D518" t="s">
        <v>12106</v>
      </c>
      <c r="E518">
        <v>579</v>
      </c>
      <c r="F518" t="s">
        <v>12107</v>
      </c>
      <c r="G518" t="s">
        <v>8310</v>
      </c>
      <c r="H518" t="s">
        <v>8750</v>
      </c>
      <c r="I518" t="s">
        <v>8310</v>
      </c>
      <c r="J518" t="s">
        <v>12107</v>
      </c>
      <c r="K518" t="s">
        <v>8673</v>
      </c>
    </row>
    <row r="519" spans="1:11" s="1" customFormat="1" x14ac:dyDescent="0.25">
      <c r="A519" t="s">
        <v>12108</v>
      </c>
      <c r="B519" t="s">
        <v>12109</v>
      </c>
      <c r="C519" s="111"/>
      <c r="D519" t="s">
        <v>7965</v>
      </c>
      <c r="E519">
        <v>493</v>
      </c>
      <c r="F519" t="s">
        <v>12110</v>
      </c>
      <c r="G519" t="s">
        <v>12109</v>
      </c>
      <c r="H519" t="s">
        <v>8750</v>
      </c>
      <c r="I519" t="s">
        <v>12109</v>
      </c>
      <c r="J519" t="s">
        <v>12110</v>
      </c>
      <c r="K519" t="s">
        <v>8467</v>
      </c>
    </row>
    <row r="520" spans="1:11" s="1" customFormat="1" x14ac:dyDescent="0.25">
      <c r="A520" t="s">
        <v>12111</v>
      </c>
      <c r="B520" t="s">
        <v>12112</v>
      </c>
      <c r="C520" s="111"/>
      <c r="D520" t="s">
        <v>7965</v>
      </c>
      <c r="E520">
        <v>0</v>
      </c>
      <c r="F520" t="s">
        <v>12113</v>
      </c>
      <c r="G520" t="s">
        <v>12112</v>
      </c>
      <c r="H520" t="s">
        <v>8750</v>
      </c>
      <c r="I520" t="s">
        <v>12112</v>
      </c>
      <c r="J520" t="s">
        <v>12113</v>
      </c>
      <c r="K520" t="s">
        <v>13187</v>
      </c>
    </row>
    <row r="521" spans="1:11" s="1" customFormat="1" x14ac:dyDescent="0.25">
      <c r="A521" t="s">
        <v>12114</v>
      </c>
      <c r="B521" t="s">
        <v>12115</v>
      </c>
      <c r="C521" s="111"/>
      <c r="D521" t="s">
        <v>9166</v>
      </c>
      <c r="E521">
        <v>210</v>
      </c>
      <c r="F521" t="s">
        <v>12116</v>
      </c>
      <c r="G521" t="s">
        <v>12115</v>
      </c>
      <c r="H521" t="s">
        <v>8750</v>
      </c>
      <c r="I521" t="s">
        <v>12115</v>
      </c>
      <c r="J521" t="s">
        <v>12116</v>
      </c>
      <c r="K521" t="s">
        <v>8379</v>
      </c>
    </row>
    <row r="522" spans="1:11" s="1" customFormat="1" x14ac:dyDescent="0.25">
      <c r="A522" t="s">
        <v>12117</v>
      </c>
      <c r="B522" t="s">
        <v>12118</v>
      </c>
      <c r="C522" s="111"/>
      <c r="D522" t="s">
        <v>8442</v>
      </c>
      <c r="E522">
        <v>0</v>
      </c>
      <c r="F522" t="s">
        <v>12120</v>
      </c>
      <c r="G522" t="s">
        <v>12119</v>
      </c>
      <c r="H522" t="s">
        <v>8750</v>
      </c>
      <c r="I522" t="s">
        <v>12118</v>
      </c>
      <c r="J522" t="s">
        <v>12120</v>
      </c>
      <c r="K522" t="s">
        <v>8379</v>
      </c>
    </row>
    <row r="523" spans="1:11" s="1" customFormat="1" x14ac:dyDescent="0.25">
      <c r="A523" t="s">
        <v>12121</v>
      </c>
      <c r="B523" t="s">
        <v>12066</v>
      </c>
      <c r="C523" s="111"/>
      <c r="D523" t="s">
        <v>12122</v>
      </c>
      <c r="E523">
        <v>0</v>
      </c>
      <c r="F523" t="s">
        <v>12123</v>
      </c>
      <c r="G523" t="s">
        <v>7965</v>
      </c>
      <c r="H523" t="s">
        <v>8750</v>
      </c>
      <c r="I523" t="s">
        <v>12066</v>
      </c>
      <c r="J523" t="s">
        <v>12123</v>
      </c>
      <c r="K523" t="s">
        <v>13189</v>
      </c>
    </row>
    <row r="524" spans="1:11" s="1" customFormat="1" x14ac:dyDescent="0.25">
      <c r="A524" t="s">
        <v>12124</v>
      </c>
      <c r="B524" t="s">
        <v>12125</v>
      </c>
      <c r="C524" s="111"/>
      <c r="D524" t="s">
        <v>8380</v>
      </c>
      <c r="E524">
        <v>700</v>
      </c>
      <c r="F524" t="s">
        <v>12126</v>
      </c>
      <c r="G524" t="s">
        <v>12125</v>
      </c>
      <c r="H524" t="s">
        <v>8750</v>
      </c>
      <c r="I524" t="s">
        <v>12125</v>
      </c>
      <c r="J524" t="s">
        <v>12126</v>
      </c>
      <c r="K524" t="s">
        <v>8673</v>
      </c>
    </row>
    <row r="525" spans="1:11" s="1" customFormat="1" x14ac:dyDescent="0.25">
      <c r="A525" t="s">
        <v>12127</v>
      </c>
      <c r="B525" t="s">
        <v>12128</v>
      </c>
      <c r="C525" s="111"/>
      <c r="D525" t="s">
        <v>10001</v>
      </c>
      <c r="E525">
        <v>232</v>
      </c>
      <c r="F525" t="s">
        <v>12129</v>
      </c>
      <c r="G525" t="s">
        <v>12128</v>
      </c>
      <c r="H525" t="s">
        <v>8750</v>
      </c>
      <c r="I525" t="s">
        <v>12128</v>
      </c>
      <c r="J525" t="s">
        <v>12129</v>
      </c>
      <c r="K525" t="s">
        <v>8467</v>
      </c>
    </row>
    <row r="526" spans="1:11" s="1" customFormat="1" x14ac:dyDescent="0.25">
      <c r="A526" t="s">
        <v>12130</v>
      </c>
      <c r="B526" t="s">
        <v>12131</v>
      </c>
      <c r="C526" s="111"/>
      <c r="D526" t="s">
        <v>12132</v>
      </c>
      <c r="E526">
        <v>340</v>
      </c>
      <c r="F526" t="s">
        <v>12133</v>
      </c>
      <c r="G526" t="s">
        <v>12131</v>
      </c>
      <c r="H526" t="s">
        <v>8750</v>
      </c>
      <c r="I526" t="s">
        <v>12131</v>
      </c>
      <c r="J526" t="s">
        <v>12133</v>
      </c>
      <c r="K526" t="s">
        <v>13187</v>
      </c>
    </row>
    <row r="527" spans="1:11" s="1" customFormat="1" x14ac:dyDescent="0.25">
      <c r="A527" t="s">
        <v>12134</v>
      </c>
      <c r="B527" t="s">
        <v>12135</v>
      </c>
      <c r="C527" s="111"/>
      <c r="D527" t="s">
        <v>12136</v>
      </c>
      <c r="E527">
        <v>0</v>
      </c>
      <c r="F527" t="s">
        <v>12137</v>
      </c>
      <c r="G527" t="s">
        <v>12135</v>
      </c>
      <c r="H527" t="s">
        <v>8750</v>
      </c>
      <c r="I527" t="s">
        <v>12135</v>
      </c>
      <c r="J527" t="s">
        <v>12137</v>
      </c>
      <c r="K527" t="s">
        <v>13188</v>
      </c>
    </row>
    <row r="528" spans="1:11" s="1" customFormat="1" x14ac:dyDescent="0.25">
      <c r="A528" t="s">
        <v>12138</v>
      </c>
      <c r="B528" t="s">
        <v>12139</v>
      </c>
      <c r="C528" s="111"/>
      <c r="D528">
        <v>0</v>
      </c>
      <c r="E528"/>
      <c r="F528" t="s">
        <v>12141</v>
      </c>
      <c r="G528" t="s">
        <v>12140</v>
      </c>
      <c r="H528" t="s">
        <v>8750</v>
      </c>
      <c r="I528" t="s">
        <v>12139</v>
      </c>
      <c r="J528" t="s">
        <v>12141</v>
      </c>
      <c r="K528" t="s">
        <v>13186</v>
      </c>
    </row>
    <row r="529" spans="1:11" s="1" customFormat="1" x14ac:dyDescent="0.25">
      <c r="A529" t="s">
        <v>12142</v>
      </c>
      <c r="B529" t="s">
        <v>12143</v>
      </c>
      <c r="C529" s="111"/>
      <c r="D529">
        <v>0</v>
      </c>
      <c r="E529"/>
      <c r="F529" t="s">
        <v>12144</v>
      </c>
      <c r="G529" t="s">
        <v>12143</v>
      </c>
      <c r="H529" t="s">
        <v>8750</v>
      </c>
      <c r="I529" t="s">
        <v>12143</v>
      </c>
      <c r="J529" t="s">
        <v>12144</v>
      </c>
      <c r="K529" t="s">
        <v>13186</v>
      </c>
    </row>
    <row r="530" spans="1:11" s="1" customFormat="1" x14ac:dyDescent="0.25">
      <c r="A530" t="s">
        <v>12145</v>
      </c>
      <c r="B530" t="s">
        <v>12146</v>
      </c>
      <c r="C530" s="111"/>
      <c r="D530">
        <v>0</v>
      </c>
      <c r="E530"/>
      <c r="F530" t="s">
        <v>12147</v>
      </c>
      <c r="G530" t="s">
        <v>12146</v>
      </c>
      <c r="H530" t="s">
        <v>8750</v>
      </c>
      <c r="I530" t="s">
        <v>12146</v>
      </c>
      <c r="J530" t="s">
        <v>12147</v>
      </c>
      <c r="K530" t="s">
        <v>13189</v>
      </c>
    </row>
    <row r="531" spans="1:11" s="1" customFormat="1" x14ac:dyDescent="0.25">
      <c r="A531" t="s">
        <v>12148</v>
      </c>
      <c r="B531" t="s">
        <v>12149</v>
      </c>
      <c r="C531" s="111"/>
      <c r="D531" t="s">
        <v>8964</v>
      </c>
      <c r="E531">
        <v>0</v>
      </c>
      <c r="F531" t="s">
        <v>12151</v>
      </c>
      <c r="G531" t="s">
        <v>12150</v>
      </c>
      <c r="H531" t="s">
        <v>8750</v>
      </c>
      <c r="I531" t="s">
        <v>12149</v>
      </c>
      <c r="J531" t="s">
        <v>12151</v>
      </c>
      <c r="K531" t="s">
        <v>9567</v>
      </c>
    </row>
    <row r="532" spans="1:11" s="1" customFormat="1" x14ac:dyDescent="0.25">
      <c r="A532" t="s">
        <v>12152</v>
      </c>
      <c r="B532" t="s">
        <v>12153</v>
      </c>
      <c r="C532" s="111"/>
      <c r="D532" t="s">
        <v>8379</v>
      </c>
      <c r="E532">
        <v>945</v>
      </c>
      <c r="F532" t="s">
        <v>12154</v>
      </c>
      <c r="G532" t="s">
        <v>8750</v>
      </c>
      <c r="H532" t="s">
        <v>8750</v>
      </c>
      <c r="I532" t="s">
        <v>12153</v>
      </c>
      <c r="J532" t="s">
        <v>12154</v>
      </c>
      <c r="K532" t="s">
        <v>13186</v>
      </c>
    </row>
    <row r="533" spans="1:11" s="1" customFormat="1" x14ac:dyDescent="0.25">
      <c r="A533" t="s">
        <v>12155</v>
      </c>
      <c r="B533" t="s">
        <v>12156</v>
      </c>
      <c r="C533" s="111"/>
      <c r="D533" t="s">
        <v>8502</v>
      </c>
      <c r="E533">
        <v>0</v>
      </c>
      <c r="F533" t="s">
        <v>12158</v>
      </c>
      <c r="G533" t="s">
        <v>12157</v>
      </c>
      <c r="H533" t="s">
        <v>8750</v>
      </c>
      <c r="I533" t="s">
        <v>12156</v>
      </c>
      <c r="J533" t="s">
        <v>12158</v>
      </c>
      <c r="K533" t="s">
        <v>13186</v>
      </c>
    </row>
    <row r="534" spans="1:11" s="1" customFormat="1" x14ac:dyDescent="0.25">
      <c r="A534" t="s">
        <v>10819</v>
      </c>
      <c r="B534" t="s">
        <v>9674</v>
      </c>
      <c r="C534" s="111"/>
      <c r="D534" t="s">
        <v>8087</v>
      </c>
      <c r="E534">
        <v>102</v>
      </c>
      <c r="F534" t="s">
        <v>10820</v>
      </c>
      <c r="G534" t="s">
        <v>9674</v>
      </c>
      <c r="H534" t="s">
        <v>9252</v>
      </c>
      <c r="I534" t="s">
        <v>9674</v>
      </c>
      <c r="J534" t="s">
        <v>10820</v>
      </c>
      <c r="K534" t="s">
        <v>9674</v>
      </c>
    </row>
    <row r="535" spans="1:11" s="1" customFormat="1" x14ac:dyDescent="0.25">
      <c r="A535" t="s">
        <v>10821</v>
      </c>
      <c r="B535" t="s">
        <v>10702</v>
      </c>
      <c r="C535" s="111"/>
      <c r="D535" t="s">
        <v>8495</v>
      </c>
      <c r="E535">
        <v>360</v>
      </c>
      <c r="F535" t="s">
        <v>10822</v>
      </c>
      <c r="G535" t="s">
        <v>9674</v>
      </c>
      <c r="H535" t="s">
        <v>9252</v>
      </c>
      <c r="I535" t="s">
        <v>10702</v>
      </c>
      <c r="J535" t="s">
        <v>10822</v>
      </c>
      <c r="K535" t="s">
        <v>9674</v>
      </c>
    </row>
    <row r="536" spans="1:11" s="1" customFormat="1" x14ac:dyDescent="0.25">
      <c r="A536" t="s">
        <v>10823</v>
      </c>
      <c r="B536" t="s">
        <v>10824</v>
      </c>
      <c r="C536" s="111"/>
      <c r="D536" t="s">
        <v>10825</v>
      </c>
      <c r="E536">
        <v>1620</v>
      </c>
      <c r="F536" t="s">
        <v>10826</v>
      </c>
      <c r="G536" t="s">
        <v>9674</v>
      </c>
      <c r="H536" t="s">
        <v>9252</v>
      </c>
      <c r="I536" t="s">
        <v>10824</v>
      </c>
      <c r="J536" t="s">
        <v>10826</v>
      </c>
      <c r="K536" t="s">
        <v>9674</v>
      </c>
    </row>
    <row r="537" spans="1:11" s="1" customFormat="1" x14ac:dyDescent="0.25">
      <c r="A537" t="s">
        <v>10827</v>
      </c>
      <c r="B537" t="s">
        <v>10705</v>
      </c>
      <c r="C537" s="111"/>
      <c r="D537" t="s">
        <v>10828</v>
      </c>
      <c r="E537">
        <v>2664</v>
      </c>
      <c r="F537" t="s">
        <v>10829</v>
      </c>
      <c r="G537" t="s">
        <v>9674</v>
      </c>
      <c r="H537" t="s">
        <v>9252</v>
      </c>
      <c r="I537" t="s">
        <v>10705</v>
      </c>
      <c r="J537" t="s">
        <v>10829</v>
      </c>
      <c r="K537" t="s">
        <v>9674</v>
      </c>
    </row>
    <row r="538" spans="1:11" s="1" customFormat="1" x14ac:dyDescent="0.25">
      <c r="A538" t="s">
        <v>10830</v>
      </c>
      <c r="B538" t="s">
        <v>10831</v>
      </c>
      <c r="C538" s="111"/>
      <c r="D538" t="s">
        <v>10832</v>
      </c>
      <c r="E538">
        <v>1737</v>
      </c>
      <c r="F538" t="s">
        <v>10833</v>
      </c>
      <c r="G538" t="s">
        <v>9674</v>
      </c>
      <c r="H538" t="s">
        <v>9252</v>
      </c>
      <c r="I538" t="s">
        <v>10831</v>
      </c>
      <c r="J538" t="s">
        <v>10833</v>
      </c>
      <c r="K538" t="s">
        <v>9674</v>
      </c>
    </row>
    <row r="539" spans="1:11" s="1" customFormat="1" x14ac:dyDescent="0.25">
      <c r="A539" t="s">
        <v>10834</v>
      </c>
      <c r="B539" t="s">
        <v>10835</v>
      </c>
      <c r="C539" s="111"/>
      <c r="D539" t="s">
        <v>8176</v>
      </c>
      <c r="E539">
        <v>0</v>
      </c>
      <c r="F539" t="s">
        <v>10837</v>
      </c>
      <c r="G539" t="s">
        <v>10836</v>
      </c>
      <c r="H539" t="s">
        <v>9252</v>
      </c>
      <c r="I539" t="s">
        <v>10835</v>
      </c>
      <c r="J539" t="s">
        <v>10837</v>
      </c>
      <c r="K539" t="s">
        <v>10209</v>
      </c>
    </row>
    <row r="540" spans="1:11" s="1" customFormat="1" x14ac:dyDescent="0.25">
      <c r="A540" t="s">
        <v>10838</v>
      </c>
      <c r="B540" t="s">
        <v>10839</v>
      </c>
      <c r="C540" s="111"/>
      <c r="D540" t="s">
        <v>8380</v>
      </c>
      <c r="E540">
        <v>265</v>
      </c>
      <c r="F540" t="s">
        <v>10840</v>
      </c>
      <c r="G540" t="s">
        <v>10839</v>
      </c>
      <c r="H540" t="s">
        <v>9252</v>
      </c>
      <c r="I540" t="s">
        <v>10839</v>
      </c>
      <c r="J540" t="s">
        <v>10840</v>
      </c>
      <c r="K540" t="s">
        <v>8388</v>
      </c>
    </row>
    <row r="541" spans="1:11" s="1" customFormat="1" x14ac:dyDescent="0.25">
      <c r="A541" t="s">
        <v>10841</v>
      </c>
      <c r="B541" t="s">
        <v>10842</v>
      </c>
      <c r="C541" s="111"/>
      <c r="D541" t="s">
        <v>9097</v>
      </c>
      <c r="E541">
        <v>161</v>
      </c>
      <c r="F541" t="s">
        <v>10843</v>
      </c>
      <c r="G541" t="s">
        <v>10842</v>
      </c>
      <c r="H541" t="s">
        <v>9252</v>
      </c>
      <c r="I541" t="s">
        <v>10842</v>
      </c>
      <c r="J541" t="s">
        <v>10843</v>
      </c>
      <c r="K541" t="s">
        <v>10209</v>
      </c>
    </row>
    <row r="542" spans="1:11" s="1" customFormat="1" x14ac:dyDescent="0.25">
      <c r="A542" t="s">
        <v>10844</v>
      </c>
      <c r="B542" t="s">
        <v>8283</v>
      </c>
      <c r="C542" s="111"/>
      <c r="D542" t="s">
        <v>10845</v>
      </c>
      <c r="E542">
        <v>684</v>
      </c>
      <c r="F542" t="s">
        <v>10846</v>
      </c>
      <c r="G542" t="s">
        <v>8283</v>
      </c>
      <c r="H542" t="s">
        <v>9252</v>
      </c>
      <c r="I542" t="s">
        <v>8283</v>
      </c>
      <c r="J542" t="s">
        <v>10846</v>
      </c>
      <c r="K542" t="s">
        <v>8388</v>
      </c>
    </row>
    <row r="543" spans="1:11" s="1" customFormat="1" x14ac:dyDescent="0.25">
      <c r="A543" t="s">
        <v>10847</v>
      </c>
      <c r="B543" t="s">
        <v>9660</v>
      </c>
      <c r="C543" s="111"/>
      <c r="D543" t="s">
        <v>10848</v>
      </c>
      <c r="E543">
        <v>274</v>
      </c>
      <c r="F543" t="s">
        <v>10849</v>
      </c>
      <c r="G543" t="s">
        <v>9660</v>
      </c>
      <c r="H543" t="s">
        <v>9252</v>
      </c>
      <c r="I543" t="s">
        <v>9660</v>
      </c>
      <c r="J543" t="s">
        <v>10849</v>
      </c>
      <c r="K543" t="s">
        <v>9674</v>
      </c>
    </row>
    <row r="544" spans="1:11" s="1" customFormat="1" x14ac:dyDescent="0.25">
      <c r="A544" t="s">
        <v>10850</v>
      </c>
      <c r="B544" t="s">
        <v>10851</v>
      </c>
      <c r="C544" s="111"/>
      <c r="D544" t="s">
        <v>10852</v>
      </c>
      <c r="E544">
        <v>712</v>
      </c>
      <c r="F544" t="s">
        <v>10853</v>
      </c>
      <c r="G544" t="s">
        <v>10851</v>
      </c>
      <c r="H544" t="s">
        <v>9252</v>
      </c>
      <c r="I544" t="s">
        <v>10851</v>
      </c>
      <c r="J544" t="s">
        <v>10853</v>
      </c>
      <c r="K544" t="s">
        <v>8388</v>
      </c>
    </row>
    <row r="545" spans="1:11" s="1" customFormat="1" x14ac:dyDescent="0.25">
      <c r="A545" t="s">
        <v>10854</v>
      </c>
      <c r="B545" t="s">
        <v>10855</v>
      </c>
      <c r="C545" s="111"/>
      <c r="D545" t="s">
        <v>8087</v>
      </c>
      <c r="E545">
        <v>907</v>
      </c>
      <c r="F545" t="s">
        <v>10856</v>
      </c>
      <c r="G545" t="s">
        <v>10855</v>
      </c>
      <c r="H545" t="s">
        <v>9252</v>
      </c>
      <c r="I545" t="s">
        <v>10855</v>
      </c>
      <c r="J545" t="s">
        <v>10856</v>
      </c>
      <c r="K545" t="s">
        <v>9674</v>
      </c>
    </row>
    <row r="546" spans="1:11" s="1" customFormat="1" x14ac:dyDescent="0.25">
      <c r="A546" t="s">
        <v>10857</v>
      </c>
      <c r="B546" t="s">
        <v>10858</v>
      </c>
      <c r="C546" s="111"/>
      <c r="D546" t="s">
        <v>10365</v>
      </c>
      <c r="E546">
        <v>400</v>
      </c>
      <c r="F546" t="s">
        <v>10859</v>
      </c>
      <c r="G546" t="s">
        <v>10858</v>
      </c>
      <c r="H546" t="s">
        <v>9252</v>
      </c>
      <c r="I546" t="s">
        <v>10858</v>
      </c>
      <c r="J546" t="s">
        <v>10859</v>
      </c>
      <c r="K546" t="s">
        <v>10858</v>
      </c>
    </row>
    <row r="547" spans="1:11" s="1" customFormat="1" x14ac:dyDescent="0.25">
      <c r="A547" t="s">
        <v>10860</v>
      </c>
      <c r="B547" t="s">
        <v>10861</v>
      </c>
      <c r="C547" s="111"/>
      <c r="D547" t="s">
        <v>10862</v>
      </c>
      <c r="E547">
        <v>641</v>
      </c>
      <c r="F547" t="s">
        <v>10864</v>
      </c>
      <c r="G547" t="s">
        <v>10863</v>
      </c>
      <c r="H547" t="s">
        <v>9252</v>
      </c>
      <c r="I547" t="s">
        <v>10861</v>
      </c>
      <c r="J547" t="s">
        <v>10864</v>
      </c>
      <c r="K547" t="s">
        <v>10874</v>
      </c>
    </row>
    <row r="548" spans="1:11" s="1" customFormat="1" x14ac:dyDescent="0.25">
      <c r="A548" t="s">
        <v>10865</v>
      </c>
      <c r="B548" t="s">
        <v>10866</v>
      </c>
      <c r="C548" s="111"/>
      <c r="D548" t="s">
        <v>9807</v>
      </c>
      <c r="E548">
        <v>30</v>
      </c>
      <c r="F548" t="s">
        <v>10868</v>
      </c>
      <c r="G548" t="s">
        <v>10867</v>
      </c>
      <c r="H548" t="s">
        <v>9252</v>
      </c>
      <c r="I548" t="s">
        <v>10866</v>
      </c>
      <c r="J548" t="s">
        <v>10868</v>
      </c>
      <c r="K548" t="s">
        <v>10858</v>
      </c>
    </row>
    <row r="549" spans="1:11" s="1" customFormat="1" x14ac:dyDescent="0.25">
      <c r="A549" t="s">
        <v>10869</v>
      </c>
      <c r="B549" t="s">
        <v>10870</v>
      </c>
      <c r="C549" s="111"/>
      <c r="D549" t="s">
        <v>8697</v>
      </c>
      <c r="E549">
        <v>485</v>
      </c>
      <c r="F549" t="s">
        <v>10872</v>
      </c>
      <c r="G549" t="s">
        <v>10871</v>
      </c>
      <c r="H549" t="s">
        <v>9252</v>
      </c>
      <c r="I549" t="s">
        <v>10870</v>
      </c>
      <c r="J549" t="s">
        <v>10872</v>
      </c>
      <c r="K549" t="s">
        <v>11956</v>
      </c>
    </row>
    <row r="550" spans="1:11" s="1" customFormat="1" x14ac:dyDescent="0.25">
      <c r="A550" t="s">
        <v>10873</v>
      </c>
      <c r="B550" t="s">
        <v>10874</v>
      </c>
      <c r="C550" s="111"/>
      <c r="D550" t="s">
        <v>10875</v>
      </c>
      <c r="E550">
        <v>128</v>
      </c>
      <c r="F550" t="s">
        <v>10876</v>
      </c>
      <c r="G550" t="s">
        <v>10874</v>
      </c>
      <c r="H550" t="s">
        <v>9252</v>
      </c>
      <c r="I550" t="s">
        <v>10874</v>
      </c>
      <c r="J550" t="s">
        <v>10876</v>
      </c>
      <c r="K550" t="s">
        <v>10874</v>
      </c>
    </row>
    <row r="551" spans="1:11" s="1" customFormat="1" x14ac:dyDescent="0.25">
      <c r="A551" t="s">
        <v>10877</v>
      </c>
      <c r="B551" t="s">
        <v>10878</v>
      </c>
      <c r="C551" s="111"/>
      <c r="D551" t="s">
        <v>9908</v>
      </c>
      <c r="E551">
        <v>1036</v>
      </c>
      <c r="F551" t="s">
        <v>10879</v>
      </c>
      <c r="G551" t="s">
        <v>10878</v>
      </c>
      <c r="H551" t="s">
        <v>9252</v>
      </c>
      <c r="I551" t="s">
        <v>10878</v>
      </c>
      <c r="J551" t="s">
        <v>10879</v>
      </c>
      <c r="K551" t="s">
        <v>10878</v>
      </c>
    </row>
    <row r="552" spans="1:11" s="1" customFormat="1" x14ac:dyDescent="0.25">
      <c r="A552" t="s">
        <v>10880</v>
      </c>
      <c r="B552" t="s">
        <v>10881</v>
      </c>
      <c r="C552" s="111"/>
      <c r="D552" t="s">
        <v>8303</v>
      </c>
      <c r="E552">
        <v>255</v>
      </c>
      <c r="F552" t="s">
        <v>10882</v>
      </c>
      <c r="G552" t="s">
        <v>10881</v>
      </c>
      <c r="H552" t="s">
        <v>9252</v>
      </c>
      <c r="I552" t="s">
        <v>10881</v>
      </c>
      <c r="J552" t="s">
        <v>10882</v>
      </c>
      <c r="K552" t="s">
        <v>9674</v>
      </c>
    </row>
    <row r="553" spans="1:11" s="1" customFormat="1" x14ac:dyDescent="0.25">
      <c r="A553" t="s">
        <v>10883</v>
      </c>
      <c r="B553" t="s">
        <v>10884</v>
      </c>
      <c r="C553" s="111"/>
      <c r="D553" t="s">
        <v>8376</v>
      </c>
      <c r="E553">
        <v>378</v>
      </c>
      <c r="F553" t="s">
        <v>10885</v>
      </c>
      <c r="G553" t="s">
        <v>10884</v>
      </c>
      <c r="H553" t="s">
        <v>9252</v>
      </c>
      <c r="I553" t="s">
        <v>10884</v>
      </c>
      <c r="J553" t="s">
        <v>10885</v>
      </c>
      <c r="K553" t="s">
        <v>9674</v>
      </c>
    </row>
    <row r="554" spans="1:11" s="1" customFormat="1" x14ac:dyDescent="0.25">
      <c r="A554" t="s">
        <v>10886</v>
      </c>
      <c r="B554" t="s">
        <v>10887</v>
      </c>
      <c r="C554" s="111"/>
      <c r="D554" t="s">
        <v>10888</v>
      </c>
      <c r="E554">
        <v>201</v>
      </c>
      <c r="F554" t="s">
        <v>10889</v>
      </c>
      <c r="G554" t="s">
        <v>10887</v>
      </c>
      <c r="H554" t="s">
        <v>9252</v>
      </c>
      <c r="I554" t="s">
        <v>10887</v>
      </c>
      <c r="J554" t="s">
        <v>10889</v>
      </c>
      <c r="K554" t="s">
        <v>10914</v>
      </c>
    </row>
    <row r="555" spans="1:11" s="1" customFormat="1" x14ac:dyDescent="0.25">
      <c r="A555" t="s">
        <v>10890</v>
      </c>
      <c r="B555" t="s">
        <v>10891</v>
      </c>
      <c r="C555" s="111"/>
      <c r="D555" t="s">
        <v>8016</v>
      </c>
      <c r="E555">
        <v>0</v>
      </c>
      <c r="F555" t="s">
        <v>10892</v>
      </c>
      <c r="G555" t="s">
        <v>10891</v>
      </c>
      <c r="H555" t="s">
        <v>9252</v>
      </c>
      <c r="I555" t="s">
        <v>10891</v>
      </c>
      <c r="J555" t="s">
        <v>10892</v>
      </c>
      <c r="K555" t="s">
        <v>13190</v>
      </c>
    </row>
    <row r="556" spans="1:11" s="1" customFormat="1" x14ac:dyDescent="0.25">
      <c r="A556" t="s">
        <v>10893</v>
      </c>
      <c r="B556" t="s">
        <v>10894</v>
      </c>
      <c r="C556" s="111"/>
      <c r="D556" t="s">
        <v>10895</v>
      </c>
      <c r="E556"/>
      <c r="F556" t="s">
        <v>10896</v>
      </c>
      <c r="G556" t="s">
        <v>10894</v>
      </c>
      <c r="H556" t="s">
        <v>9252</v>
      </c>
      <c r="I556" t="s">
        <v>10894</v>
      </c>
      <c r="J556" t="s">
        <v>10896</v>
      </c>
      <c r="K556" t="s">
        <v>13190</v>
      </c>
    </row>
    <row r="557" spans="1:11" s="1" customFormat="1" x14ac:dyDescent="0.25">
      <c r="A557" t="s">
        <v>10897</v>
      </c>
      <c r="B557" t="s">
        <v>10209</v>
      </c>
      <c r="C557" s="111"/>
      <c r="D557" t="s">
        <v>8011</v>
      </c>
      <c r="E557">
        <v>1117</v>
      </c>
      <c r="F557" t="s">
        <v>10898</v>
      </c>
      <c r="G557" t="s">
        <v>10209</v>
      </c>
      <c r="H557" t="s">
        <v>9252</v>
      </c>
      <c r="I557" t="s">
        <v>10209</v>
      </c>
      <c r="J557" t="s">
        <v>10898</v>
      </c>
      <c r="K557" t="s">
        <v>10209</v>
      </c>
    </row>
    <row r="558" spans="1:11" s="1" customFormat="1" x14ac:dyDescent="0.25">
      <c r="A558" t="s">
        <v>10899</v>
      </c>
      <c r="B558" t="s">
        <v>10900</v>
      </c>
      <c r="C558" s="111"/>
      <c r="D558" t="s">
        <v>8454</v>
      </c>
      <c r="E558">
        <v>99</v>
      </c>
      <c r="F558" t="s">
        <v>10901</v>
      </c>
      <c r="G558" t="s">
        <v>10900</v>
      </c>
      <c r="H558" t="s">
        <v>9252</v>
      </c>
      <c r="I558" t="s">
        <v>10900</v>
      </c>
      <c r="J558" t="s">
        <v>10901</v>
      </c>
      <c r="K558" t="s">
        <v>10878</v>
      </c>
    </row>
    <row r="559" spans="1:11" s="1" customFormat="1" x14ac:dyDescent="0.25">
      <c r="A559" t="s">
        <v>10902</v>
      </c>
      <c r="B559" t="s">
        <v>10903</v>
      </c>
      <c r="C559" s="111"/>
      <c r="D559" t="s">
        <v>10904</v>
      </c>
      <c r="E559">
        <v>142</v>
      </c>
      <c r="F559" t="s">
        <v>10905</v>
      </c>
      <c r="G559" t="s">
        <v>10903</v>
      </c>
      <c r="H559" t="s">
        <v>9252</v>
      </c>
      <c r="I559" t="s">
        <v>10903</v>
      </c>
      <c r="J559" t="s">
        <v>10905</v>
      </c>
      <c r="K559" t="s">
        <v>10914</v>
      </c>
    </row>
    <row r="560" spans="1:11" s="1" customFormat="1" x14ac:dyDescent="0.25">
      <c r="A560" t="s">
        <v>10906</v>
      </c>
      <c r="B560" t="s">
        <v>10907</v>
      </c>
      <c r="C560" s="111"/>
      <c r="D560" t="s">
        <v>8062</v>
      </c>
      <c r="E560">
        <v>289</v>
      </c>
      <c r="F560" t="s">
        <v>10909</v>
      </c>
      <c r="G560" t="s">
        <v>10908</v>
      </c>
      <c r="H560" t="s">
        <v>9252</v>
      </c>
      <c r="I560" t="s">
        <v>10907</v>
      </c>
      <c r="J560" t="s">
        <v>10909</v>
      </c>
      <c r="K560" t="s">
        <v>11956</v>
      </c>
    </row>
    <row r="561" spans="1:11" s="1" customFormat="1" x14ac:dyDescent="0.25">
      <c r="A561" t="s">
        <v>10910</v>
      </c>
      <c r="B561" t="s">
        <v>10911</v>
      </c>
      <c r="C561" s="111"/>
      <c r="D561" t="s">
        <v>8087</v>
      </c>
      <c r="E561">
        <v>133</v>
      </c>
      <c r="F561" t="s">
        <v>10912</v>
      </c>
      <c r="G561" t="s">
        <v>10911</v>
      </c>
      <c r="H561" t="s">
        <v>9252</v>
      </c>
      <c r="I561" t="s">
        <v>10911</v>
      </c>
      <c r="J561" t="s">
        <v>10912</v>
      </c>
      <c r="K561" t="s">
        <v>9674</v>
      </c>
    </row>
    <row r="562" spans="1:11" s="1" customFormat="1" x14ac:dyDescent="0.25">
      <c r="A562" t="s">
        <v>10913</v>
      </c>
      <c r="B562" t="s">
        <v>10914</v>
      </c>
      <c r="C562" s="111"/>
      <c r="D562" t="s">
        <v>8011</v>
      </c>
      <c r="E562">
        <v>701</v>
      </c>
      <c r="F562" t="s">
        <v>10915</v>
      </c>
      <c r="G562" t="s">
        <v>10914</v>
      </c>
      <c r="H562" t="s">
        <v>9252</v>
      </c>
      <c r="I562" t="s">
        <v>10914</v>
      </c>
      <c r="J562" t="s">
        <v>10915</v>
      </c>
      <c r="K562" t="s">
        <v>10914</v>
      </c>
    </row>
    <row r="563" spans="1:11" s="1" customFormat="1" x14ac:dyDescent="0.25">
      <c r="A563" t="s">
        <v>10916</v>
      </c>
      <c r="B563" t="s">
        <v>10917</v>
      </c>
      <c r="C563" s="111"/>
      <c r="D563" t="s">
        <v>8380</v>
      </c>
      <c r="E563">
        <v>88</v>
      </c>
      <c r="F563" t="s">
        <v>10918</v>
      </c>
      <c r="G563" t="s">
        <v>10917</v>
      </c>
      <c r="H563" t="s">
        <v>9252</v>
      </c>
      <c r="I563" t="s">
        <v>10917</v>
      </c>
      <c r="J563" t="s">
        <v>10918</v>
      </c>
      <c r="K563" t="s">
        <v>11956</v>
      </c>
    </row>
    <row r="564" spans="1:11" s="1" customFormat="1" x14ac:dyDescent="0.25">
      <c r="A564" t="s">
        <v>10919</v>
      </c>
      <c r="B564" t="s">
        <v>10920</v>
      </c>
      <c r="C564" s="111"/>
      <c r="D564" t="s">
        <v>8016</v>
      </c>
      <c r="E564">
        <v>736</v>
      </c>
      <c r="F564" t="s">
        <v>10921</v>
      </c>
      <c r="G564" t="s">
        <v>10920</v>
      </c>
      <c r="H564" t="s">
        <v>9252</v>
      </c>
      <c r="I564" t="s">
        <v>10920</v>
      </c>
      <c r="J564" t="s">
        <v>10921</v>
      </c>
      <c r="K564" t="s">
        <v>10209</v>
      </c>
    </row>
    <row r="565" spans="1:11" s="1" customFormat="1" x14ac:dyDescent="0.25">
      <c r="A565" t="s">
        <v>10922</v>
      </c>
      <c r="B565" t="s">
        <v>10923</v>
      </c>
      <c r="C565" s="111"/>
      <c r="D565" t="s">
        <v>8303</v>
      </c>
      <c r="E565">
        <v>345</v>
      </c>
      <c r="F565" t="s">
        <v>10924</v>
      </c>
      <c r="G565" t="s">
        <v>10923</v>
      </c>
      <c r="H565" t="s">
        <v>9252</v>
      </c>
      <c r="I565" t="s">
        <v>10923</v>
      </c>
      <c r="J565" t="s">
        <v>10924</v>
      </c>
      <c r="K565" t="s">
        <v>9674</v>
      </c>
    </row>
    <row r="566" spans="1:11" s="1" customFormat="1" x14ac:dyDescent="0.25">
      <c r="A566" t="s">
        <v>10925</v>
      </c>
      <c r="B566" t="s">
        <v>10926</v>
      </c>
      <c r="C566" s="111"/>
      <c r="D566" t="s">
        <v>10862</v>
      </c>
      <c r="E566">
        <v>98</v>
      </c>
      <c r="F566" t="s">
        <v>10927</v>
      </c>
      <c r="G566" t="s">
        <v>10926</v>
      </c>
      <c r="H566" t="s">
        <v>9252</v>
      </c>
      <c r="I566" t="s">
        <v>10926</v>
      </c>
      <c r="J566" t="s">
        <v>10927</v>
      </c>
      <c r="K566" t="s">
        <v>10878</v>
      </c>
    </row>
    <row r="567" spans="1:11" s="1" customFormat="1" x14ac:dyDescent="0.25">
      <c r="A567" t="s">
        <v>10928</v>
      </c>
      <c r="B567" t="s">
        <v>10929</v>
      </c>
      <c r="C567" s="111"/>
      <c r="D567" t="s">
        <v>9997</v>
      </c>
      <c r="E567">
        <v>0</v>
      </c>
      <c r="F567" t="s">
        <v>10931</v>
      </c>
      <c r="G567" t="s">
        <v>10930</v>
      </c>
      <c r="H567" t="s">
        <v>9252</v>
      </c>
      <c r="I567" t="s">
        <v>10929</v>
      </c>
      <c r="J567" t="s">
        <v>10931</v>
      </c>
      <c r="K567" t="s">
        <v>10858</v>
      </c>
    </row>
    <row r="568" spans="1:11" s="1" customFormat="1" x14ac:dyDescent="0.25">
      <c r="A568" t="s">
        <v>10932</v>
      </c>
      <c r="B568" t="s">
        <v>10933</v>
      </c>
      <c r="C568" s="111"/>
      <c r="D568" t="s">
        <v>8087</v>
      </c>
      <c r="E568">
        <v>337</v>
      </c>
      <c r="F568" t="s">
        <v>10934</v>
      </c>
      <c r="G568" t="s">
        <v>10933</v>
      </c>
      <c r="H568" t="s">
        <v>9252</v>
      </c>
      <c r="I568" t="s">
        <v>10933</v>
      </c>
      <c r="J568" t="s">
        <v>10934</v>
      </c>
      <c r="K568" t="s">
        <v>9674</v>
      </c>
    </row>
    <row r="569" spans="1:11" s="1" customFormat="1" x14ac:dyDescent="0.25">
      <c r="A569" t="s">
        <v>10935</v>
      </c>
      <c r="B569" t="s">
        <v>8015</v>
      </c>
      <c r="C569" s="111"/>
      <c r="D569" t="s">
        <v>8689</v>
      </c>
      <c r="E569">
        <v>473</v>
      </c>
      <c r="F569" t="s">
        <v>10936</v>
      </c>
      <c r="G569" t="s">
        <v>8015</v>
      </c>
      <c r="H569" t="s">
        <v>9252</v>
      </c>
      <c r="I569" t="s">
        <v>8015</v>
      </c>
      <c r="J569" t="s">
        <v>10936</v>
      </c>
      <c r="K569" t="s">
        <v>8015</v>
      </c>
    </row>
    <row r="570" spans="1:11" s="1" customFormat="1" x14ac:dyDescent="0.25">
      <c r="A570" t="s">
        <v>10937</v>
      </c>
      <c r="B570" t="s">
        <v>10938</v>
      </c>
      <c r="C570" s="111"/>
      <c r="D570" t="s">
        <v>7968</v>
      </c>
      <c r="E570">
        <v>171</v>
      </c>
      <c r="F570" t="s">
        <v>10940</v>
      </c>
      <c r="G570" t="s">
        <v>10939</v>
      </c>
      <c r="H570" t="s">
        <v>9252</v>
      </c>
      <c r="I570" t="s">
        <v>10938</v>
      </c>
      <c r="J570" t="s">
        <v>10940</v>
      </c>
      <c r="K570" t="s">
        <v>10858</v>
      </c>
    </row>
    <row r="571" spans="1:11" s="1" customFormat="1" x14ac:dyDescent="0.25">
      <c r="A571" t="s">
        <v>10941</v>
      </c>
      <c r="B571" t="s">
        <v>10942</v>
      </c>
      <c r="C571" s="111"/>
      <c r="D571" t="s">
        <v>8380</v>
      </c>
      <c r="E571">
        <v>575</v>
      </c>
      <c r="F571" t="s">
        <v>10943</v>
      </c>
      <c r="G571" t="s">
        <v>10942</v>
      </c>
      <c r="H571" t="s">
        <v>9252</v>
      </c>
      <c r="I571" t="s">
        <v>10942</v>
      </c>
      <c r="J571" t="s">
        <v>10943</v>
      </c>
      <c r="K571" t="s">
        <v>10942</v>
      </c>
    </row>
    <row r="572" spans="1:11" s="1" customFormat="1" x14ac:dyDescent="0.25">
      <c r="A572" t="s">
        <v>10944</v>
      </c>
      <c r="B572" t="s">
        <v>10945</v>
      </c>
      <c r="C572" s="111"/>
      <c r="D572" t="s">
        <v>10946</v>
      </c>
      <c r="E572">
        <v>396</v>
      </c>
      <c r="F572" t="s">
        <v>10947</v>
      </c>
      <c r="G572" t="s">
        <v>10942</v>
      </c>
      <c r="H572" t="s">
        <v>9252</v>
      </c>
      <c r="I572" t="s">
        <v>10945</v>
      </c>
      <c r="J572" t="s">
        <v>10947</v>
      </c>
      <c r="K572" t="s">
        <v>10942</v>
      </c>
    </row>
    <row r="573" spans="1:11" s="1" customFormat="1" x14ac:dyDescent="0.25">
      <c r="A573" t="s">
        <v>10948</v>
      </c>
      <c r="B573" t="s">
        <v>10949</v>
      </c>
      <c r="C573" s="111"/>
      <c r="D573" t="s">
        <v>10950</v>
      </c>
      <c r="E573">
        <v>1320</v>
      </c>
      <c r="F573" t="s">
        <v>10951</v>
      </c>
      <c r="G573" t="s">
        <v>10949</v>
      </c>
      <c r="H573" t="s">
        <v>9252</v>
      </c>
      <c r="I573" t="s">
        <v>10949</v>
      </c>
      <c r="J573" t="s">
        <v>10951</v>
      </c>
      <c r="K573" t="s">
        <v>10956</v>
      </c>
    </row>
    <row r="574" spans="1:11" s="1" customFormat="1" x14ac:dyDescent="0.25">
      <c r="A574" t="s">
        <v>10952</v>
      </c>
      <c r="B574" t="s">
        <v>8176</v>
      </c>
      <c r="C574" s="111"/>
      <c r="D574" t="s">
        <v>10953</v>
      </c>
      <c r="E574">
        <v>431</v>
      </c>
      <c r="F574" t="s">
        <v>10954</v>
      </c>
      <c r="G574" t="s">
        <v>8176</v>
      </c>
      <c r="H574" t="s">
        <v>9252</v>
      </c>
      <c r="I574" t="s">
        <v>8176</v>
      </c>
      <c r="J574" t="s">
        <v>10954</v>
      </c>
      <c r="K574" t="s">
        <v>8176</v>
      </c>
    </row>
    <row r="575" spans="1:11" s="1" customFormat="1" x14ac:dyDescent="0.25">
      <c r="A575" t="s">
        <v>10955</v>
      </c>
      <c r="B575" t="s">
        <v>10956</v>
      </c>
      <c r="C575" s="111"/>
      <c r="D575" t="s">
        <v>10957</v>
      </c>
      <c r="E575">
        <v>1272</v>
      </c>
      <c r="F575" t="s">
        <v>10958</v>
      </c>
      <c r="G575" t="s">
        <v>10956</v>
      </c>
      <c r="H575" t="s">
        <v>9252</v>
      </c>
      <c r="I575" t="s">
        <v>10956</v>
      </c>
      <c r="J575" t="s">
        <v>10958</v>
      </c>
      <c r="K575" t="s">
        <v>10956</v>
      </c>
    </row>
    <row r="576" spans="1:11" s="1" customFormat="1" x14ac:dyDescent="0.25">
      <c r="A576" t="s">
        <v>10959</v>
      </c>
      <c r="B576" t="s">
        <v>10960</v>
      </c>
      <c r="C576" s="111"/>
      <c r="D576" t="s">
        <v>10961</v>
      </c>
      <c r="E576">
        <v>430</v>
      </c>
      <c r="F576" t="s">
        <v>10962</v>
      </c>
      <c r="G576" t="s">
        <v>10960</v>
      </c>
      <c r="H576" t="s">
        <v>9252</v>
      </c>
      <c r="I576" t="s">
        <v>10960</v>
      </c>
      <c r="J576" t="s">
        <v>10962</v>
      </c>
      <c r="K576" t="s">
        <v>10960</v>
      </c>
    </row>
    <row r="577" spans="1:11" s="1" customFormat="1" x14ac:dyDescent="0.25">
      <c r="A577" t="s">
        <v>10963</v>
      </c>
      <c r="B577" t="s">
        <v>10964</v>
      </c>
      <c r="C577" s="111"/>
      <c r="D577" t="s">
        <v>10875</v>
      </c>
      <c r="E577">
        <v>502</v>
      </c>
      <c r="F577" t="s">
        <v>10966</v>
      </c>
      <c r="G577" t="s">
        <v>10965</v>
      </c>
      <c r="H577" t="s">
        <v>9252</v>
      </c>
      <c r="I577" t="s">
        <v>10964</v>
      </c>
      <c r="J577" t="s">
        <v>10966</v>
      </c>
      <c r="K577" t="s">
        <v>10986</v>
      </c>
    </row>
    <row r="578" spans="1:11" s="1" customFormat="1" x14ac:dyDescent="0.25">
      <c r="A578" t="s">
        <v>10967</v>
      </c>
      <c r="B578" t="s">
        <v>10968</v>
      </c>
      <c r="C578" s="111"/>
      <c r="D578" t="s">
        <v>10969</v>
      </c>
      <c r="E578"/>
      <c r="F578" t="s">
        <v>10970</v>
      </c>
      <c r="G578" t="s">
        <v>9997</v>
      </c>
      <c r="H578" t="s">
        <v>9252</v>
      </c>
      <c r="I578" t="s">
        <v>10968</v>
      </c>
      <c r="J578" t="s">
        <v>10970</v>
      </c>
      <c r="K578" t="s">
        <v>8388</v>
      </c>
    </row>
    <row r="579" spans="1:11" s="1" customFormat="1" x14ac:dyDescent="0.25">
      <c r="A579" t="s">
        <v>10971</v>
      </c>
      <c r="B579" t="s">
        <v>10972</v>
      </c>
      <c r="C579" s="111"/>
      <c r="D579" t="s">
        <v>10973</v>
      </c>
      <c r="E579"/>
      <c r="F579" t="s">
        <v>10974</v>
      </c>
      <c r="G579" t="s">
        <v>10972</v>
      </c>
      <c r="H579" t="s">
        <v>9252</v>
      </c>
      <c r="I579" t="s">
        <v>10972</v>
      </c>
      <c r="J579" t="s">
        <v>10974</v>
      </c>
      <c r="K579" t="s">
        <v>11004</v>
      </c>
    </row>
    <row r="580" spans="1:11" s="1" customFormat="1" x14ac:dyDescent="0.25">
      <c r="A580" t="s">
        <v>10975</v>
      </c>
      <c r="B580" t="s">
        <v>10976</v>
      </c>
      <c r="C580" s="111"/>
      <c r="D580" t="s">
        <v>9524</v>
      </c>
      <c r="E580">
        <v>1140</v>
      </c>
      <c r="F580" t="s">
        <v>10977</v>
      </c>
      <c r="G580" t="s">
        <v>10976</v>
      </c>
      <c r="H580" t="s">
        <v>9252</v>
      </c>
      <c r="I580" t="s">
        <v>10976</v>
      </c>
      <c r="J580" t="s">
        <v>10977</v>
      </c>
      <c r="K580" t="s">
        <v>10956</v>
      </c>
    </row>
    <row r="581" spans="1:11" s="1" customFormat="1" x14ac:dyDescent="0.25">
      <c r="A581" t="s">
        <v>10978</v>
      </c>
      <c r="B581" t="s">
        <v>9800</v>
      </c>
      <c r="C581" s="111"/>
      <c r="D581" t="s">
        <v>10979</v>
      </c>
      <c r="E581">
        <v>1622</v>
      </c>
      <c r="F581" t="s">
        <v>10980</v>
      </c>
      <c r="G581" t="s">
        <v>9800</v>
      </c>
      <c r="H581" t="s">
        <v>9252</v>
      </c>
      <c r="I581" t="s">
        <v>9800</v>
      </c>
      <c r="J581" t="s">
        <v>10980</v>
      </c>
      <c r="K581" t="s">
        <v>8176</v>
      </c>
    </row>
    <row r="582" spans="1:11" s="1" customFormat="1" x14ac:dyDescent="0.25">
      <c r="A582" t="s">
        <v>10981</v>
      </c>
      <c r="B582" t="s">
        <v>10982</v>
      </c>
      <c r="C582" s="111"/>
      <c r="D582" t="s">
        <v>8313</v>
      </c>
      <c r="E582">
        <v>173</v>
      </c>
      <c r="F582" t="s">
        <v>10984</v>
      </c>
      <c r="G582" t="s">
        <v>10983</v>
      </c>
      <c r="H582" t="s">
        <v>9252</v>
      </c>
      <c r="I582" t="s">
        <v>10982</v>
      </c>
      <c r="J582" t="s">
        <v>10984</v>
      </c>
      <c r="K582" t="s">
        <v>13191</v>
      </c>
    </row>
    <row r="583" spans="1:11" s="1" customFormat="1" x14ac:dyDescent="0.25">
      <c r="A583" t="s">
        <v>10985</v>
      </c>
      <c r="B583" t="s">
        <v>10986</v>
      </c>
      <c r="C583" s="111"/>
      <c r="D583" t="s">
        <v>10368</v>
      </c>
      <c r="E583">
        <v>165</v>
      </c>
      <c r="F583" t="s">
        <v>10987</v>
      </c>
      <c r="G583" t="s">
        <v>10986</v>
      </c>
      <c r="H583" t="s">
        <v>9252</v>
      </c>
      <c r="I583" t="s">
        <v>10986</v>
      </c>
      <c r="J583" t="s">
        <v>10987</v>
      </c>
      <c r="K583" t="s">
        <v>10986</v>
      </c>
    </row>
    <row r="584" spans="1:11" s="1" customFormat="1" x14ac:dyDescent="0.25">
      <c r="A584" t="s">
        <v>10988</v>
      </c>
      <c r="B584" t="s">
        <v>10989</v>
      </c>
      <c r="C584" s="111"/>
      <c r="D584" t="s">
        <v>10990</v>
      </c>
      <c r="E584">
        <v>185</v>
      </c>
      <c r="F584" t="s">
        <v>10991</v>
      </c>
      <c r="G584" t="s">
        <v>10989</v>
      </c>
      <c r="H584" t="s">
        <v>9252</v>
      </c>
      <c r="I584" t="s">
        <v>10989</v>
      </c>
      <c r="J584" t="s">
        <v>10991</v>
      </c>
      <c r="K584" t="s">
        <v>8176</v>
      </c>
    </row>
    <row r="585" spans="1:11" s="1" customFormat="1" x14ac:dyDescent="0.25">
      <c r="A585" t="s">
        <v>10992</v>
      </c>
      <c r="B585" t="s">
        <v>10993</v>
      </c>
      <c r="C585" s="111"/>
      <c r="D585" t="s">
        <v>10994</v>
      </c>
      <c r="E585">
        <v>200</v>
      </c>
      <c r="F585" t="s">
        <v>10995</v>
      </c>
      <c r="G585" t="s">
        <v>10993</v>
      </c>
      <c r="H585" t="s">
        <v>9252</v>
      </c>
      <c r="I585" t="s">
        <v>10993</v>
      </c>
      <c r="J585" t="s">
        <v>10995</v>
      </c>
      <c r="K585" t="s">
        <v>11004</v>
      </c>
    </row>
    <row r="586" spans="1:11" s="1" customFormat="1" x14ac:dyDescent="0.25">
      <c r="A586" t="s">
        <v>10996</v>
      </c>
      <c r="B586" t="s">
        <v>9375</v>
      </c>
      <c r="C586" s="111"/>
      <c r="D586" t="s">
        <v>10997</v>
      </c>
      <c r="E586">
        <v>1306</v>
      </c>
      <c r="F586" t="s">
        <v>10998</v>
      </c>
      <c r="G586" t="s">
        <v>9375</v>
      </c>
      <c r="H586" t="s">
        <v>9252</v>
      </c>
      <c r="I586" t="s">
        <v>9375</v>
      </c>
      <c r="J586" t="s">
        <v>10998</v>
      </c>
      <c r="K586" t="s">
        <v>8176</v>
      </c>
    </row>
    <row r="587" spans="1:11" s="1" customFormat="1" x14ac:dyDescent="0.25">
      <c r="A587" t="s">
        <v>10999</v>
      </c>
      <c r="B587" t="s">
        <v>11000</v>
      </c>
      <c r="C587" s="111"/>
      <c r="D587" t="s">
        <v>11001</v>
      </c>
      <c r="E587"/>
      <c r="F587" t="s">
        <v>11002</v>
      </c>
      <c r="G587" t="s">
        <v>11000</v>
      </c>
      <c r="H587" t="s">
        <v>9252</v>
      </c>
      <c r="I587" t="s">
        <v>11000</v>
      </c>
      <c r="J587" t="s">
        <v>11002</v>
      </c>
      <c r="K587" t="s">
        <v>8388</v>
      </c>
    </row>
    <row r="588" spans="1:11" s="1" customFormat="1" x14ac:dyDescent="0.25">
      <c r="A588" t="s">
        <v>11003</v>
      </c>
      <c r="B588" t="s">
        <v>11004</v>
      </c>
      <c r="C588" s="111"/>
      <c r="D588" t="s">
        <v>9005</v>
      </c>
      <c r="E588">
        <v>921</v>
      </c>
      <c r="F588" t="s">
        <v>11005</v>
      </c>
      <c r="G588" t="s">
        <v>11004</v>
      </c>
      <c r="H588" t="s">
        <v>9252</v>
      </c>
      <c r="I588" t="s">
        <v>11004</v>
      </c>
      <c r="J588" t="s">
        <v>11005</v>
      </c>
      <c r="K588" t="s">
        <v>11004</v>
      </c>
    </row>
    <row r="589" spans="1:11" s="1" customFormat="1" x14ac:dyDescent="0.25">
      <c r="A589" t="s">
        <v>11006</v>
      </c>
      <c r="B589" t="s">
        <v>11007</v>
      </c>
      <c r="C589" s="111"/>
      <c r="D589" t="s">
        <v>9674</v>
      </c>
      <c r="E589">
        <v>0</v>
      </c>
      <c r="F589" t="s">
        <v>11008</v>
      </c>
      <c r="G589" t="s">
        <v>11007</v>
      </c>
      <c r="H589" t="s">
        <v>9252</v>
      </c>
      <c r="I589" t="s">
        <v>11007</v>
      </c>
      <c r="J589" t="s">
        <v>11008</v>
      </c>
      <c r="K589" t="s">
        <v>10858</v>
      </c>
    </row>
    <row r="590" spans="1:11" s="1" customFormat="1" x14ac:dyDescent="0.25">
      <c r="A590" t="s">
        <v>11009</v>
      </c>
      <c r="B590" t="s">
        <v>11010</v>
      </c>
      <c r="C590" s="111"/>
      <c r="D590" t="s">
        <v>11011</v>
      </c>
      <c r="E590">
        <v>0</v>
      </c>
      <c r="F590" t="s">
        <v>11012</v>
      </c>
      <c r="G590" t="s">
        <v>11010</v>
      </c>
      <c r="H590" t="s">
        <v>9252</v>
      </c>
      <c r="I590" t="s">
        <v>11010</v>
      </c>
      <c r="J590" t="s">
        <v>11012</v>
      </c>
      <c r="K590" t="s">
        <v>11956</v>
      </c>
    </row>
    <row r="591" spans="1:11" s="1" customFormat="1" x14ac:dyDescent="0.25">
      <c r="A591" t="s">
        <v>11013</v>
      </c>
      <c r="B591" t="s">
        <v>11014</v>
      </c>
      <c r="C591" s="111"/>
      <c r="D591" t="s">
        <v>9723</v>
      </c>
      <c r="E591"/>
      <c r="F591" t="s">
        <v>11015</v>
      </c>
      <c r="G591" t="s">
        <v>11014</v>
      </c>
      <c r="H591" t="s">
        <v>9252</v>
      </c>
      <c r="I591" t="s">
        <v>11014</v>
      </c>
      <c r="J591" t="s">
        <v>11015</v>
      </c>
      <c r="K591" t="s">
        <v>10858</v>
      </c>
    </row>
    <row r="592" spans="1:11" s="1" customFormat="1" x14ac:dyDescent="0.25">
      <c r="A592" t="s">
        <v>11016</v>
      </c>
      <c r="B592" t="s">
        <v>9451</v>
      </c>
      <c r="C592" s="111"/>
      <c r="D592" t="s">
        <v>7987</v>
      </c>
      <c r="E592">
        <v>255</v>
      </c>
      <c r="F592" t="s">
        <v>11017</v>
      </c>
      <c r="G592" t="s">
        <v>9674</v>
      </c>
      <c r="H592" t="s">
        <v>9252</v>
      </c>
      <c r="I592" t="s">
        <v>9451</v>
      </c>
      <c r="J592" t="s">
        <v>11017</v>
      </c>
      <c r="K592" t="s">
        <v>9674</v>
      </c>
    </row>
    <row r="593" spans="1:11" s="1" customFormat="1" x14ac:dyDescent="0.25">
      <c r="A593" t="s">
        <v>11018</v>
      </c>
      <c r="B593" t="s">
        <v>11019</v>
      </c>
      <c r="C593" s="111"/>
      <c r="D593" t="s">
        <v>11020</v>
      </c>
      <c r="E593">
        <v>1</v>
      </c>
      <c r="F593" t="s">
        <v>11021</v>
      </c>
      <c r="G593" t="s">
        <v>9674</v>
      </c>
      <c r="H593" t="s">
        <v>9252</v>
      </c>
      <c r="I593" t="s">
        <v>11019</v>
      </c>
      <c r="J593" t="s">
        <v>11021</v>
      </c>
      <c r="K593" t="s">
        <v>9674</v>
      </c>
    </row>
    <row r="594" spans="1:11" s="1" customFormat="1" x14ac:dyDescent="0.25">
      <c r="A594" t="s">
        <v>11290</v>
      </c>
      <c r="B594" t="s">
        <v>9593</v>
      </c>
      <c r="C594" s="3"/>
      <c r="D594" t="s">
        <v>8016</v>
      </c>
      <c r="E594">
        <v>258</v>
      </c>
      <c r="F594" t="s">
        <v>11291</v>
      </c>
      <c r="G594" t="s">
        <v>9593</v>
      </c>
      <c r="H594" t="s">
        <v>9593</v>
      </c>
      <c r="I594" t="s">
        <v>9593</v>
      </c>
      <c r="J594" t="s">
        <v>11291</v>
      </c>
      <c r="K594" t="s">
        <v>13163</v>
      </c>
    </row>
    <row r="595" spans="1:11" s="1" customFormat="1" x14ac:dyDescent="0.25">
      <c r="A595" t="s">
        <v>11292</v>
      </c>
      <c r="B595" t="s">
        <v>11293</v>
      </c>
      <c r="C595" s="3"/>
      <c r="D595" t="s">
        <v>8011</v>
      </c>
      <c r="E595">
        <v>229</v>
      </c>
      <c r="F595" t="s">
        <v>11294</v>
      </c>
      <c r="G595" t="s">
        <v>11293</v>
      </c>
      <c r="H595" t="s">
        <v>9593</v>
      </c>
      <c r="I595" t="s">
        <v>11293</v>
      </c>
      <c r="J595" t="s">
        <v>11294</v>
      </c>
      <c r="K595" t="s">
        <v>13192</v>
      </c>
    </row>
    <row r="596" spans="1:11" s="1" customFormat="1" x14ac:dyDescent="0.25">
      <c r="A596" t="s">
        <v>11295</v>
      </c>
      <c r="B596" t="s">
        <v>11296</v>
      </c>
      <c r="C596" s="111"/>
      <c r="D596" t="s">
        <v>10515</v>
      </c>
      <c r="E596">
        <v>0</v>
      </c>
      <c r="F596" t="s">
        <v>11297</v>
      </c>
      <c r="G596" t="s">
        <v>11296</v>
      </c>
      <c r="H596" t="s">
        <v>9593</v>
      </c>
      <c r="I596" t="s">
        <v>11296</v>
      </c>
      <c r="J596" t="s">
        <v>11297</v>
      </c>
      <c r="K596" t="s">
        <v>10515</v>
      </c>
    </row>
    <row r="597" spans="1:11" s="1" customFormat="1" x14ac:dyDescent="0.25">
      <c r="A597" t="s">
        <v>11298</v>
      </c>
      <c r="B597" t="s">
        <v>11299</v>
      </c>
      <c r="C597" s="3"/>
      <c r="D597" t="s">
        <v>11300</v>
      </c>
      <c r="E597">
        <v>0</v>
      </c>
      <c r="F597" t="s">
        <v>11301</v>
      </c>
      <c r="G597" t="s">
        <v>11299</v>
      </c>
      <c r="H597" t="s">
        <v>9593</v>
      </c>
      <c r="I597" t="s">
        <v>11299</v>
      </c>
      <c r="J597" t="s">
        <v>11301</v>
      </c>
      <c r="K597" t="s">
        <v>10515</v>
      </c>
    </row>
    <row r="598" spans="1:11" s="1" customFormat="1" x14ac:dyDescent="0.25">
      <c r="A598" t="s">
        <v>11302</v>
      </c>
      <c r="B598" t="s">
        <v>11303</v>
      </c>
      <c r="C598" s="3"/>
      <c r="D598" t="s">
        <v>10515</v>
      </c>
      <c r="E598">
        <v>33</v>
      </c>
      <c r="F598" t="s">
        <v>11304</v>
      </c>
      <c r="G598" t="s">
        <v>11303</v>
      </c>
      <c r="H598" t="s">
        <v>9593</v>
      </c>
      <c r="I598" t="s">
        <v>11303</v>
      </c>
      <c r="J598" t="s">
        <v>11304</v>
      </c>
      <c r="K598" t="s">
        <v>10515</v>
      </c>
    </row>
    <row r="599" spans="1:11" s="1" customFormat="1" x14ac:dyDescent="0.25">
      <c r="A599" t="s">
        <v>11305</v>
      </c>
      <c r="B599" t="s">
        <v>11306</v>
      </c>
      <c r="C599" s="3"/>
      <c r="D599" t="s">
        <v>9831</v>
      </c>
      <c r="E599">
        <v>0</v>
      </c>
      <c r="F599" t="s">
        <v>11307</v>
      </c>
      <c r="G599" t="s">
        <v>11306</v>
      </c>
      <c r="H599" t="s">
        <v>9593</v>
      </c>
      <c r="I599" t="s">
        <v>11306</v>
      </c>
      <c r="J599" t="s">
        <v>11307</v>
      </c>
      <c r="K599" t="s">
        <v>11324</v>
      </c>
    </row>
    <row r="600" spans="1:11" s="1" customFormat="1" x14ac:dyDescent="0.25">
      <c r="A600" t="s">
        <v>11308</v>
      </c>
      <c r="B600" t="s">
        <v>11309</v>
      </c>
      <c r="C600" s="111"/>
      <c r="D600" t="s">
        <v>8011</v>
      </c>
      <c r="E600">
        <v>100</v>
      </c>
      <c r="F600" t="s">
        <v>11310</v>
      </c>
      <c r="G600" t="s">
        <v>11309</v>
      </c>
      <c r="H600" t="s">
        <v>9593</v>
      </c>
      <c r="I600" t="s">
        <v>11309</v>
      </c>
      <c r="J600" t="s">
        <v>11310</v>
      </c>
      <c r="K600" t="s">
        <v>11309</v>
      </c>
    </row>
    <row r="601" spans="1:11" s="1" customFormat="1" x14ac:dyDescent="0.25">
      <c r="A601" t="s">
        <v>11311</v>
      </c>
      <c r="B601" t="s">
        <v>11312</v>
      </c>
      <c r="C601" s="3"/>
      <c r="D601" t="s">
        <v>11313</v>
      </c>
      <c r="E601">
        <v>125</v>
      </c>
      <c r="F601" t="s">
        <v>11314</v>
      </c>
      <c r="G601" t="s">
        <v>11312</v>
      </c>
      <c r="H601" t="s">
        <v>9593</v>
      </c>
      <c r="I601" t="s">
        <v>11312</v>
      </c>
      <c r="J601" t="s">
        <v>11314</v>
      </c>
      <c r="K601" t="s">
        <v>13981</v>
      </c>
    </row>
    <row r="602" spans="1:11" s="1" customFormat="1" x14ac:dyDescent="0.25">
      <c r="A602" t="s">
        <v>11315</v>
      </c>
      <c r="B602" t="s">
        <v>11316</v>
      </c>
      <c r="C602" s="111"/>
      <c r="D602" t="s">
        <v>11317</v>
      </c>
      <c r="E602">
        <v>201</v>
      </c>
      <c r="F602" t="s">
        <v>11318</v>
      </c>
      <c r="G602" t="s">
        <v>11316</v>
      </c>
      <c r="H602" t="s">
        <v>9593</v>
      </c>
      <c r="I602" t="s">
        <v>11316</v>
      </c>
      <c r="J602" t="s">
        <v>11318</v>
      </c>
      <c r="K602" t="s">
        <v>11316</v>
      </c>
    </row>
    <row r="603" spans="1:11" s="1" customFormat="1" x14ac:dyDescent="0.25">
      <c r="A603" t="s">
        <v>11319</v>
      </c>
      <c r="B603" t="s">
        <v>11320</v>
      </c>
      <c r="C603" s="111"/>
      <c r="D603" t="s">
        <v>10699</v>
      </c>
      <c r="E603">
        <v>120</v>
      </c>
      <c r="F603" t="s">
        <v>11322</v>
      </c>
      <c r="G603" t="s">
        <v>11321</v>
      </c>
      <c r="H603" t="s">
        <v>9593</v>
      </c>
      <c r="I603" t="s">
        <v>11320</v>
      </c>
      <c r="J603" t="s">
        <v>11322</v>
      </c>
      <c r="K603" t="s">
        <v>13981</v>
      </c>
    </row>
    <row r="604" spans="1:11" s="1" customFormat="1" x14ac:dyDescent="0.25">
      <c r="A604" t="s">
        <v>11323</v>
      </c>
      <c r="B604" t="s">
        <v>11324</v>
      </c>
      <c r="C604" s="3"/>
      <c r="D604" t="s">
        <v>11325</v>
      </c>
      <c r="E604">
        <v>50</v>
      </c>
      <c r="F604" t="s">
        <v>11326</v>
      </c>
      <c r="G604" t="s">
        <v>11324</v>
      </c>
      <c r="H604" t="s">
        <v>9593</v>
      </c>
      <c r="I604" t="s">
        <v>11324</v>
      </c>
      <c r="J604" t="s">
        <v>11326</v>
      </c>
      <c r="K604" t="s">
        <v>11324</v>
      </c>
    </row>
    <row r="605" spans="1:11" s="1" customFormat="1" x14ac:dyDescent="0.25">
      <c r="A605" t="s">
        <v>11327</v>
      </c>
      <c r="B605" t="s">
        <v>11328</v>
      </c>
      <c r="C605" s="3"/>
      <c r="D605" t="s">
        <v>8442</v>
      </c>
      <c r="E605">
        <v>1200</v>
      </c>
      <c r="F605" t="s">
        <v>11329</v>
      </c>
      <c r="G605" t="s">
        <v>11328</v>
      </c>
      <c r="H605" t="s">
        <v>9593</v>
      </c>
      <c r="I605" t="s">
        <v>11328</v>
      </c>
      <c r="J605" t="s">
        <v>11329</v>
      </c>
      <c r="K605" t="s">
        <v>13193</v>
      </c>
    </row>
    <row r="606" spans="1:11" s="1" customFormat="1" x14ac:dyDescent="0.25">
      <c r="A606" t="s">
        <v>11330</v>
      </c>
      <c r="B606" t="s">
        <v>11331</v>
      </c>
      <c r="C606" s="111"/>
      <c r="D606" t="s">
        <v>11332</v>
      </c>
      <c r="E606">
        <v>0</v>
      </c>
      <c r="F606" t="s">
        <v>11333</v>
      </c>
      <c r="G606" t="s">
        <v>11331</v>
      </c>
      <c r="H606" t="s">
        <v>9593</v>
      </c>
      <c r="I606" t="s">
        <v>11331</v>
      </c>
      <c r="J606" t="s">
        <v>11333</v>
      </c>
      <c r="K606" t="s">
        <v>13194</v>
      </c>
    </row>
    <row r="607" spans="1:11" s="1" customFormat="1" x14ac:dyDescent="0.25">
      <c r="A607" t="s">
        <v>11334</v>
      </c>
      <c r="B607" t="s">
        <v>11335</v>
      </c>
      <c r="C607" s="3"/>
      <c r="D607" t="s">
        <v>8682</v>
      </c>
      <c r="E607">
        <v>259</v>
      </c>
      <c r="F607" t="s">
        <v>11336</v>
      </c>
      <c r="G607" t="s">
        <v>11335</v>
      </c>
      <c r="H607" t="s">
        <v>9593</v>
      </c>
      <c r="I607" t="s">
        <v>11335</v>
      </c>
      <c r="J607" t="s">
        <v>11336</v>
      </c>
      <c r="K607" t="s">
        <v>13195</v>
      </c>
    </row>
    <row r="608" spans="1:11" s="1" customFormat="1" x14ac:dyDescent="0.25">
      <c r="A608" t="s">
        <v>11337</v>
      </c>
      <c r="B608" t="s">
        <v>11338</v>
      </c>
      <c r="C608" s="3"/>
      <c r="D608" t="s">
        <v>11339</v>
      </c>
      <c r="E608">
        <v>905</v>
      </c>
      <c r="F608" t="s">
        <v>11340</v>
      </c>
      <c r="G608" t="s">
        <v>11338</v>
      </c>
      <c r="H608" t="s">
        <v>9593</v>
      </c>
      <c r="I608" t="s">
        <v>11338</v>
      </c>
      <c r="J608" t="s">
        <v>11340</v>
      </c>
      <c r="K608" t="s">
        <v>11316</v>
      </c>
    </row>
    <row r="609" spans="1:11" s="1" customFormat="1" x14ac:dyDescent="0.25">
      <c r="A609" t="s">
        <v>11341</v>
      </c>
      <c r="B609" t="s">
        <v>11342</v>
      </c>
      <c r="C609" s="111"/>
      <c r="D609" t="s">
        <v>11343</v>
      </c>
      <c r="E609">
        <v>100</v>
      </c>
      <c r="F609" t="s">
        <v>11344</v>
      </c>
      <c r="G609" t="s">
        <v>11342</v>
      </c>
      <c r="H609" t="s">
        <v>9593</v>
      </c>
      <c r="I609" t="s">
        <v>11342</v>
      </c>
      <c r="J609" t="s">
        <v>11344</v>
      </c>
      <c r="K609" t="s">
        <v>8429</v>
      </c>
    </row>
    <row r="610" spans="1:11" s="1" customFormat="1" x14ac:dyDescent="0.25">
      <c r="A610" t="s">
        <v>11345</v>
      </c>
      <c r="B610" t="s">
        <v>11346</v>
      </c>
      <c r="C610" s="3"/>
      <c r="D610" t="s">
        <v>8020</v>
      </c>
      <c r="E610">
        <v>241</v>
      </c>
      <c r="F610" t="s">
        <v>11347</v>
      </c>
      <c r="G610" t="s">
        <v>11346</v>
      </c>
      <c r="H610" t="s">
        <v>9593</v>
      </c>
      <c r="I610" t="s">
        <v>11346</v>
      </c>
      <c r="J610" t="s">
        <v>11347</v>
      </c>
      <c r="K610" t="s">
        <v>10463</v>
      </c>
    </row>
    <row r="611" spans="1:11" s="1" customFormat="1" x14ac:dyDescent="0.25">
      <c r="A611" t="s">
        <v>11348</v>
      </c>
      <c r="B611" t="s">
        <v>11349</v>
      </c>
      <c r="C611" s="3"/>
      <c r="D611" t="s">
        <v>11350</v>
      </c>
      <c r="E611">
        <v>0</v>
      </c>
      <c r="F611" t="s">
        <v>11351</v>
      </c>
      <c r="G611" t="s">
        <v>11349</v>
      </c>
      <c r="H611" t="s">
        <v>9593</v>
      </c>
      <c r="I611" t="s">
        <v>11349</v>
      </c>
      <c r="J611" t="s">
        <v>11351</v>
      </c>
      <c r="K611" t="s">
        <v>11324</v>
      </c>
    </row>
    <row r="612" spans="1:11" s="1" customFormat="1" x14ac:dyDescent="0.25">
      <c r="A612" t="s">
        <v>11352</v>
      </c>
      <c r="B612" t="s">
        <v>11353</v>
      </c>
      <c r="C612" s="111"/>
      <c r="D612" s="128"/>
      <c r="E612"/>
      <c r="F612" t="s">
        <v>11354</v>
      </c>
      <c r="G612" t="s">
        <v>11353</v>
      </c>
      <c r="H612" t="s">
        <v>9593</v>
      </c>
      <c r="I612" t="s">
        <v>11353</v>
      </c>
      <c r="J612" t="s">
        <v>11354</v>
      </c>
      <c r="K612" t="s">
        <v>13196</v>
      </c>
    </row>
    <row r="613" spans="1:11" s="1" customFormat="1" x14ac:dyDescent="0.25">
      <c r="A613" t="s">
        <v>11355</v>
      </c>
      <c r="B613" t="s">
        <v>11356</v>
      </c>
      <c r="C613" s="3"/>
      <c r="D613" s="128"/>
      <c r="E613"/>
      <c r="F613" t="s">
        <v>11358</v>
      </c>
      <c r="G613" t="s">
        <v>11357</v>
      </c>
      <c r="H613" t="s">
        <v>9593</v>
      </c>
      <c r="I613" t="s">
        <v>11356</v>
      </c>
      <c r="J613" t="s">
        <v>11358</v>
      </c>
      <c r="K613" t="s">
        <v>13982</v>
      </c>
    </row>
    <row r="614" spans="1:11" s="1" customFormat="1" x14ac:dyDescent="0.25">
      <c r="A614" t="s">
        <v>11359</v>
      </c>
      <c r="B614" t="s">
        <v>11360</v>
      </c>
      <c r="C614" s="3"/>
      <c r="D614" s="128"/>
      <c r="E614">
        <v>10</v>
      </c>
      <c r="F614" t="s">
        <v>11361</v>
      </c>
      <c r="G614" t="s">
        <v>11360</v>
      </c>
      <c r="H614" t="s">
        <v>9593</v>
      </c>
      <c r="I614" t="s">
        <v>11360</v>
      </c>
      <c r="J614" t="s">
        <v>11361</v>
      </c>
      <c r="K614" t="s">
        <v>7967</v>
      </c>
    </row>
    <row r="615" spans="1:11" s="1" customFormat="1" x14ac:dyDescent="0.25">
      <c r="A615" t="s">
        <v>11362</v>
      </c>
      <c r="B615" t="s">
        <v>11363</v>
      </c>
      <c r="C615" s="111"/>
      <c r="D615" s="128"/>
      <c r="E615">
        <v>150</v>
      </c>
      <c r="F615" t="s">
        <v>11364</v>
      </c>
      <c r="G615" t="s">
        <v>11363</v>
      </c>
      <c r="H615" t="s">
        <v>9593</v>
      </c>
      <c r="I615" t="s">
        <v>11363</v>
      </c>
      <c r="J615" t="s">
        <v>11364</v>
      </c>
      <c r="K615" t="s">
        <v>9080</v>
      </c>
    </row>
    <row r="616" spans="1:11" s="1" customFormat="1" x14ac:dyDescent="0.25">
      <c r="A616" t="s">
        <v>11365</v>
      </c>
      <c r="B616" t="s">
        <v>11366</v>
      </c>
      <c r="C616" s="3"/>
      <c r="D616" s="128"/>
      <c r="E616">
        <v>0</v>
      </c>
      <c r="F616" t="s">
        <v>11367</v>
      </c>
      <c r="G616" t="s">
        <v>11366</v>
      </c>
      <c r="H616" t="s">
        <v>9593</v>
      </c>
      <c r="I616" t="s">
        <v>11366</v>
      </c>
      <c r="J616" t="s">
        <v>11367</v>
      </c>
      <c r="K616" t="s">
        <v>13192</v>
      </c>
    </row>
    <row r="617" spans="1:11" s="1" customFormat="1" x14ac:dyDescent="0.25">
      <c r="A617" t="s">
        <v>11368</v>
      </c>
      <c r="B617" t="s">
        <v>11369</v>
      </c>
      <c r="C617" s="3"/>
      <c r="D617" s="128"/>
      <c r="E617">
        <v>0</v>
      </c>
      <c r="F617" t="s">
        <v>11370</v>
      </c>
      <c r="G617" t="s">
        <v>11369</v>
      </c>
      <c r="H617" t="s">
        <v>9593</v>
      </c>
      <c r="I617" t="s">
        <v>11369</v>
      </c>
      <c r="J617" t="s">
        <v>11370</v>
      </c>
      <c r="K617" t="s">
        <v>13197</v>
      </c>
    </row>
    <row r="618" spans="1:11" s="1" customFormat="1" x14ac:dyDescent="0.25">
      <c r="A618" t="s">
        <v>11371</v>
      </c>
      <c r="B618" t="s">
        <v>11372</v>
      </c>
      <c r="C618" s="3"/>
      <c r="D618" s="128"/>
      <c r="E618">
        <v>0</v>
      </c>
      <c r="F618" t="s">
        <v>11374</v>
      </c>
      <c r="G618" t="s">
        <v>11373</v>
      </c>
      <c r="H618" t="s">
        <v>9593</v>
      </c>
      <c r="I618" t="s">
        <v>11372</v>
      </c>
      <c r="J618" t="s">
        <v>11374</v>
      </c>
      <c r="K618" t="s">
        <v>13195</v>
      </c>
    </row>
    <row r="619" spans="1:11" s="1" customFormat="1" x14ac:dyDescent="0.25">
      <c r="A619" t="s">
        <v>11375</v>
      </c>
      <c r="B619" t="s">
        <v>11376</v>
      </c>
      <c r="C619" s="111"/>
      <c r="D619" s="128"/>
      <c r="E619">
        <v>119</v>
      </c>
      <c r="F619" t="s">
        <v>11377</v>
      </c>
      <c r="G619" t="s">
        <v>11376</v>
      </c>
      <c r="H619" t="s">
        <v>9593</v>
      </c>
      <c r="I619" t="s">
        <v>11376</v>
      </c>
      <c r="J619" t="s">
        <v>11377</v>
      </c>
      <c r="K619" t="s">
        <v>13193</v>
      </c>
    </row>
    <row r="620" spans="1:11" s="1" customFormat="1" x14ac:dyDescent="0.25">
      <c r="A620" t="s">
        <v>11378</v>
      </c>
      <c r="B620" t="s">
        <v>11379</v>
      </c>
      <c r="C620" s="111"/>
      <c r="D620" s="128"/>
      <c r="E620">
        <v>0</v>
      </c>
      <c r="F620" t="s">
        <v>11380</v>
      </c>
      <c r="G620" t="s">
        <v>11379</v>
      </c>
      <c r="H620" t="s">
        <v>9593</v>
      </c>
      <c r="I620" t="s">
        <v>11379</v>
      </c>
      <c r="J620" t="s">
        <v>11380</v>
      </c>
      <c r="K620" t="s">
        <v>11379</v>
      </c>
    </row>
    <row r="621" spans="1:11" s="1" customFormat="1" x14ac:dyDescent="0.25">
      <c r="A621" t="s">
        <v>11381</v>
      </c>
      <c r="B621" t="s">
        <v>11382</v>
      </c>
      <c r="C621" s="3"/>
      <c r="D621" s="128"/>
      <c r="E621">
        <v>0</v>
      </c>
      <c r="F621" t="s">
        <v>11383</v>
      </c>
      <c r="G621" t="s">
        <v>11382</v>
      </c>
      <c r="H621" t="s">
        <v>9593</v>
      </c>
      <c r="I621" t="s">
        <v>11382</v>
      </c>
      <c r="J621" t="s">
        <v>11383</v>
      </c>
      <c r="K621" t="s">
        <v>13193</v>
      </c>
    </row>
    <row r="622" spans="1:11" s="1" customFormat="1" x14ac:dyDescent="0.25">
      <c r="A622" t="s">
        <v>11384</v>
      </c>
      <c r="B622" t="s">
        <v>11385</v>
      </c>
      <c r="C622" s="3"/>
      <c r="D622" s="128"/>
      <c r="E622">
        <v>13</v>
      </c>
      <c r="F622" t="s">
        <v>11386</v>
      </c>
      <c r="G622" t="s">
        <v>9593</v>
      </c>
      <c r="H622" t="s">
        <v>9593</v>
      </c>
      <c r="I622" t="s">
        <v>11385</v>
      </c>
      <c r="J622" t="s">
        <v>11386</v>
      </c>
      <c r="K622" t="s">
        <v>13163</v>
      </c>
    </row>
    <row r="623" spans="1:11" s="1" customFormat="1" x14ac:dyDescent="0.25">
      <c r="A623" t="s">
        <v>11387</v>
      </c>
      <c r="B623" t="s">
        <v>11388</v>
      </c>
      <c r="C623" s="111"/>
      <c r="D623" s="128"/>
      <c r="E623">
        <v>2247</v>
      </c>
      <c r="F623" t="s">
        <v>11389</v>
      </c>
      <c r="G623" t="s">
        <v>9593</v>
      </c>
      <c r="H623" t="s">
        <v>9593</v>
      </c>
      <c r="I623" t="s">
        <v>11388</v>
      </c>
      <c r="J623" t="s">
        <v>11389</v>
      </c>
      <c r="K623" t="s">
        <v>13163</v>
      </c>
    </row>
    <row r="624" spans="1:11" s="1" customFormat="1" x14ac:dyDescent="0.25">
      <c r="A624" t="s">
        <v>12847</v>
      </c>
      <c r="B624" t="s">
        <v>12848</v>
      </c>
      <c r="C624" s="111"/>
      <c r="D624" s="128"/>
      <c r="E624">
        <v>252</v>
      </c>
      <c r="F624" t="s">
        <v>12849</v>
      </c>
      <c r="G624" t="s">
        <v>10601</v>
      </c>
      <c r="H624" t="s">
        <v>10601</v>
      </c>
      <c r="I624" t="s">
        <v>12848</v>
      </c>
      <c r="J624" t="s">
        <v>12849</v>
      </c>
      <c r="K624" t="s">
        <v>13163</v>
      </c>
    </row>
    <row r="625" spans="1:11" s="1" customFormat="1" x14ac:dyDescent="0.25">
      <c r="A625" t="s">
        <v>12850</v>
      </c>
      <c r="B625" t="s">
        <v>13650</v>
      </c>
      <c r="C625" s="111"/>
      <c r="D625" s="128"/>
      <c r="E625">
        <v>19</v>
      </c>
      <c r="F625" t="s">
        <v>12851</v>
      </c>
      <c r="G625" t="s">
        <v>13650</v>
      </c>
      <c r="H625" t="s">
        <v>10601</v>
      </c>
      <c r="I625" t="s">
        <v>13650</v>
      </c>
      <c r="J625" t="s">
        <v>12851</v>
      </c>
      <c r="K625" t="s">
        <v>13198</v>
      </c>
    </row>
    <row r="626" spans="1:11" s="1" customFormat="1" x14ac:dyDescent="0.25">
      <c r="A626" t="s">
        <v>12852</v>
      </c>
      <c r="B626" t="s">
        <v>12853</v>
      </c>
      <c r="C626" s="111"/>
      <c r="D626" s="128"/>
      <c r="E626">
        <v>486</v>
      </c>
      <c r="F626" t="s">
        <v>12854</v>
      </c>
      <c r="G626" t="s">
        <v>10601</v>
      </c>
      <c r="H626" t="s">
        <v>10601</v>
      </c>
      <c r="I626" t="s">
        <v>12853</v>
      </c>
      <c r="J626" t="s">
        <v>12854</v>
      </c>
      <c r="K626" t="s">
        <v>13163</v>
      </c>
    </row>
    <row r="627" spans="1:11" s="1" customFormat="1" x14ac:dyDescent="0.25">
      <c r="A627" t="s">
        <v>12855</v>
      </c>
      <c r="B627" t="s">
        <v>12856</v>
      </c>
      <c r="C627" s="111"/>
      <c r="D627" s="128"/>
      <c r="E627">
        <v>20</v>
      </c>
      <c r="F627" t="s">
        <v>12857</v>
      </c>
      <c r="G627" t="s">
        <v>12856</v>
      </c>
      <c r="H627" t="s">
        <v>10601</v>
      </c>
      <c r="I627" t="s">
        <v>12856</v>
      </c>
      <c r="J627" t="s">
        <v>12857</v>
      </c>
      <c r="K627" t="s">
        <v>9567</v>
      </c>
    </row>
    <row r="628" spans="1:11" s="1" customFormat="1" x14ac:dyDescent="0.25">
      <c r="A628" t="s">
        <v>12858</v>
      </c>
      <c r="B628" t="s">
        <v>12859</v>
      </c>
      <c r="C628" s="111"/>
      <c r="D628" s="128"/>
      <c r="E628">
        <v>60</v>
      </c>
      <c r="F628" t="s">
        <v>12860</v>
      </c>
      <c r="G628" t="s">
        <v>12859</v>
      </c>
      <c r="H628" t="s">
        <v>10601</v>
      </c>
      <c r="I628" t="s">
        <v>12859</v>
      </c>
      <c r="J628" t="s">
        <v>12860</v>
      </c>
      <c r="K628" t="s">
        <v>13199</v>
      </c>
    </row>
    <row r="629" spans="1:11" s="1" customFormat="1" x14ac:dyDescent="0.25">
      <c r="A629" t="s">
        <v>12861</v>
      </c>
      <c r="B629" t="s">
        <v>12862</v>
      </c>
      <c r="C629" s="111"/>
      <c r="D629" s="128"/>
      <c r="E629">
        <v>100</v>
      </c>
      <c r="F629" t="s">
        <v>12863</v>
      </c>
      <c r="G629" t="s">
        <v>12862</v>
      </c>
      <c r="H629" t="s">
        <v>10601</v>
      </c>
      <c r="I629" t="s">
        <v>12862</v>
      </c>
      <c r="J629" t="s">
        <v>12863</v>
      </c>
      <c r="K629" t="s">
        <v>7965</v>
      </c>
    </row>
    <row r="630" spans="1:11" s="1" customFormat="1" x14ac:dyDescent="0.25">
      <c r="A630" t="s">
        <v>12864</v>
      </c>
      <c r="B630" t="s">
        <v>12865</v>
      </c>
      <c r="C630" s="111"/>
      <c r="D630" s="128"/>
      <c r="E630">
        <v>54</v>
      </c>
      <c r="F630" t="s">
        <v>12866</v>
      </c>
      <c r="G630" t="s">
        <v>12865</v>
      </c>
      <c r="H630" t="s">
        <v>10601</v>
      </c>
      <c r="I630" t="s">
        <v>12865</v>
      </c>
      <c r="J630" t="s">
        <v>12866</v>
      </c>
      <c r="K630" t="s">
        <v>10365</v>
      </c>
    </row>
    <row r="631" spans="1:11" s="1" customFormat="1" x14ac:dyDescent="0.25">
      <c r="A631" t="s">
        <v>12867</v>
      </c>
      <c r="B631" t="s">
        <v>12868</v>
      </c>
      <c r="C631" s="111"/>
      <c r="D631" s="128"/>
      <c r="E631"/>
      <c r="F631" t="s">
        <v>12869</v>
      </c>
      <c r="G631" t="s">
        <v>12868</v>
      </c>
      <c r="H631" t="s">
        <v>10601</v>
      </c>
      <c r="I631" t="s">
        <v>12868</v>
      </c>
      <c r="J631" t="s">
        <v>12869</v>
      </c>
      <c r="K631" t="s">
        <v>12868</v>
      </c>
    </row>
    <row r="632" spans="1:11" s="1" customFormat="1" x14ac:dyDescent="0.25">
      <c r="A632" t="s">
        <v>12870</v>
      </c>
      <c r="B632" t="s">
        <v>12871</v>
      </c>
      <c r="C632" s="111"/>
      <c r="D632" s="128"/>
      <c r="E632">
        <v>0</v>
      </c>
      <c r="F632" t="s">
        <v>12872</v>
      </c>
      <c r="G632" t="s">
        <v>12871</v>
      </c>
      <c r="H632" t="s">
        <v>10601</v>
      </c>
      <c r="I632" t="s">
        <v>12871</v>
      </c>
      <c r="J632" t="s">
        <v>12872</v>
      </c>
      <c r="K632" t="s">
        <v>13200</v>
      </c>
    </row>
    <row r="633" spans="1:11" s="1" customFormat="1" x14ac:dyDescent="0.25">
      <c r="A633" t="s">
        <v>12873</v>
      </c>
      <c r="B633" t="s">
        <v>12874</v>
      </c>
      <c r="C633" s="111"/>
      <c r="D633" s="128"/>
      <c r="E633">
        <v>0</v>
      </c>
      <c r="F633" t="s">
        <v>12875</v>
      </c>
      <c r="G633" t="s">
        <v>12874</v>
      </c>
      <c r="H633" t="s">
        <v>10601</v>
      </c>
      <c r="I633" t="s">
        <v>12874</v>
      </c>
      <c r="J633" t="s">
        <v>12875</v>
      </c>
      <c r="K633" t="s">
        <v>8112</v>
      </c>
    </row>
    <row r="634" spans="1:11" s="1" customFormat="1" x14ac:dyDescent="0.25">
      <c r="A634" t="s">
        <v>12876</v>
      </c>
      <c r="B634" t="s">
        <v>12877</v>
      </c>
      <c r="C634" s="111"/>
      <c r="D634" s="128"/>
      <c r="E634">
        <v>1</v>
      </c>
      <c r="F634" t="s">
        <v>12878</v>
      </c>
      <c r="G634" t="s">
        <v>12877</v>
      </c>
      <c r="H634" t="s">
        <v>10601</v>
      </c>
      <c r="I634" t="s">
        <v>12877</v>
      </c>
      <c r="J634" t="s">
        <v>12878</v>
      </c>
      <c r="K634" t="s">
        <v>13201</v>
      </c>
    </row>
    <row r="635" spans="1:11" s="1" customFormat="1" x14ac:dyDescent="0.25">
      <c r="A635" t="s">
        <v>12879</v>
      </c>
      <c r="B635" t="s">
        <v>10508</v>
      </c>
      <c r="C635" s="3"/>
      <c r="D635" s="128"/>
      <c r="E635">
        <v>195</v>
      </c>
      <c r="F635" t="s">
        <v>12880</v>
      </c>
      <c r="G635" t="s">
        <v>10508</v>
      </c>
      <c r="H635" t="s">
        <v>10601</v>
      </c>
      <c r="I635" t="s">
        <v>10508</v>
      </c>
      <c r="J635" t="s">
        <v>12880</v>
      </c>
      <c r="K635" t="s">
        <v>13199</v>
      </c>
    </row>
    <row r="636" spans="1:11" s="1" customFormat="1" x14ac:dyDescent="0.25">
      <c r="A636" t="s">
        <v>12881</v>
      </c>
      <c r="B636" t="s">
        <v>12882</v>
      </c>
      <c r="C636" s="3"/>
      <c r="D636" s="128"/>
      <c r="E636">
        <v>50</v>
      </c>
      <c r="F636" t="s">
        <v>12883</v>
      </c>
      <c r="G636" t="s">
        <v>12882</v>
      </c>
      <c r="H636" t="s">
        <v>10601</v>
      </c>
      <c r="I636" t="s">
        <v>12882</v>
      </c>
      <c r="J636" t="s">
        <v>12883</v>
      </c>
      <c r="K636" t="s">
        <v>12868</v>
      </c>
    </row>
    <row r="637" spans="1:11" s="1" customFormat="1" x14ac:dyDescent="0.25">
      <c r="A637" t="s">
        <v>12884</v>
      </c>
      <c r="B637" t="s">
        <v>12885</v>
      </c>
      <c r="C637" s="3"/>
      <c r="D637" s="128"/>
      <c r="E637">
        <v>0</v>
      </c>
      <c r="F637" t="s">
        <v>12887</v>
      </c>
      <c r="G637" t="s">
        <v>12886</v>
      </c>
      <c r="H637" t="s">
        <v>10601</v>
      </c>
      <c r="I637" t="s">
        <v>12885</v>
      </c>
      <c r="J637" t="s">
        <v>12887</v>
      </c>
      <c r="K637" t="s">
        <v>13199</v>
      </c>
    </row>
    <row r="638" spans="1:11" s="1" customFormat="1" x14ac:dyDescent="0.25">
      <c r="A638" t="s">
        <v>12888</v>
      </c>
      <c r="B638" t="s">
        <v>12889</v>
      </c>
      <c r="C638" s="3"/>
      <c r="D638" s="128"/>
      <c r="E638">
        <v>4</v>
      </c>
      <c r="F638" t="s">
        <v>12890</v>
      </c>
      <c r="G638" t="s">
        <v>12889</v>
      </c>
      <c r="H638" t="s">
        <v>10601</v>
      </c>
      <c r="I638" t="s">
        <v>12889</v>
      </c>
      <c r="J638" t="s">
        <v>12890</v>
      </c>
      <c r="K638" t="s">
        <v>8242</v>
      </c>
    </row>
    <row r="639" spans="1:11" s="1" customFormat="1" x14ac:dyDescent="0.25">
      <c r="A639" t="s">
        <v>12891</v>
      </c>
      <c r="B639" t="s">
        <v>12892</v>
      </c>
      <c r="C639" s="3"/>
      <c r="D639" s="128"/>
      <c r="E639">
        <v>100</v>
      </c>
      <c r="F639" t="s">
        <v>12893</v>
      </c>
      <c r="G639" t="s">
        <v>12892</v>
      </c>
      <c r="H639" t="s">
        <v>10601</v>
      </c>
      <c r="I639" t="s">
        <v>12892</v>
      </c>
      <c r="J639" t="s">
        <v>12893</v>
      </c>
      <c r="K639" t="s">
        <v>9567</v>
      </c>
    </row>
    <row r="640" spans="1:11" s="1" customFormat="1" x14ac:dyDescent="0.25">
      <c r="A640" t="s">
        <v>12894</v>
      </c>
      <c r="B640" t="s">
        <v>12895</v>
      </c>
      <c r="C640" s="3"/>
      <c r="D640" s="128"/>
      <c r="E640">
        <v>224</v>
      </c>
      <c r="F640" t="s">
        <v>12896</v>
      </c>
      <c r="G640" t="s">
        <v>12895</v>
      </c>
      <c r="H640" t="s">
        <v>10601</v>
      </c>
      <c r="I640" t="s">
        <v>12895</v>
      </c>
      <c r="J640" t="s">
        <v>12896</v>
      </c>
      <c r="K640" t="s">
        <v>8112</v>
      </c>
    </row>
    <row r="641" spans="1:11" s="1" customFormat="1" x14ac:dyDescent="0.25">
      <c r="A641" t="s">
        <v>12897</v>
      </c>
      <c r="B641" t="s">
        <v>13945</v>
      </c>
      <c r="C641" s="111"/>
      <c r="D641" s="128"/>
      <c r="E641">
        <v>0</v>
      </c>
      <c r="F641" t="s">
        <v>12898</v>
      </c>
      <c r="G641" t="s">
        <v>13945</v>
      </c>
      <c r="H641" t="s">
        <v>10601</v>
      </c>
      <c r="I641" t="s">
        <v>13945</v>
      </c>
      <c r="J641" t="s">
        <v>12898</v>
      </c>
      <c r="K641" t="s">
        <v>8112</v>
      </c>
    </row>
    <row r="642" spans="1:11" s="1" customFormat="1" x14ac:dyDescent="0.25">
      <c r="A642" t="s">
        <v>12899</v>
      </c>
      <c r="B642" t="s">
        <v>12900</v>
      </c>
      <c r="C642" s="3"/>
      <c r="D642" s="128"/>
      <c r="E642">
        <v>261</v>
      </c>
      <c r="F642" t="s">
        <v>12901</v>
      </c>
      <c r="G642" t="s">
        <v>12900</v>
      </c>
      <c r="H642" t="s">
        <v>10601</v>
      </c>
      <c r="I642" t="s">
        <v>12900</v>
      </c>
      <c r="J642" t="s">
        <v>12901</v>
      </c>
      <c r="K642" t="s">
        <v>13200</v>
      </c>
    </row>
    <row r="643" spans="1:11" s="1" customFormat="1" x14ac:dyDescent="0.25">
      <c r="A643" t="s">
        <v>12902</v>
      </c>
      <c r="B643" t="s">
        <v>7987</v>
      </c>
      <c r="C643" s="111"/>
      <c r="D643" s="128"/>
      <c r="E643">
        <v>1</v>
      </c>
      <c r="F643" t="s">
        <v>12903</v>
      </c>
      <c r="G643" t="s">
        <v>7987</v>
      </c>
      <c r="H643" t="s">
        <v>10601</v>
      </c>
      <c r="I643" t="s">
        <v>7987</v>
      </c>
      <c r="J643" t="s">
        <v>12903</v>
      </c>
      <c r="K643" t="s">
        <v>12868</v>
      </c>
    </row>
    <row r="644" spans="1:11" s="1" customFormat="1" x14ac:dyDescent="0.25">
      <c r="A644" t="s">
        <v>12904</v>
      </c>
      <c r="B644" t="s">
        <v>10736</v>
      </c>
      <c r="C644" s="111"/>
      <c r="D644" s="128"/>
      <c r="E644">
        <v>0</v>
      </c>
      <c r="F644" t="s">
        <v>12905</v>
      </c>
      <c r="G644" t="s">
        <v>10736</v>
      </c>
      <c r="H644" t="s">
        <v>10601</v>
      </c>
      <c r="I644" t="s">
        <v>10736</v>
      </c>
      <c r="J644" t="s">
        <v>12905</v>
      </c>
      <c r="K644" t="s">
        <v>10736</v>
      </c>
    </row>
    <row r="645" spans="1:11" s="1" customFormat="1" x14ac:dyDescent="0.25">
      <c r="A645" t="s">
        <v>12906</v>
      </c>
      <c r="B645" t="s">
        <v>12907</v>
      </c>
      <c r="C645" s="3"/>
      <c r="D645" s="128"/>
      <c r="E645"/>
      <c r="F645" t="s">
        <v>12908</v>
      </c>
      <c r="G645" t="s">
        <v>12907</v>
      </c>
      <c r="H645" t="s">
        <v>10601</v>
      </c>
      <c r="I645" t="s">
        <v>12907</v>
      </c>
      <c r="J645" t="s">
        <v>12908</v>
      </c>
      <c r="K645" t="s">
        <v>13198</v>
      </c>
    </row>
    <row r="646" spans="1:11" s="1" customFormat="1" x14ac:dyDescent="0.25">
      <c r="A646" t="s">
        <v>12909</v>
      </c>
      <c r="B646" t="s">
        <v>12910</v>
      </c>
      <c r="C646" s="111"/>
      <c r="D646" s="128"/>
      <c r="E646">
        <v>0</v>
      </c>
      <c r="F646" t="s">
        <v>12911</v>
      </c>
      <c r="G646" t="s">
        <v>12910</v>
      </c>
      <c r="H646" t="s">
        <v>10601</v>
      </c>
      <c r="I646" t="s">
        <v>12910</v>
      </c>
      <c r="J646" t="s">
        <v>12911</v>
      </c>
      <c r="K646" t="s">
        <v>12976</v>
      </c>
    </row>
    <row r="647" spans="1:11" s="1" customFormat="1" x14ac:dyDescent="0.25">
      <c r="A647" t="s">
        <v>12912</v>
      </c>
      <c r="B647" t="s">
        <v>12913</v>
      </c>
      <c r="C647" s="111"/>
      <c r="D647" s="128"/>
      <c r="E647">
        <v>1</v>
      </c>
      <c r="F647" t="s">
        <v>12914</v>
      </c>
      <c r="G647" t="s">
        <v>12913</v>
      </c>
      <c r="H647" t="s">
        <v>10601</v>
      </c>
      <c r="I647" t="s">
        <v>12913</v>
      </c>
      <c r="J647" t="s">
        <v>12914</v>
      </c>
      <c r="K647" t="s">
        <v>13202</v>
      </c>
    </row>
    <row r="648" spans="1:11" s="1" customFormat="1" x14ac:dyDescent="0.25">
      <c r="A648" t="s">
        <v>12915</v>
      </c>
      <c r="B648" t="s">
        <v>12916</v>
      </c>
      <c r="C648" s="111"/>
      <c r="D648" s="128"/>
      <c r="E648">
        <v>1</v>
      </c>
      <c r="F648" t="s">
        <v>12917</v>
      </c>
      <c r="G648" t="s">
        <v>12916</v>
      </c>
      <c r="H648" t="s">
        <v>10601</v>
      </c>
      <c r="I648" t="s">
        <v>12916</v>
      </c>
      <c r="J648" t="s">
        <v>12917</v>
      </c>
      <c r="K648" t="s">
        <v>8734</v>
      </c>
    </row>
    <row r="649" spans="1:11" s="1" customFormat="1" x14ac:dyDescent="0.25">
      <c r="A649" t="s">
        <v>12918</v>
      </c>
      <c r="B649" t="s">
        <v>12919</v>
      </c>
      <c r="C649" s="111"/>
      <c r="D649" s="128"/>
      <c r="E649"/>
      <c r="F649" t="s">
        <v>12920</v>
      </c>
      <c r="G649" t="s">
        <v>12919</v>
      </c>
      <c r="H649" t="s">
        <v>10601</v>
      </c>
      <c r="I649" t="s">
        <v>12919</v>
      </c>
      <c r="J649" t="s">
        <v>12920</v>
      </c>
      <c r="K649" t="s">
        <v>12919</v>
      </c>
    </row>
    <row r="650" spans="1:11" s="1" customFormat="1" x14ac:dyDescent="0.25">
      <c r="A650" t="s">
        <v>12921</v>
      </c>
      <c r="B650" t="s">
        <v>12922</v>
      </c>
      <c r="C650" s="3"/>
      <c r="D650" s="128"/>
      <c r="E650">
        <v>350</v>
      </c>
      <c r="F650" t="s">
        <v>12923</v>
      </c>
      <c r="G650" t="s">
        <v>12922</v>
      </c>
      <c r="H650" t="s">
        <v>10601</v>
      </c>
      <c r="I650" t="s">
        <v>12922</v>
      </c>
      <c r="J650" t="s">
        <v>12923</v>
      </c>
      <c r="K650" t="s">
        <v>13202</v>
      </c>
    </row>
    <row r="651" spans="1:11" s="1" customFormat="1" x14ac:dyDescent="0.25">
      <c r="A651" t="s">
        <v>12924</v>
      </c>
      <c r="B651" t="s">
        <v>12925</v>
      </c>
      <c r="C651" s="3"/>
      <c r="D651" s="128"/>
      <c r="E651">
        <v>99</v>
      </c>
      <c r="F651" t="s">
        <v>12927</v>
      </c>
      <c r="G651" t="s">
        <v>12926</v>
      </c>
      <c r="H651" t="s">
        <v>10601</v>
      </c>
      <c r="I651" t="s">
        <v>12925</v>
      </c>
      <c r="J651" t="s">
        <v>12927</v>
      </c>
      <c r="K651" t="s">
        <v>13203</v>
      </c>
    </row>
    <row r="652" spans="1:11" s="1" customFormat="1" x14ac:dyDescent="0.25">
      <c r="A652" t="s">
        <v>12928</v>
      </c>
      <c r="B652" t="s">
        <v>12929</v>
      </c>
      <c r="C652" s="111"/>
      <c r="D652" s="128"/>
      <c r="E652">
        <v>100</v>
      </c>
      <c r="F652" t="s">
        <v>12930</v>
      </c>
      <c r="G652" t="s">
        <v>12929</v>
      </c>
      <c r="H652" t="s">
        <v>10601</v>
      </c>
      <c r="I652" t="s">
        <v>12929</v>
      </c>
      <c r="J652" t="s">
        <v>12930</v>
      </c>
      <c r="K652" t="s">
        <v>13201</v>
      </c>
    </row>
    <row r="653" spans="1:11" s="1" customFormat="1" x14ac:dyDescent="0.25">
      <c r="A653" t="s">
        <v>12931</v>
      </c>
      <c r="B653" t="s">
        <v>13651</v>
      </c>
      <c r="C653" s="3"/>
      <c r="D653" s="128"/>
      <c r="E653">
        <v>1</v>
      </c>
      <c r="F653" t="s">
        <v>12933</v>
      </c>
      <c r="G653" t="s">
        <v>12932</v>
      </c>
      <c r="H653" t="s">
        <v>10601</v>
      </c>
      <c r="I653" t="s">
        <v>13651</v>
      </c>
      <c r="J653" t="s">
        <v>12933</v>
      </c>
      <c r="K653" t="s">
        <v>8313</v>
      </c>
    </row>
    <row r="654" spans="1:11" s="1" customFormat="1" x14ac:dyDescent="0.25">
      <c r="A654" t="s">
        <v>12934</v>
      </c>
      <c r="B654" t="s">
        <v>8926</v>
      </c>
      <c r="C654" s="111"/>
      <c r="D654" s="128"/>
      <c r="E654"/>
      <c r="F654" t="s">
        <v>12935</v>
      </c>
      <c r="G654" t="s">
        <v>8926</v>
      </c>
      <c r="H654" t="s">
        <v>10601</v>
      </c>
      <c r="I654" t="s">
        <v>8926</v>
      </c>
      <c r="J654" t="s">
        <v>12935</v>
      </c>
      <c r="K654" t="s">
        <v>8112</v>
      </c>
    </row>
    <row r="655" spans="1:11" s="1" customFormat="1" x14ac:dyDescent="0.25">
      <c r="A655" t="s">
        <v>12936</v>
      </c>
      <c r="B655" t="s">
        <v>12937</v>
      </c>
      <c r="C655" s="3"/>
      <c r="D655" s="128"/>
      <c r="E655">
        <v>105</v>
      </c>
      <c r="F655" t="s">
        <v>12938</v>
      </c>
      <c r="G655" t="s">
        <v>12937</v>
      </c>
      <c r="H655" t="s">
        <v>10601</v>
      </c>
      <c r="I655" t="s">
        <v>12937</v>
      </c>
      <c r="J655" t="s">
        <v>12938</v>
      </c>
      <c r="K655" t="s">
        <v>8397</v>
      </c>
    </row>
    <row r="656" spans="1:11" s="1" customFormat="1" x14ac:dyDescent="0.25">
      <c r="A656" t="s">
        <v>12939</v>
      </c>
      <c r="B656" t="s">
        <v>12940</v>
      </c>
      <c r="C656" s="3"/>
      <c r="D656" s="128"/>
      <c r="E656"/>
      <c r="F656" t="s">
        <v>12941</v>
      </c>
      <c r="G656" t="s">
        <v>12940</v>
      </c>
      <c r="H656" t="s">
        <v>10601</v>
      </c>
      <c r="I656" t="s">
        <v>12940</v>
      </c>
      <c r="J656" t="s">
        <v>12941</v>
      </c>
      <c r="K656" t="s">
        <v>12919</v>
      </c>
    </row>
    <row r="657" spans="1:11" s="1" customFormat="1" x14ac:dyDescent="0.25">
      <c r="A657" t="s">
        <v>12942</v>
      </c>
      <c r="B657" t="s">
        <v>12943</v>
      </c>
      <c r="C657" s="3"/>
      <c r="D657" s="128"/>
      <c r="E657">
        <v>164</v>
      </c>
      <c r="F657" t="s">
        <v>12944</v>
      </c>
      <c r="G657" t="s">
        <v>12943</v>
      </c>
      <c r="H657" t="s">
        <v>10601</v>
      </c>
      <c r="I657" t="s">
        <v>12943</v>
      </c>
      <c r="J657" t="s">
        <v>12944</v>
      </c>
      <c r="K657" t="s">
        <v>13204</v>
      </c>
    </row>
    <row r="658" spans="1:11" s="1" customFormat="1" x14ac:dyDescent="0.25">
      <c r="A658" t="s">
        <v>12945</v>
      </c>
      <c r="B658" t="s">
        <v>12946</v>
      </c>
      <c r="C658" s="3"/>
      <c r="D658" s="128"/>
      <c r="E658">
        <v>0</v>
      </c>
      <c r="F658" t="s">
        <v>12947</v>
      </c>
      <c r="G658" t="s">
        <v>12946</v>
      </c>
      <c r="H658" t="s">
        <v>10601</v>
      </c>
      <c r="I658" t="s">
        <v>12946</v>
      </c>
      <c r="J658" t="s">
        <v>12947</v>
      </c>
      <c r="K658" t="s">
        <v>13205</v>
      </c>
    </row>
    <row r="659" spans="1:11" s="1" customFormat="1" x14ac:dyDescent="0.25">
      <c r="A659" t="s">
        <v>12948</v>
      </c>
      <c r="B659" t="s">
        <v>12949</v>
      </c>
      <c r="C659" s="3"/>
      <c r="D659" s="128"/>
      <c r="E659">
        <v>766</v>
      </c>
      <c r="F659" t="s">
        <v>12950</v>
      </c>
      <c r="G659" t="s">
        <v>12949</v>
      </c>
      <c r="H659" t="s">
        <v>10601</v>
      </c>
      <c r="I659" t="s">
        <v>12949</v>
      </c>
      <c r="J659" t="s">
        <v>12950</v>
      </c>
      <c r="K659" t="s">
        <v>13206</v>
      </c>
    </row>
    <row r="660" spans="1:11" s="1" customFormat="1" x14ac:dyDescent="0.25">
      <c r="A660" t="s">
        <v>12951</v>
      </c>
      <c r="B660" t="s">
        <v>12952</v>
      </c>
      <c r="C660" s="3"/>
      <c r="D660" s="128"/>
      <c r="E660">
        <v>1</v>
      </c>
      <c r="F660" t="s">
        <v>12953</v>
      </c>
      <c r="G660" t="s">
        <v>12952</v>
      </c>
      <c r="H660" t="s">
        <v>10601</v>
      </c>
      <c r="I660" t="s">
        <v>12952</v>
      </c>
      <c r="J660" t="s">
        <v>12953</v>
      </c>
      <c r="K660" t="s">
        <v>8313</v>
      </c>
    </row>
    <row r="661" spans="1:11" s="1" customFormat="1" x14ac:dyDescent="0.25">
      <c r="A661" t="s">
        <v>12954</v>
      </c>
      <c r="B661" t="s">
        <v>12955</v>
      </c>
      <c r="C661" s="3"/>
      <c r="D661" s="128"/>
      <c r="E661">
        <v>0</v>
      </c>
      <c r="F661" t="s">
        <v>12956</v>
      </c>
      <c r="G661" t="s">
        <v>12955</v>
      </c>
      <c r="H661" t="s">
        <v>10601</v>
      </c>
      <c r="I661" t="s">
        <v>12955</v>
      </c>
      <c r="J661" t="s">
        <v>12956</v>
      </c>
      <c r="K661" t="s">
        <v>13207</v>
      </c>
    </row>
    <row r="662" spans="1:11" s="1" customFormat="1" x14ac:dyDescent="0.25">
      <c r="A662" t="s">
        <v>12957</v>
      </c>
      <c r="B662" t="s">
        <v>12958</v>
      </c>
      <c r="C662" s="3"/>
      <c r="D662" s="128"/>
      <c r="E662"/>
      <c r="F662" t="s">
        <v>12960</v>
      </c>
      <c r="G662" t="s">
        <v>12959</v>
      </c>
      <c r="H662" t="s">
        <v>10601</v>
      </c>
      <c r="I662" t="s">
        <v>12958</v>
      </c>
      <c r="J662" t="s">
        <v>12960</v>
      </c>
      <c r="K662" t="s">
        <v>13206</v>
      </c>
    </row>
    <row r="663" spans="1:11" s="1" customFormat="1" x14ac:dyDescent="0.25">
      <c r="A663" t="s">
        <v>12961</v>
      </c>
      <c r="B663" t="s">
        <v>12962</v>
      </c>
      <c r="C663" s="3"/>
      <c r="D663" s="128"/>
      <c r="E663"/>
      <c r="F663" t="s">
        <v>12963</v>
      </c>
      <c r="G663" t="s">
        <v>12962</v>
      </c>
      <c r="H663" t="s">
        <v>10601</v>
      </c>
      <c r="I663" t="s">
        <v>12962</v>
      </c>
      <c r="J663" t="s">
        <v>12963</v>
      </c>
      <c r="K663" t="s">
        <v>13208</v>
      </c>
    </row>
    <row r="664" spans="1:11" s="1" customFormat="1" x14ac:dyDescent="0.25">
      <c r="A664" t="s">
        <v>12964</v>
      </c>
      <c r="B664" t="s">
        <v>12965</v>
      </c>
      <c r="C664" s="3"/>
      <c r="D664" s="128"/>
      <c r="E664"/>
      <c r="F664" t="s">
        <v>12966</v>
      </c>
      <c r="G664" t="s">
        <v>12965</v>
      </c>
      <c r="H664" t="s">
        <v>10601</v>
      </c>
      <c r="I664" t="s">
        <v>12965</v>
      </c>
      <c r="J664" t="s">
        <v>12966</v>
      </c>
      <c r="K664" t="s">
        <v>7965</v>
      </c>
    </row>
    <row r="665" spans="1:11" s="1" customFormat="1" x14ac:dyDescent="0.25">
      <c r="A665" t="s">
        <v>12967</v>
      </c>
      <c r="B665" t="s">
        <v>12968</v>
      </c>
      <c r="C665" s="3"/>
      <c r="D665" s="128"/>
      <c r="E665"/>
      <c r="F665" t="s">
        <v>12969</v>
      </c>
      <c r="G665" t="s">
        <v>12968</v>
      </c>
      <c r="H665" t="s">
        <v>10601</v>
      </c>
      <c r="I665" t="s">
        <v>12968</v>
      </c>
      <c r="J665" t="s">
        <v>12969</v>
      </c>
      <c r="K665" t="s">
        <v>13201</v>
      </c>
    </row>
    <row r="666" spans="1:11" s="1" customFormat="1" x14ac:dyDescent="0.25">
      <c r="A666" t="s">
        <v>12970</v>
      </c>
      <c r="B666" t="s">
        <v>12971</v>
      </c>
      <c r="C666" s="3"/>
      <c r="D666" s="128"/>
      <c r="E666"/>
      <c r="F666" t="s">
        <v>12972</v>
      </c>
      <c r="G666" t="s">
        <v>12971</v>
      </c>
      <c r="H666" t="s">
        <v>10601</v>
      </c>
      <c r="I666" t="s">
        <v>12971</v>
      </c>
      <c r="J666" t="s">
        <v>12972</v>
      </c>
      <c r="K666" t="s">
        <v>8734</v>
      </c>
    </row>
    <row r="667" spans="1:11" s="1" customFormat="1" x14ac:dyDescent="0.25">
      <c r="A667" t="s">
        <v>12973</v>
      </c>
      <c r="B667" t="s">
        <v>8320</v>
      </c>
      <c r="C667" s="3"/>
      <c r="D667" s="128"/>
      <c r="E667"/>
      <c r="F667" t="s">
        <v>12974</v>
      </c>
      <c r="G667" t="s">
        <v>8320</v>
      </c>
      <c r="H667" t="s">
        <v>10601</v>
      </c>
      <c r="I667" t="s">
        <v>8320</v>
      </c>
      <c r="J667" t="s">
        <v>12974</v>
      </c>
      <c r="K667" t="s">
        <v>13200</v>
      </c>
    </row>
    <row r="668" spans="1:11" s="1" customFormat="1" x14ac:dyDescent="0.25">
      <c r="A668" t="s">
        <v>12975</v>
      </c>
      <c r="B668" t="s">
        <v>12976</v>
      </c>
      <c r="C668" s="3"/>
      <c r="D668" s="128"/>
      <c r="E668"/>
      <c r="F668" t="s">
        <v>12978</v>
      </c>
      <c r="G668" t="s">
        <v>12977</v>
      </c>
      <c r="H668" t="s">
        <v>10601</v>
      </c>
      <c r="I668" t="s">
        <v>12976</v>
      </c>
      <c r="J668" t="s">
        <v>12978</v>
      </c>
      <c r="K668" t="s">
        <v>12976</v>
      </c>
    </row>
    <row r="669" spans="1:11" s="1" customFormat="1" x14ac:dyDescent="0.25">
      <c r="A669" t="s">
        <v>12979</v>
      </c>
      <c r="B669" t="s">
        <v>12980</v>
      </c>
      <c r="C669" s="3"/>
      <c r="D669" s="128"/>
      <c r="E669">
        <v>545</v>
      </c>
      <c r="F669" t="s">
        <v>12981</v>
      </c>
      <c r="G669" t="s">
        <v>10601</v>
      </c>
      <c r="H669" t="s">
        <v>10601</v>
      </c>
      <c r="I669" t="s">
        <v>12980</v>
      </c>
      <c r="J669" t="s">
        <v>12981</v>
      </c>
      <c r="K669" t="s">
        <v>13163</v>
      </c>
    </row>
    <row r="670" spans="1:11" s="1" customFormat="1" x14ac:dyDescent="0.25">
      <c r="A670" t="s">
        <v>9873</v>
      </c>
      <c r="B670" t="s">
        <v>9874</v>
      </c>
      <c r="C670" s="111"/>
      <c r="D670" s="128"/>
      <c r="E670">
        <v>102</v>
      </c>
      <c r="F670" t="s">
        <v>9877</v>
      </c>
      <c r="G670" t="s">
        <v>9874</v>
      </c>
      <c r="H670" t="s">
        <v>9876</v>
      </c>
      <c r="I670" t="s">
        <v>9874</v>
      </c>
      <c r="J670" t="s">
        <v>9877</v>
      </c>
      <c r="K670" t="s">
        <v>8042</v>
      </c>
    </row>
    <row r="671" spans="1:11" s="1" customFormat="1" x14ac:dyDescent="0.25">
      <c r="A671" t="s">
        <v>9878</v>
      </c>
      <c r="B671" t="s">
        <v>9879</v>
      </c>
      <c r="C671" s="3"/>
      <c r="D671" s="128"/>
      <c r="E671">
        <v>0</v>
      </c>
      <c r="F671" t="s">
        <v>9880</v>
      </c>
      <c r="G671" t="s">
        <v>9879</v>
      </c>
      <c r="H671" t="s">
        <v>9876</v>
      </c>
      <c r="I671" t="s">
        <v>9879</v>
      </c>
      <c r="J671" t="s">
        <v>9880</v>
      </c>
      <c r="K671" t="s">
        <v>10463</v>
      </c>
    </row>
    <row r="672" spans="1:11" s="1" customFormat="1" x14ac:dyDescent="0.25">
      <c r="A672" t="s">
        <v>9881</v>
      </c>
      <c r="B672" t="s">
        <v>9882</v>
      </c>
      <c r="C672" s="3"/>
      <c r="D672" s="128"/>
      <c r="E672">
        <v>580</v>
      </c>
      <c r="F672" t="s">
        <v>9883</v>
      </c>
      <c r="G672" t="s">
        <v>9882</v>
      </c>
      <c r="H672" t="s">
        <v>9876</v>
      </c>
      <c r="I672" t="s">
        <v>9882</v>
      </c>
      <c r="J672" t="s">
        <v>9883</v>
      </c>
      <c r="K672" t="s">
        <v>8042</v>
      </c>
    </row>
    <row r="673" spans="1:11" s="1" customFormat="1" x14ac:dyDescent="0.25">
      <c r="A673" t="s">
        <v>9884</v>
      </c>
      <c r="B673" t="s">
        <v>9885</v>
      </c>
      <c r="C673" s="111"/>
      <c r="D673" s="128"/>
      <c r="E673"/>
      <c r="F673" t="s">
        <v>9886</v>
      </c>
      <c r="G673" t="s">
        <v>9885</v>
      </c>
      <c r="H673" t="s">
        <v>9876</v>
      </c>
      <c r="I673" t="s">
        <v>9885</v>
      </c>
      <c r="J673" t="s">
        <v>9886</v>
      </c>
      <c r="K673" t="s">
        <v>8042</v>
      </c>
    </row>
    <row r="674" spans="1:11" s="1" customFormat="1" x14ac:dyDescent="0.25">
      <c r="A674" t="s">
        <v>9887</v>
      </c>
      <c r="B674" t="s">
        <v>9888</v>
      </c>
      <c r="C674" s="3"/>
      <c r="D674" s="128"/>
      <c r="E674">
        <v>1000</v>
      </c>
      <c r="F674" t="s">
        <v>9889</v>
      </c>
      <c r="G674" t="s">
        <v>9888</v>
      </c>
      <c r="H674" t="s">
        <v>9876</v>
      </c>
      <c r="I674" t="s">
        <v>9888</v>
      </c>
      <c r="J674" t="s">
        <v>9889</v>
      </c>
      <c r="K674" t="s">
        <v>10463</v>
      </c>
    </row>
    <row r="675" spans="1:11" s="1" customFormat="1" x14ac:dyDescent="0.25">
      <c r="A675" t="s">
        <v>9890</v>
      </c>
      <c r="B675" t="s">
        <v>9891</v>
      </c>
      <c r="C675" s="3"/>
      <c r="D675" s="128"/>
      <c r="E675">
        <v>490</v>
      </c>
      <c r="F675" t="s">
        <v>9892</v>
      </c>
      <c r="G675" t="s">
        <v>9891</v>
      </c>
      <c r="H675" t="s">
        <v>9876</v>
      </c>
      <c r="I675" t="s">
        <v>9891</v>
      </c>
      <c r="J675" t="s">
        <v>9892</v>
      </c>
      <c r="K675" t="s">
        <v>8467</v>
      </c>
    </row>
    <row r="676" spans="1:11" s="1" customFormat="1" x14ac:dyDescent="0.25">
      <c r="A676" t="s">
        <v>9893</v>
      </c>
      <c r="B676" t="s">
        <v>9894</v>
      </c>
      <c r="C676" s="111"/>
      <c r="D676" s="128"/>
      <c r="E676">
        <v>150</v>
      </c>
      <c r="F676" t="s">
        <v>9895</v>
      </c>
      <c r="G676" t="s">
        <v>9894</v>
      </c>
      <c r="H676" t="s">
        <v>9876</v>
      </c>
      <c r="I676" t="s">
        <v>9894</v>
      </c>
      <c r="J676" t="s">
        <v>9895</v>
      </c>
      <c r="K676" t="s">
        <v>13209</v>
      </c>
    </row>
    <row r="677" spans="1:11" s="1" customFormat="1" x14ac:dyDescent="0.25">
      <c r="A677" t="s">
        <v>9896</v>
      </c>
      <c r="B677" t="s">
        <v>9897</v>
      </c>
      <c r="C677" s="111"/>
      <c r="D677" s="128"/>
      <c r="E677">
        <v>0</v>
      </c>
      <c r="F677" t="s">
        <v>9898</v>
      </c>
      <c r="G677" t="s">
        <v>9897</v>
      </c>
      <c r="H677" t="s">
        <v>9876</v>
      </c>
      <c r="I677" t="s">
        <v>9897</v>
      </c>
      <c r="J677" t="s">
        <v>9898</v>
      </c>
      <c r="K677" t="s">
        <v>13209</v>
      </c>
    </row>
    <row r="678" spans="1:11" s="1" customFormat="1" x14ac:dyDescent="0.25">
      <c r="A678" t="s">
        <v>9899</v>
      </c>
      <c r="B678" t="s">
        <v>9900</v>
      </c>
      <c r="C678" s="111"/>
      <c r="D678" s="128"/>
      <c r="E678">
        <v>100</v>
      </c>
      <c r="F678" t="s">
        <v>9902</v>
      </c>
      <c r="G678" t="s">
        <v>9901</v>
      </c>
      <c r="H678" t="s">
        <v>9876</v>
      </c>
      <c r="I678" t="s">
        <v>9900</v>
      </c>
      <c r="J678" t="s">
        <v>9902</v>
      </c>
      <c r="K678" t="s">
        <v>11654</v>
      </c>
    </row>
    <row r="679" spans="1:11" s="1" customFormat="1" x14ac:dyDescent="0.25">
      <c r="A679" t="s">
        <v>9903</v>
      </c>
      <c r="B679" t="s">
        <v>9904</v>
      </c>
      <c r="C679" s="111"/>
      <c r="D679" s="128"/>
      <c r="E679">
        <v>304</v>
      </c>
      <c r="F679" t="s">
        <v>9905</v>
      </c>
      <c r="G679" t="s">
        <v>9904</v>
      </c>
      <c r="H679" t="s">
        <v>9876</v>
      </c>
      <c r="I679" t="s">
        <v>9904</v>
      </c>
      <c r="J679" t="s">
        <v>9905</v>
      </c>
      <c r="K679" t="s">
        <v>8429</v>
      </c>
    </row>
    <row r="680" spans="1:11" s="1" customFormat="1" x14ac:dyDescent="0.25">
      <c r="A680" t="s">
        <v>9906</v>
      </c>
      <c r="B680" t="s">
        <v>9907</v>
      </c>
      <c r="C680" s="3"/>
      <c r="D680" s="128"/>
      <c r="E680">
        <v>268</v>
      </c>
      <c r="F680" t="s">
        <v>9910</v>
      </c>
      <c r="G680" t="s">
        <v>9909</v>
      </c>
      <c r="H680" t="s">
        <v>9876</v>
      </c>
      <c r="I680" t="s">
        <v>9907</v>
      </c>
      <c r="J680" t="s">
        <v>9910</v>
      </c>
      <c r="K680" t="s">
        <v>13210</v>
      </c>
    </row>
    <row r="681" spans="1:11" s="1" customFormat="1" x14ac:dyDescent="0.25">
      <c r="A681" t="s">
        <v>9911</v>
      </c>
      <c r="B681" t="s">
        <v>9912</v>
      </c>
      <c r="C681" s="111"/>
      <c r="D681" s="128"/>
      <c r="E681"/>
      <c r="F681" t="s">
        <v>9913</v>
      </c>
      <c r="G681" t="s">
        <v>9912</v>
      </c>
      <c r="H681" t="s">
        <v>9876</v>
      </c>
      <c r="I681" t="s">
        <v>9912</v>
      </c>
      <c r="J681" t="s">
        <v>9913</v>
      </c>
      <c r="K681" t="s">
        <v>8180</v>
      </c>
    </row>
    <row r="682" spans="1:11" s="1" customFormat="1" x14ac:dyDescent="0.25">
      <c r="A682" t="s">
        <v>9914</v>
      </c>
      <c r="B682" t="s">
        <v>9915</v>
      </c>
      <c r="C682" s="3"/>
      <c r="D682" s="128"/>
      <c r="E682">
        <v>490</v>
      </c>
      <c r="F682" t="s">
        <v>9917</v>
      </c>
      <c r="G682" t="s">
        <v>9916</v>
      </c>
      <c r="H682" t="s">
        <v>9876</v>
      </c>
      <c r="I682" t="s">
        <v>9915</v>
      </c>
      <c r="J682" t="s">
        <v>9917</v>
      </c>
      <c r="K682" t="s">
        <v>13211</v>
      </c>
    </row>
    <row r="683" spans="1:11" s="1" customFormat="1" x14ac:dyDescent="0.25">
      <c r="A683" t="s">
        <v>9918</v>
      </c>
      <c r="B683" t="s">
        <v>9919</v>
      </c>
      <c r="C683" s="3"/>
      <c r="D683" s="128"/>
      <c r="E683">
        <v>502</v>
      </c>
      <c r="F683" t="s">
        <v>9921</v>
      </c>
      <c r="G683" t="s">
        <v>9920</v>
      </c>
      <c r="H683" t="s">
        <v>9876</v>
      </c>
      <c r="I683" t="s">
        <v>9919</v>
      </c>
      <c r="J683" t="s">
        <v>9921</v>
      </c>
      <c r="K683" t="s">
        <v>8180</v>
      </c>
    </row>
    <row r="684" spans="1:11" s="1" customFormat="1" x14ac:dyDescent="0.25">
      <c r="A684" t="s">
        <v>9922</v>
      </c>
      <c r="B684" t="s">
        <v>9923</v>
      </c>
      <c r="C684" s="3"/>
      <c r="D684" s="128"/>
      <c r="E684">
        <v>0</v>
      </c>
      <c r="F684" t="s">
        <v>9925</v>
      </c>
      <c r="G684" t="s">
        <v>9924</v>
      </c>
      <c r="H684" t="s">
        <v>9876</v>
      </c>
      <c r="I684" t="s">
        <v>9923</v>
      </c>
      <c r="J684" t="s">
        <v>9925</v>
      </c>
      <c r="K684" t="s">
        <v>11399</v>
      </c>
    </row>
    <row r="685" spans="1:11" s="1" customFormat="1" x14ac:dyDescent="0.25">
      <c r="A685" t="s">
        <v>9926</v>
      </c>
      <c r="B685" t="s">
        <v>9927</v>
      </c>
      <c r="C685" s="3"/>
      <c r="D685" s="128"/>
      <c r="E685">
        <v>374</v>
      </c>
      <c r="F685" t="s">
        <v>9928</v>
      </c>
      <c r="G685" t="s">
        <v>9927</v>
      </c>
      <c r="H685" t="s">
        <v>9876</v>
      </c>
      <c r="I685" t="s">
        <v>9927</v>
      </c>
      <c r="J685" t="s">
        <v>9928</v>
      </c>
      <c r="K685" t="s">
        <v>9130</v>
      </c>
    </row>
    <row r="686" spans="1:11" s="1" customFormat="1" x14ac:dyDescent="0.25">
      <c r="A686" t="s">
        <v>9929</v>
      </c>
      <c r="B686" t="s">
        <v>9930</v>
      </c>
      <c r="C686" s="3"/>
      <c r="D686" s="128"/>
      <c r="E686"/>
      <c r="F686" t="s">
        <v>9932</v>
      </c>
      <c r="G686" t="s">
        <v>9931</v>
      </c>
      <c r="H686" t="s">
        <v>9876</v>
      </c>
      <c r="I686" t="s">
        <v>9930</v>
      </c>
      <c r="J686" t="s">
        <v>9932</v>
      </c>
      <c r="K686" t="s">
        <v>11910</v>
      </c>
    </row>
    <row r="687" spans="1:11" s="1" customFormat="1" x14ac:dyDescent="0.25">
      <c r="A687" t="s">
        <v>9933</v>
      </c>
      <c r="B687" t="s">
        <v>9934</v>
      </c>
      <c r="C687" s="3"/>
      <c r="D687" s="128"/>
      <c r="E687">
        <v>147</v>
      </c>
      <c r="F687" t="s">
        <v>9935</v>
      </c>
      <c r="G687" t="s">
        <v>9934</v>
      </c>
      <c r="H687" t="s">
        <v>9876</v>
      </c>
      <c r="I687" t="s">
        <v>9934</v>
      </c>
      <c r="J687" t="s">
        <v>9935</v>
      </c>
      <c r="K687" t="s">
        <v>11399</v>
      </c>
    </row>
    <row r="688" spans="1:11" s="1" customFormat="1" x14ac:dyDescent="0.25">
      <c r="A688" t="s">
        <v>9936</v>
      </c>
      <c r="B688" t="s">
        <v>9937</v>
      </c>
      <c r="C688" s="3"/>
      <c r="D688" s="128"/>
      <c r="E688">
        <v>0</v>
      </c>
      <c r="F688" t="s">
        <v>9938</v>
      </c>
      <c r="G688" t="s">
        <v>9937</v>
      </c>
      <c r="H688" t="s">
        <v>9876</v>
      </c>
      <c r="I688" t="s">
        <v>9937</v>
      </c>
      <c r="J688" t="s">
        <v>9938</v>
      </c>
      <c r="K688" t="s">
        <v>13212</v>
      </c>
    </row>
    <row r="689" spans="1:11" s="1" customFormat="1" x14ac:dyDescent="0.25">
      <c r="A689" t="s">
        <v>9939</v>
      </c>
      <c r="B689" t="s">
        <v>9940</v>
      </c>
      <c r="C689" s="3"/>
      <c r="D689" s="128"/>
      <c r="E689">
        <v>1</v>
      </c>
      <c r="F689" t="s">
        <v>9941</v>
      </c>
      <c r="G689" t="s">
        <v>9940</v>
      </c>
      <c r="H689" t="s">
        <v>9876</v>
      </c>
      <c r="I689" t="s">
        <v>9940</v>
      </c>
      <c r="J689" t="s">
        <v>9941</v>
      </c>
      <c r="K689" t="s">
        <v>13212</v>
      </c>
    </row>
    <row r="690" spans="1:11" s="1" customFormat="1" x14ac:dyDescent="0.25">
      <c r="A690" t="s">
        <v>9942</v>
      </c>
      <c r="B690" t="s">
        <v>13946</v>
      </c>
      <c r="C690" s="3"/>
      <c r="D690" s="128"/>
      <c r="E690">
        <v>1031</v>
      </c>
      <c r="F690" t="s">
        <v>9943</v>
      </c>
      <c r="G690" t="s">
        <v>13946</v>
      </c>
      <c r="H690" t="s">
        <v>9876</v>
      </c>
      <c r="I690" t="s">
        <v>13946</v>
      </c>
      <c r="J690" t="s">
        <v>9943</v>
      </c>
      <c r="K690" t="s">
        <v>8011</v>
      </c>
    </row>
    <row r="691" spans="1:11" s="1" customFormat="1" x14ac:dyDescent="0.25">
      <c r="A691" t="s">
        <v>9944</v>
      </c>
      <c r="B691" t="s">
        <v>9945</v>
      </c>
      <c r="C691" s="3"/>
      <c r="D691" s="128"/>
      <c r="E691">
        <v>100</v>
      </c>
      <c r="F691" t="s">
        <v>9946</v>
      </c>
      <c r="G691" t="s">
        <v>9945</v>
      </c>
      <c r="H691" t="s">
        <v>9876</v>
      </c>
      <c r="I691" t="s">
        <v>9945</v>
      </c>
      <c r="J691" t="s">
        <v>9946</v>
      </c>
      <c r="K691" t="s">
        <v>11399</v>
      </c>
    </row>
    <row r="692" spans="1:11" s="1" customFormat="1" x14ac:dyDescent="0.25">
      <c r="A692" t="s">
        <v>9947</v>
      </c>
      <c r="B692" t="s">
        <v>9948</v>
      </c>
      <c r="C692" s="3"/>
      <c r="D692" s="128"/>
      <c r="E692">
        <v>1007</v>
      </c>
      <c r="F692" t="s">
        <v>9949</v>
      </c>
      <c r="G692" t="s">
        <v>9948</v>
      </c>
      <c r="H692" t="s">
        <v>9876</v>
      </c>
      <c r="I692" t="s">
        <v>9948</v>
      </c>
      <c r="J692" t="s">
        <v>9949</v>
      </c>
      <c r="K692" t="s">
        <v>8719</v>
      </c>
    </row>
    <row r="693" spans="1:11" s="1" customFormat="1" x14ac:dyDescent="0.25">
      <c r="A693" t="s">
        <v>9950</v>
      </c>
      <c r="B693" t="s">
        <v>9951</v>
      </c>
      <c r="C693" s="3"/>
      <c r="D693" s="128"/>
      <c r="E693">
        <v>198</v>
      </c>
      <c r="F693" t="s">
        <v>9952</v>
      </c>
      <c r="G693" t="s">
        <v>9951</v>
      </c>
      <c r="H693" t="s">
        <v>9876</v>
      </c>
      <c r="I693" t="s">
        <v>9951</v>
      </c>
      <c r="J693" t="s">
        <v>9952</v>
      </c>
      <c r="K693" t="s">
        <v>8087</v>
      </c>
    </row>
    <row r="694" spans="1:11" s="1" customFormat="1" x14ac:dyDescent="0.25">
      <c r="A694" t="s">
        <v>9953</v>
      </c>
      <c r="B694" t="s">
        <v>9954</v>
      </c>
      <c r="C694" s="3"/>
      <c r="D694" s="128"/>
      <c r="E694">
        <v>100</v>
      </c>
      <c r="F694" t="s">
        <v>9955</v>
      </c>
      <c r="G694" t="s">
        <v>9954</v>
      </c>
      <c r="H694" t="s">
        <v>9876</v>
      </c>
      <c r="I694" t="s">
        <v>9954</v>
      </c>
      <c r="J694" t="s">
        <v>9955</v>
      </c>
      <c r="K694" t="s">
        <v>13212</v>
      </c>
    </row>
    <row r="695" spans="1:11" s="1" customFormat="1" x14ac:dyDescent="0.25">
      <c r="A695" t="s">
        <v>9956</v>
      </c>
      <c r="B695" t="s">
        <v>9957</v>
      </c>
      <c r="C695" s="3"/>
      <c r="D695" s="128"/>
      <c r="E695">
        <v>100</v>
      </c>
      <c r="F695" t="s">
        <v>9958</v>
      </c>
      <c r="G695" t="s">
        <v>9957</v>
      </c>
      <c r="H695" t="s">
        <v>9876</v>
      </c>
      <c r="I695" t="s">
        <v>9957</v>
      </c>
      <c r="J695" t="s">
        <v>9958</v>
      </c>
      <c r="K695" t="s">
        <v>9997</v>
      </c>
    </row>
    <row r="696" spans="1:11" s="1" customFormat="1" x14ac:dyDescent="0.25">
      <c r="A696" t="s">
        <v>9959</v>
      </c>
      <c r="B696" t="s">
        <v>9960</v>
      </c>
      <c r="C696" s="3"/>
      <c r="D696" s="128"/>
      <c r="E696">
        <v>391</v>
      </c>
      <c r="F696" t="s">
        <v>9961</v>
      </c>
      <c r="G696" t="s">
        <v>9960</v>
      </c>
      <c r="H696" t="s">
        <v>9876</v>
      </c>
      <c r="I696" t="s">
        <v>9960</v>
      </c>
      <c r="J696" t="s">
        <v>9961</v>
      </c>
      <c r="K696" t="s">
        <v>13211</v>
      </c>
    </row>
    <row r="697" spans="1:11" s="1" customFormat="1" x14ac:dyDescent="0.25">
      <c r="A697" t="s">
        <v>9962</v>
      </c>
      <c r="B697" t="s">
        <v>9963</v>
      </c>
      <c r="C697" s="3"/>
      <c r="D697" s="128"/>
      <c r="E697">
        <v>358</v>
      </c>
      <c r="F697" t="s">
        <v>9964</v>
      </c>
      <c r="G697" t="s">
        <v>9963</v>
      </c>
      <c r="H697" t="s">
        <v>9876</v>
      </c>
      <c r="I697" t="s">
        <v>9963</v>
      </c>
      <c r="J697" t="s">
        <v>9964</v>
      </c>
      <c r="K697" t="s">
        <v>11654</v>
      </c>
    </row>
    <row r="698" spans="1:11" s="1" customFormat="1" x14ac:dyDescent="0.25">
      <c r="A698" t="s">
        <v>9965</v>
      </c>
      <c r="B698" t="s">
        <v>9966</v>
      </c>
      <c r="C698" s="3"/>
      <c r="D698" s="128"/>
      <c r="E698">
        <v>100</v>
      </c>
      <c r="F698" t="s">
        <v>9968</v>
      </c>
      <c r="G698" t="s">
        <v>9967</v>
      </c>
      <c r="H698" t="s">
        <v>9876</v>
      </c>
      <c r="I698" t="s">
        <v>9966</v>
      </c>
      <c r="J698" t="s">
        <v>9968</v>
      </c>
      <c r="K698" t="s">
        <v>9967</v>
      </c>
    </row>
    <row r="699" spans="1:11" s="1" customFormat="1" x14ac:dyDescent="0.25">
      <c r="A699" t="s">
        <v>9969</v>
      </c>
      <c r="B699" t="s">
        <v>9970</v>
      </c>
      <c r="C699" s="3"/>
      <c r="D699" s="128"/>
      <c r="E699">
        <v>100</v>
      </c>
      <c r="F699" t="s">
        <v>9972</v>
      </c>
      <c r="G699" t="s">
        <v>9971</v>
      </c>
      <c r="H699" t="s">
        <v>9876</v>
      </c>
      <c r="I699" t="s">
        <v>9970</v>
      </c>
      <c r="J699" t="s">
        <v>9972</v>
      </c>
      <c r="K699" t="s">
        <v>13211</v>
      </c>
    </row>
    <row r="700" spans="1:11" s="1" customFormat="1" x14ac:dyDescent="0.25">
      <c r="A700" t="s">
        <v>9973</v>
      </c>
      <c r="B700" t="s">
        <v>13947</v>
      </c>
      <c r="C700" s="3"/>
      <c r="D700" s="128"/>
      <c r="E700">
        <v>601</v>
      </c>
      <c r="F700" t="s">
        <v>9974</v>
      </c>
      <c r="G700" t="s">
        <v>13976</v>
      </c>
      <c r="H700" t="s">
        <v>9876</v>
      </c>
      <c r="I700" t="s">
        <v>13947</v>
      </c>
      <c r="J700" t="s">
        <v>9974</v>
      </c>
      <c r="K700" t="s">
        <v>13213</v>
      </c>
    </row>
    <row r="701" spans="1:11" s="1" customFormat="1" x14ac:dyDescent="0.25">
      <c r="A701" t="s">
        <v>9975</v>
      </c>
      <c r="B701" t="s">
        <v>9976</v>
      </c>
      <c r="C701" s="3"/>
      <c r="D701" s="128"/>
      <c r="E701">
        <v>135</v>
      </c>
      <c r="F701" t="s">
        <v>9977</v>
      </c>
      <c r="G701" t="s">
        <v>9976</v>
      </c>
      <c r="H701" t="s">
        <v>9876</v>
      </c>
      <c r="I701" t="s">
        <v>9976</v>
      </c>
      <c r="J701" t="s">
        <v>9977</v>
      </c>
      <c r="K701" t="s">
        <v>8303</v>
      </c>
    </row>
    <row r="702" spans="1:11" s="1" customFormat="1" x14ac:dyDescent="0.25">
      <c r="A702" t="s">
        <v>9978</v>
      </c>
      <c r="B702" t="s">
        <v>9979</v>
      </c>
      <c r="C702" s="3"/>
      <c r="D702" s="128"/>
      <c r="E702">
        <v>0</v>
      </c>
      <c r="F702" t="s">
        <v>9980</v>
      </c>
      <c r="G702" t="s">
        <v>9979</v>
      </c>
      <c r="H702" t="s">
        <v>9876</v>
      </c>
      <c r="I702" t="s">
        <v>9979</v>
      </c>
      <c r="J702" t="s">
        <v>9980</v>
      </c>
      <c r="K702" t="s">
        <v>8042</v>
      </c>
    </row>
    <row r="703" spans="1:11" s="1" customFormat="1" x14ac:dyDescent="0.25">
      <c r="A703" t="s">
        <v>9981</v>
      </c>
      <c r="B703" t="s">
        <v>9982</v>
      </c>
      <c r="C703" s="3"/>
      <c r="D703" s="128"/>
      <c r="E703">
        <v>575</v>
      </c>
      <c r="F703" t="s">
        <v>9983</v>
      </c>
      <c r="G703" t="s">
        <v>9982</v>
      </c>
      <c r="H703" t="s">
        <v>9876</v>
      </c>
      <c r="I703" t="s">
        <v>9982</v>
      </c>
      <c r="J703" t="s">
        <v>9983</v>
      </c>
      <c r="K703" t="s">
        <v>9982</v>
      </c>
    </row>
    <row r="704" spans="1:11" s="1" customFormat="1" x14ac:dyDescent="0.25">
      <c r="A704" t="s">
        <v>9984</v>
      </c>
      <c r="B704" t="s">
        <v>8648</v>
      </c>
      <c r="C704" s="3"/>
      <c r="D704" s="128"/>
      <c r="E704">
        <v>0</v>
      </c>
      <c r="F704" t="s">
        <v>9985</v>
      </c>
      <c r="G704" t="s">
        <v>8648</v>
      </c>
      <c r="H704" t="s">
        <v>9876</v>
      </c>
      <c r="I704" t="s">
        <v>8648</v>
      </c>
      <c r="J704" t="s">
        <v>9985</v>
      </c>
      <c r="K704" t="s">
        <v>8719</v>
      </c>
    </row>
    <row r="705" spans="1:11" s="1" customFormat="1" x14ac:dyDescent="0.25">
      <c r="A705" t="s">
        <v>9986</v>
      </c>
      <c r="B705" t="s">
        <v>9987</v>
      </c>
      <c r="C705" s="3"/>
      <c r="D705" s="128"/>
      <c r="E705">
        <v>233</v>
      </c>
      <c r="F705" t="s">
        <v>9988</v>
      </c>
      <c r="G705" t="s">
        <v>9987</v>
      </c>
      <c r="H705" t="s">
        <v>9876</v>
      </c>
      <c r="I705" t="s">
        <v>9987</v>
      </c>
      <c r="J705" t="s">
        <v>9988</v>
      </c>
      <c r="K705" t="s">
        <v>13214</v>
      </c>
    </row>
    <row r="706" spans="1:11" s="1" customFormat="1" x14ac:dyDescent="0.25">
      <c r="A706" t="s">
        <v>9989</v>
      </c>
      <c r="B706" t="s">
        <v>9990</v>
      </c>
      <c r="C706" s="3"/>
      <c r="D706" s="128"/>
      <c r="E706">
        <v>0</v>
      </c>
      <c r="F706" t="s">
        <v>9991</v>
      </c>
      <c r="G706" t="s">
        <v>9990</v>
      </c>
      <c r="H706" t="s">
        <v>9876</v>
      </c>
      <c r="I706" t="s">
        <v>9990</v>
      </c>
      <c r="J706" t="s">
        <v>9991</v>
      </c>
      <c r="K706" t="s">
        <v>11654</v>
      </c>
    </row>
    <row r="707" spans="1:11" s="1" customFormat="1" x14ac:dyDescent="0.25">
      <c r="A707" t="s">
        <v>9992</v>
      </c>
      <c r="B707" t="s">
        <v>9993</v>
      </c>
      <c r="C707" s="3"/>
      <c r="D707" s="128"/>
      <c r="E707">
        <v>199</v>
      </c>
      <c r="F707" t="s">
        <v>9994</v>
      </c>
      <c r="G707" t="s">
        <v>9993</v>
      </c>
      <c r="H707" t="s">
        <v>9876</v>
      </c>
      <c r="I707" t="s">
        <v>9993</v>
      </c>
      <c r="J707" t="s">
        <v>9994</v>
      </c>
      <c r="K707" t="s">
        <v>8945</v>
      </c>
    </row>
    <row r="708" spans="1:11" s="1" customFormat="1" x14ac:dyDescent="0.25">
      <c r="A708" t="s">
        <v>9995</v>
      </c>
      <c r="B708" t="s">
        <v>9996</v>
      </c>
      <c r="C708" s="3"/>
      <c r="D708" s="128"/>
      <c r="E708">
        <v>199</v>
      </c>
      <c r="F708" t="s">
        <v>9998</v>
      </c>
      <c r="G708" t="s">
        <v>9996</v>
      </c>
      <c r="H708" t="s">
        <v>9876</v>
      </c>
      <c r="I708" t="s">
        <v>9996</v>
      </c>
      <c r="J708" t="s">
        <v>9998</v>
      </c>
      <c r="K708" t="s">
        <v>13210</v>
      </c>
    </row>
    <row r="709" spans="1:11" s="1" customFormat="1" x14ac:dyDescent="0.25">
      <c r="A709" t="s">
        <v>9999</v>
      </c>
      <c r="B709" t="s">
        <v>10000</v>
      </c>
      <c r="C709" s="3"/>
      <c r="D709" s="128"/>
      <c r="E709">
        <v>250</v>
      </c>
      <c r="F709" t="s">
        <v>10002</v>
      </c>
      <c r="G709" t="s">
        <v>10000</v>
      </c>
      <c r="H709" t="s">
        <v>9876</v>
      </c>
      <c r="I709" t="s">
        <v>10000</v>
      </c>
      <c r="J709" t="s">
        <v>10002</v>
      </c>
      <c r="K709" t="s">
        <v>10760</v>
      </c>
    </row>
    <row r="710" spans="1:11" s="1" customFormat="1" x14ac:dyDescent="0.25">
      <c r="A710" t="s">
        <v>10003</v>
      </c>
      <c r="B710" t="s">
        <v>10004</v>
      </c>
      <c r="C710" s="3"/>
      <c r="D710" s="128"/>
      <c r="E710"/>
      <c r="F710" t="s">
        <v>10006</v>
      </c>
      <c r="G710" t="s">
        <v>10004</v>
      </c>
      <c r="H710" t="s">
        <v>9876</v>
      </c>
      <c r="I710" t="s">
        <v>10004</v>
      </c>
      <c r="J710" t="s">
        <v>10006</v>
      </c>
      <c r="K710" t="s">
        <v>13215</v>
      </c>
    </row>
    <row r="711" spans="1:11" s="1" customFormat="1" x14ac:dyDescent="0.25">
      <c r="A711" t="s">
        <v>10007</v>
      </c>
      <c r="B711" t="s">
        <v>10008</v>
      </c>
      <c r="C711" s="3"/>
      <c r="D711" s="128"/>
      <c r="E711"/>
      <c r="F711" t="s">
        <v>10009</v>
      </c>
      <c r="G711" t="s">
        <v>10008</v>
      </c>
      <c r="H711" t="s">
        <v>9876</v>
      </c>
      <c r="I711" t="s">
        <v>10008</v>
      </c>
      <c r="J711" t="s">
        <v>10009</v>
      </c>
      <c r="K711" t="s">
        <v>8042</v>
      </c>
    </row>
    <row r="712" spans="1:11" s="1" customFormat="1" x14ac:dyDescent="0.25">
      <c r="A712" t="s">
        <v>10010</v>
      </c>
      <c r="B712" t="s">
        <v>10011</v>
      </c>
      <c r="C712" s="3"/>
      <c r="D712" s="128"/>
      <c r="E712"/>
      <c r="F712" t="s">
        <v>10012</v>
      </c>
      <c r="G712" t="s">
        <v>10011</v>
      </c>
      <c r="H712" t="s">
        <v>9876</v>
      </c>
      <c r="I712" t="s">
        <v>10011</v>
      </c>
      <c r="J712" t="s">
        <v>10012</v>
      </c>
      <c r="K712" t="s">
        <v>11399</v>
      </c>
    </row>
    <row r="713" spans="1:11" s="1" customFormat="1" x14ac:dyDescent="0.25">
      <c r="A713" t="s">
        <v>10013</v>
      </c>
      <c r="B713" t="s">
        <v>10014</v>
      </c>
      <c r="C713" s="3"/>
      <c r="D713" s="128"/>
      <c r="E713">
        <v>0</v>
      </c>
      <c r="F713" t="s">
        <v>10015</v>
      </c>
      <c r="G713" t="s">
        <v>10014</v>
      </c>
      <c r="H713" t="s">
        <v>9876</v>
      </c>
      <c r="I713" t="s">
        <v>10014</v>
      </c>
      <c r="J713" t="s">
        <v>10015</v>
      </c>
      <c r="K713" t="s">
        <v>8719</v>
      </c>
    </row>
    <row r="714" spans="1:11" s="1" customFormat="1" x14ac:dyDescent="0.25">
      <c r="A714" t="s">
        <v>10016</v>
      </c>
      <c r="B714" t="s">
        <v>10017</v>
      </c>
      <c r="C714" s="3"/>
      <c r="D714" s="128"/>
      <c r="E714">
        <v>100</v>
      </c>
      <c r="F714" t="s">
        <v>10018</v>
      </c>
      <c r="G714" t="s">
        <v>10017</v>
      </c>
      <c r="H714" t="s">
        <v>9876</v>
      </c>
      <c r="I714" t="s">
        <v>10017</v>
      </c>
      <c r="J714" t="s">
        <v>10018</v>
      </c>
      <c r="K714" t="s">
        <v>11654</v>
      </c>
    </row>
    <row r="715" spans="1:11" s="1" customFormat="1" x14ac:dyDescent="0.25">
      <c r="A715" t="s">
        <v>10019</v>
      </c>
      <c r="B715" t="s">
        <v>10020</v>
      </c>
      <c r="C715" s="3"/>
      <c r="D715" s="128"/>
      <c r="E715">
        <v>0</v>
      </c>
      <c r="F715" t="s">
        <v>10021</v>
      </c>
      <c r="G715" t="s">
        <v>10020</v>
      </c>
      <c r="H715" t="s">
        <v>9876</v>
      </c>
      <c r="I715" t="s">
        <v>10020</v>
      </c>
      <c r="J715" t="s">
        <v>10021</v>
      </c>
      <c r="K715" t="s">
        <v>10760</v>
      </c>
    </row>
    <row r="716" spans="1:11" s="1" customFormat="1" x14ac:dyDescent="0.25">
      <c r="A716" t="s">
        <v>10022</v>
      </c>
      <c r="B716" t="s">
        <v>10023</v>
      </c>
      <c r="C716" s="3"/>
      <c r="D716" s="128"/>
      <c r="E716"/>
      <c r="F716" t="s">
        <v>10024</v>
      </c>
      <c r="G716" t="s">
        <v>10023</v>
      </c>
      <c r="H716" t="s">
        <v>9876</v>
      </c>
      <c r="I716" t="s">
        <v>10023</v>
      </c>
      <c r="J716" t="s">
        <v>10024</v>
      </c>
      <c r="K716" t="s">
        <v>13211</v>
      </c>
    </row>
    <row r="717" spans="1:11" s="1" customFormat="1" x14ac:dyDescent="0.25">
      <c r="A717" t="s">
        <v>10025</v>
      </c>
      <c r="B717" t="s">
        <v>10026</v>
      </c>
      <c r="C717" s="3"/>
      <c r="D717" s="128"/>
      <c r="E717"/>
      <c r="F717" t="s">
        <v>10028</v>
      </c>
      <c r="G717" t="s">
        <v>10027</v>
      </c>
      <c r="H717" t="s">
        <v>9876</v>
      </c>
      <c r="I717" t="s">
        <v>10026</v>
      </c>
      <c r="J717" t="s">
        <v>10028</v>
      </c>
      <c r="K717" t="s">
        <v>11910</v>
      </c>
    </row>
    <row r="718" spans="1:11" s="1" customFormat="1" x14ac:dyDescent="0.25">
      <c r="A718" t="s">
        <v>10029</v>
      </c>
      <c r="B718" t="s">
        <v>10030</v>
      </c>
      <c r="C718" s="3"/>
      <c r="D718" s="128"/>
      <c r="E718">
        <v>5120</v>
      </c>
      <c r="F718" t="s">
        <v>10031</v>
      </c>
      <c r="G718" t="s">
        <v>10030</v>
      </c>
      <c r="H718" t="s">
        <v>9876</v>
      </c>
      <c r="I718" t="s">
        <v>10030</v>
      </c>
      <c r="J718" t="s">
        <v>10031</v>
      </c>
      <c r="K718" t="s">
        <v>8042</v>
      </c>
    </row>
    <row r="719" spans="1:11" s="1" customFormat="1" x14ac:dyDescent="0.25">
      <c r="A719" t="s">
        <v>12000</v>
      </c>
      <c r="B719" t="s">
        <v>10699</v>
      </c>
      <c r="C719" s="3"/>
      <c r="D719" s="128"/>
      <c r="E719">
        <v>223</v>
      </c>
      <c r="F719" t="s">
        <v>12001</v>
      </c>
      <c r="G719" t="s">
        <v>10699</v>
      </c>
      <c r="H719" t="s">
        <v>10699</v>
      </c>
      <c r="I719" t="s">
        <v>10699</v>
      </c>
      <c r="J719" t="s">
        <v>12001</v>
      </c>
      <c r="K719" t="s">
        <v>13163</v>
      </c>
    </row>
    <row r="720" spans="1:11" s="1" customFormat="1" x14ac:dyDescent="0.25">
      <c r="A720" t="s">
        <v>12002</v>
      </c>
      <c r="B720" t="s">
        <v>12003</v>
      </c>
      <c r="C720" s="3"/>
      <c r="D720" s="128"/>
      <c r="E720">
        <v>15</v>
      </c>
      <c r="F720" t="s">
        <v>12004</v>
      </c>
      <c r="G720" t="s">
        <v>8397</v>
      </c>
      <c r="H720" t="s">
        <v>10699</v>
      </c>
      <c r="I720" t="s">
        <v>12003</v>
      </c>
      <c r="J720" t="s">
        <v>12004</v>
      </c>
      <c r="K720" t="s">
        <v>8397</v>
      </c>
    </row>
    <row r="721" spans="1:11" s="1" customFormat="1" x14ac:dyDescent="0.25">
      <c r="A721" t="s">
        <v>12005</v>
      </c>
      <c r="B721" t="s">
        <v>12006</v>
      </c>
      <c r="C721" s="3"/>
      <c r="D721" s="128"/>
      <c r="E721"/>
      <c r="F721" t="s">
        <v>12008</v>
      </c>
      <c r="G721" t="s">
        <v>12007</v>
      </c>
      <c r="H721" t="s">
        <v>10699</v>
      </c>
      <c r="I721" t="s">
        <v>12006</v>
      </c>
      <c r="J721" t="s">
        <v>12008</v>
      </c>
      <c r="K721" t="s">
        <v>12006</v>
      </c>
    </row>
    <row r="722" spans="1:11" s="1" customFormat="1" x14ac:dyDescent="0.25">
      <c r="A722" t="s">
        <v>12009</v>
      </c>
      <c r="B722" t="s">
        <v>12010</v>
      </c>
      <c r="C722" s="3"/>
      <c r="D722" s="128"/>
      <c r="E722">
        <v>6260</v>
      </c>
      <c r="F722" t="s">
        <v>12011</v>
      </c>
      <c r="G722" t="s">
        <v>12010</v>
      </c>
      <c r="H722" t="s">
        <v>10699</v>
      </c>
      <c r="I722" t="s">
        <v>12010</v>
      </c>
      <c r="J722" t="s">
        <v>12011</v>
      </c>
      <c r="K722" t="s">
        <v>8929</v>
      </c>
    </row>
    <row r="723" spans="1:11" s="1" customFormat="1" x14ac:dyDescent="0.25">
      <c r="A723" t="s">
        <v>12012</v>
      </c>
      <c r="B723" t="s">
        <v>12013</v>
      </c>
      <c r="C723" s="3"/>
      <c r="D723" s="128"/>
      <c r="E723">
        <v>10</v>
      </c>
      <c r="F723" t="s">
        <v>12014</v>
      </c>
      <c r="G723" t="s">
        <v>12013</v>
      </c>
      <c r="H723" t="s">
        <v>10699</v>
      </c>
      <c r="I723" t="s">
        <v>12013</v>
      </c>
      <c r="J723" t="s">
        <v>12014</v>
      </c>
      <c r="K723" t="s">
        <v>12031</v>
      </c>
    </row>
    <row r="724" spans="1:11" s="1" customFormat="1" x14ac:dyDescent="0.25">
      <c r="A724" t="s">
        <v>12015</v>
      </c>
      <c r="B724" t="s">
        <v>12016</v>
      </c>
      <c r="C724" s="3"/>
      <c r="D724" s="128"/>
      <c r="E724">
        <v>0</v>
      </c>
      <c r="F724" t="s">
        <v>12017</v>
      </c>
      <c r="G724" t="s">
        <v>12016</v>
      </c>
      <c r="H724" t="s">
        <v>10699</v>
      </c>
      <c r="I724" t="s">
        <v>12016</v>
      </c>
      <c r="J724" t="s">
        <v>12017</v>
      </c>
      <c r="K724" t="s">
        <v>12019</v>
      </c>
    </row>
    <row r="725" spans="1:11" s="1" customFormat="1" x14ac:dyDescent="0.25">
      <c r="A725" t="s">
        <v>12018</v>
      </c>
      <c r="B725" t="s">
        <v>12019</v>
      </c>
      <c r="C725" s="3"/>
      <c r="D725" s="128"/>
      <c r="E725">
        <v>0</v>
      </c>
      <c r="F725" t="s">
        <v>12020</v>
      </c>
      <c r="G725" t="s">
        <v>12019</v>
      </c>
      <c r="H725" t="s">
        <v>10699</v>
      </c>
      <c r="I725" t="s">
        <v>12019</v>
      </c>
      <c r="J725" t="s">
        <v>12020</v>
      </c>
      <c r="K725" t="s">
        <v>12019</v>
      </c>
    </row>
    <row r="726" spans="1:11" s="1" customFormat="1" x14ac:dyDescent="0.25">
      <c r="A726" t="s">
        <v>12021</v>
      </c>
      <c r="B726" t="s">
        <v>12022</v>
      </c>
      <c r="C726" s="3"/>
      <c r="D726" s="128"/>
      <c r="E726">
        <v>2995</v>
      </c>
      <c r="F726" t="s">
        <v>12023</v>
      </c>
      <c r="G726" t="s">
        <v>12022</v>
      </c>
      <c r="H726" t="s">
        <v>10699</v>
      </c>
      <c r="I726" t="s">
        <v>12022</v>
      </c>
      <c r="J726" t="s">
        <v>12023</v>
      </c>
      <c r="K726" t="s">
        <v>8757</v>
      </c>
    </row>
    <row r="727" spans="1:11" s="1" customFormat="1" x14ac:dyDescent="0.25">
      <c r="A727" t="s">
        <v>12024</v>
      </c>
      <c r="B727" t="s">
        <v>12025</v>
      </c>
      <c r="C727" s="3"/>
      <c r="D727" s="128"/>
      <c r="E727">
        <v>112</v>
      </c>
      <c r="F727" t="s">
        <v>12026</v>
      </c>
      <c r="G727" t="s">
        <v>12025</v>
      </c>
      <c r="H727" t="s">
        <v>10699</v>
      </c>
      <c r="I727" t="s">
        <v>12025</v>
      </c>
      <c r="J727" t="s">
        <v>12026</v>
      </c>
      <c r="K727" t="s">
        <v>12025</v>
      </c>
    </row>
    <row r="728" spans="1:11" s="1" customFormat="1" x14ac:dyDescent="0.25">
      <c r="A728" t="s">
        <v>12027</v>
      </c>
      <c r="B728" t="s">
        <v>12028</v>
      </c>
      <c r="C728" s="3"/>
      <c r="D728" s="128"/>
      <c r="E728">
        <v>405</v>
      </c>
      <c r="F728" t="s">
        <v>12029</v>
      </c>
      <c r="G728" t="s">
        <v>12028</v>
      </c>
      <c r="H728" t="s">
        <v>10699</v>
      </c>
      <c r="I728" t="s">
        <v>12028</v>
      </c>
      <c r="J728" t="s">
        <v>12029</v>
      </c>
      <c r="K728" t="s">
        <v>12028</v>
      </c>
    </row>
    <row r="729" spans="1:11" s="1" customFormat="1" x14ac:dyDescent="0.25">
      <c r="A729" t="s">
        <v>12030</v>
      </c>
      <c r="B729" t="s">
        <v>12031</v>
      </c>
      <c r="C729" s="3"/>
      <c r="D729" s="128"/>
      <c r="E729">
        <v>10</v>
      </c>
      <c r="F729" t="s">
        <v>12032</v>
      </c>
      <c r="G729" t="s">
        <v>12031</v>
      </c>
      <c r="H729" t="s">
        <v>10699</v>
      </c>
      <c r="I729" t="s">
        <v>12031</v>
      </c>
      <c r="J729" t="s">
        <v>12032</v>
      </c>
      <c r="K729" t="s">
        <v>12031</v>
      </c>
    </row>
    <row r="730" spans="1:11" s="1" customFormat="1" x14ac:dyDescent="0.25">
      <c r="A730" t="s">
        <v>12033</v>
      </c>
      <c r="B730" t="s">
        <v>12034</v>
      </c>
      <c r="C730" s="3"/>
      <c r="D730" s="128"/>
      <c r="E730">
        <v>493</v>
      </c>
      <c r="F730" t="s">
        <v>12035</v>
      </c>
      <c r="G730" t="s">
        <v>12034</v>
      </c>
      <c r="H730" t="s">
        <v>10699</v>
      </c>
      <c r="I730" t="s">
        <v>12034</v>
      </c>
      <c r="J730" t="s">
        <v>12035</v>
      </c>
      <c r="K730" t="s">
        <v>12034</v>
      </c>
    </row>
    <row r="731" spans="1:11" s="1" customFormat="1" x14ac:dyDescent="0.25">
      <c r="A731" t="s">
        <v>12036</v>
      </c>
      <c r="B731" t="s">
        <v>8449</v>
      </c>
      <c r="C731" s="3"/>
      <c r="D731" s="128"/>
      <c r="E731">
        <v>100</v>
      </c>
      <c r="F731" t="s">
        <v>12037</v>
      </c>
      <c r="G731" t="s">
        <v>8449</v>
      </c>
      <c r="H731" t="s">
        <v>10699</v>
      </c>
      <c r="I731" t="s">
        <v>8449</v>
      </c>
      <c r="J731" t="s">
        <v>12037</v>
      </c>
      <c r="K731" t="s">
        <v>12031</v>
      </c>
    </row>
    <row r="732" spans="1:11" s="1" customFormat="1" x14ac:dyDescent="0.25">
      <c r="A732" t="s">
        <v>12038</v>
      </c>
      <c r="B732" t="s">
        <v>12039</v>
      </c>
      <c r="C732" s="3"/>
      <c r="D732" s="128"/>
      <c r="E732">
        <v>7355</v>
      </c>
      <c r="F732" t="s">
        <v>12040</v>
      </c>
      <c r="G732" t="s">
        <v>12039</v>
      </c>
      <c r="H732" t="s">
        <v>10699</v>
      </c>
      <c r="I732" t="s">
        <v>12039</v>
      </c>
      <c r="J732" t="s">
        <v>12040</v>
      </c>
      <c r="K732" t="s">
        <v>8397</v>
      </c>
    </row>
    <row r="733" spans="1:11" s="1" customFormat="1" x14ac:dyDescent="0.25">
      <c r="A733" t="s">
        <v>12041</v>
      </c>
      <c r="B733" t="s">
        <v>12042</v>
      </c>
      <c r="C733" s="3"/>
      <c r="D733" s="128"/>
      <c r="E733">
        <v>69</v>
      </c>
      <c r="F733" t="s">
        <v>12043</v>
      </c>
      <c r="G733" t="s">
        <v>12042</v>
      </c>
      <c r="H733" t="s">
        <v>10699</v>
      </c>
      <c r="I733" t="s">
        <v>12042</v>
      </c>
      <c r="J733" t="s">
        <v>12043</v>
      </c>
      <c r="K733" t="s">
        <v>8242</v>
      </c>
    </row>
    <row r="734" spans="1:11" s="1" customFormat="1" x14ac:dyDescent="0.25">
      <c r="A734" t="s">
        <v>12044</v>
      </c>
      <c r="B734" t="s">
        <v>12045</v>
      </c>
      <c r="C734" s="3"/>
      <c r="D734" s="128"/>
      <c r="E734">
        <v>10</v>
      </c>
      <c r="F734" t="s">
        <v>12046</v>
      </c>
      <c r="G734" t="s">
        <v>12045</v>
      </c>
      <c r="H734" t="s">
        <v>10699</v>
      </c>
      <c r="I734" t="s">
        <v>12045</v>
      </c>
      <c r="J734" t="s">
        <v>12046</v>
      </c>
      <c r="K734" t="s">
        <v>12031</v>
      </c>
    </row>
    <row r="735" spans="1:11" s="1" customFormat="1" x14ac:dyDescent="0.25">
      <c r="A735" t="s">
        <v>12047</v>
      </c>
      <c r="B735" t="s">
        <v>8929</v>
      </c>
      <c r="C735" s="3"/>
      <c r="D735" s="128"/>
      <c r="E735">
        <v>709</v>
      </c>
      <c r="F735" t="s">
        <v>12048</v>
      </c>
      <c r="G735" t="s">
        <v>8929</v>
      </c>
      <c r="H735" t="s">
        <v>10699</v>
      </c>
      <c r="I735" t="s">
        <v>8929</v>
      </c>
      <c r="J735" t="s">
        <v>12048</v>
      </c>
      <c r="K735" t="s">
        <v>8929</v>
      </c>
    </row>
    <row r="736" spans="1:11" s="1" customFormat="1" x14ac:dyDescent="0.25">
      <c r="A736" t="s">
        <v>12049</v>
      </c>
      <c r="B736" t="s">
        <v>12050</v>
      </c>
      <c r="C736" s="3"/>
      <c r="D736" s="128"/>
      <c r="E736">
        <v>75</v>
      </c>
      <c r="F736" t="s">
        <v>12052</v>
      </c>
      <c r="G736" t="s">
        <v>12051</v>
      </c>
      <c r="H736" t="s">
        <v>10699</v>
      </c>
      <c r="I736" t="s">
        <v>12050</v>
      </c>
      <c r="J736" t="s">
        <v>12052</v>
      </c>
      <c r="K736" t="s">
        <v>12050</v>
      </c>
    </row>
    <row r="737" spans="1:11" s="1" customFormat="1" x14ac:dyDescent="0.25">
      <c r="A737" t="s">
        <v>12053</v>
      </c>
      <c r="B737" t="s">
        <v>12054</v>
      </c>
      <c r="C737" s="3"/>
      <c r="D737" s="128"/>
      <c r="E737">
        <v>1082</v>
      </c>
      <c r="F737" t="s">
        <v>12055</v>
      </c>
      <c r="G737" t="s">
        <v>12054</v>
      </c>
      <c r="H737" t="s">
        <v>10699</v>
      </c>
      <c r="I737" t="s">
        <v>12054</v>
      </c>
      <c r="J737" t="s">
        <v>12055</v>
      </c>
      <c r="K737" t="s">
        <v>13216</v>
      </c>
    </row>
    <row r="738" spans="1:11" s="1" customFormat="1" x14ac:dyDescent="0.25">
      <c r="A738" t="s">
        <v>12056</v>
      </c>
      <c r="B738" t="s">
        <v>12057</v>
      </c>
      <c r="C738" s="3"/>
      <c r="D738" s="128"/>
      <c r="E738">
        <v>0</v>
      </c>
      <c r="F738" t="s">
        <v>12058</v>
      </c>
      <c r="G738" t="s">
        <v>12057</v>
      </c>
      <c r="H738" t="s">
        <v>10699</v>
      </c>
      <c r="I738" t="s">
        <v>12057</v>
      </c>
      <c r="J738" t="s">
        <v>12058</v>
      </c>
      <c r="K738" t="s">
        <v>13217</v>
      </c>
    </row>
    <row r="739" spans="1:11" s="1" customFormat="1" x14ac:dyDescent="0.25">
      <c r="A739" t="s">
        <v>12059</v>
      </c>
      <c r="B739" t="s">
        <v>12060</v>
      </c>
      <c r="C739" s="3"/>
      <c r="D739" s="128"/>
      <c r="E739">
        <v>446</v>
      </c>
      <c r="F739" t="s">
        <v>12061</v>
      </c>
      <c r="G739" t="s">
        <v>12060</v>
      </c>
      <c r="H739" t="s">
        <v>10699</v>
      </c>
      <c r="I739" t="s">
        <v>12060</v>
      </c>
      <c r="J739" t="s">
        <v>12061</v>
      </c>
      <c r="K739" t="s">
        <v>8757</v>
      </c>
    </row>
    <row r="740" spans="1:11" s="1" customFormat="1" x14ac:dyDescent="0.25">
      <c r="A740" t="s">
        <v>12062</v>
      </c>
      <c r="B740" t="s">
        <v>12063</v>
      </c>
      <c r="C740" s="3"/>
      <c r="D740" s="128"/>
      <c r="E740">
        <v>400</v>
      </c>
      <c r="F740" t="s">
        <v>12064</v>
      </c>
      <c r="G740" t="s">
        <v>12063</v>
      </c>
      <c r="H740" t="s">
        <v>10699</v>
      </c>
      <c r="I740" t="s">
        <v>12063</v>
      </c>
      <c r="J740" t="s">
        <v>12064</v>
      </c>
      <c r="K740" t="s">
        <v>8087</v>
      </c>
    </row>
    <row r="741" spans="1:11" s="1" customFormat="1" x14ac:dyDescent="0.25">
      <c r="A741" t="s">
        <v>12065</v>
      </c>
      <c r="B741" t="s">
        <v>12066</v>
      </c>
      <c r="C741" s="3"/>
      <c r="D741" s="128"/>
      <c r="E741">
        <v>0</v>
      </c>
      <c r="F741" t="s">
        <v>12067</v>
      </c>
      <c r="G741" t="s">
        <v>7965</v>
      </c>
      <c r="H741" t="s">
        <v>10699</v>
      </c>
      <c r="I741" t="s">
        <v>12066</v>
      </c>
      <c r="J741" t="s">
        <v>12067</v>
      </c>
      <c r="K741" t="s">
        <v>7965</v>
      </c>
    </row>
    <row r="742" spans="1:11" s="1" customFormat="1" x14ac:dyDescent="0.25">
      <c r="A742" t="s">
        <v>12068</v>
      </c>
      <c r="B742" t="s">
        <v>12069</v>
      </c>
      <c r="C742" s="3"/>
      <c r="D742" s="128"/>
      <c r="E742"/>
      <c r="F742" t="s">
        <v>12070</v>
      </c>
      <c r="G742" t="s">
        <v>12069</v>
      </c>
      <c r="H742" t="s">
        <v>10699</v>
      </c>
      <c r="I742" t="s">
        <v>12069</v>
      </c>
      <c r="J742" t="s">
        <v>12070</v>
      </c>
      <c r="K742" t="s">
        <v>12034</v>
      </c>
    </row>
    <row r="743" spans="1:11" s="1" customFormat="1" x14ac:dyDescent="0.25">
      <c r="A743" t="s">
        <v>12071</v>
      </c>
      <c r="B743" t="s">
        <v>12072</v>
      </c>
      <c r="C743" s="3"/>
      <c r="D743" s="128"/>
      <c r="E743">
        <v>0</v>
      </c>
      <c r="F743" t="s">
        <v>12073</v>
      </c>
      <c r="G743" t="s">
        <v>12072</v>
      </c>
      <c r="H743" t="s">
        <v>10699</v>
      </c>
      <c r="I743" t="s">
        <v>12072</v>
      </c>
      <c r="J743" t="s">
        <v>12073</v>
      </c>
      <c r="K743" t="s">
        <v>12050</v>
      </c>
    </row>
    <row r="744" spans="1:11" s="1" customFormat="1" x14ac:dyDescent="0.25">
      <c r="A744" t="s">
        <v>9717</v>
      </c>
      <c r="B744" t="s">
        <v>9718</v>
      </c>
      <c r="C744" s="3"/>
      <c r="D744" s="128"/>
      <c r="E744">
        <v>761</v>
      </c>
      <c r="F744" t="s">
        <v>9720</v>
      </c>
      <c r="G744" t="s">
        <v>9719</v>
      </c>
      <c r="H744" t="s">
        <v>9718</v>
      </c>
      <c r="I744" t="s">
        <v>9718</v>
      </c>
      <c r="J744" t="s">
        <v>9720</v>
      </c>
      <c r="K744" t="s">
        <v>13163</v>
      </c>
    </row>
    <row r="745" spans="1:11" s="1" customFormat="1" x14ac:dyDescent="0.25">
      <c r="A745" t="s">
        <v>9721</v>
      </c>
      <c r="B745" t="s">
        <v>9722</v>
      </c>
      <c r="C745" s="3"/>
      <c r="D745" s="128"/>
      <c r="E745"/>
      <c r="F745" t="s">
        <v>9724</v>
      </c>
      <c r="G745" t="s">
        <v>9722</v>
      </c>
      <c r="H745" t="s">
        <v>9718</v>
      </c>
      <c r="I745" t="s">
        <v>9722</v>
      </c>
      <c r="J745" t="s">
        <v>9724</v>
      </c>
      <c r="K745" t="s">
        <v>9722</v>
      </c>
    </row>
    <row r="746" spans="1:11" s="1" customFormat="1" x14ac:dyDescent="0.25">
      <c r="A746" t="s">
        <v>9725</v>
      </c>
      <c r="B746" t="s">
        <v>9726</v>
      </c>
      <c r="C746" s="3"/>
      <c r="D746" s="128"/>
      <c r="E746">
        <v>198</v>
      </c>
      <c r="F746" t="s">
        <v>9727</v>
      </c>
      <c r="G746" t="s">
        <v>9726</v>
      </c>
      <c r="H746" t="s">
        <v>9718</v>
      </c>
      <c r="I746" t="s">
        <v>9726</v>
      </c>
      <c r="J746" t="s">
        <v>9727</v>
      </c>
      <c r="K746" t="s">
        <v>9726</v>
      </c>
    </row>
    <row r="747" spans="1:11" s="1" customFormat="1" x14ac:dyDescent="0.25">
      <c r="A747" t="s">
        <v>9728</v>
      </c>
      <c r="B747" t="s">
        <v>13948</v>
      </c>
      <c r="C747" s="3"/>
      <c r="D747" s="128"/>
      <c r="E747">
        <v>0</v>
      </c>
      <c r="F747" t="s">
        <v>9729</v>
      </c>
      <c r="G747" t="s">
        <v>13948</v>
      </c>
      <c r="H747" t="s">
        <v>9718</v>
      </c>
      <c r="I747" t="s">
        <v>13948</v>
      </c>
      <c r="J747" t="s">
        <v>9729</v>
      </c>
      <c r="K747" t="s">
        <v>9806</v>
      </c>
    </row>
    <row r="748" spans="1:11" s="1" customFormat="1" x14ac:dyDescent="0.25">
      <c r="A748" t="s">
        <v>9730</v>
      </c>
      <c r="B748" t="s">
        <v>9731</v>
      </c>
      <c r="C748" s="3"/>
      <c r="D748" s="128"/>
      <c r="E748">
        <v>543</v>
      </c>
      <c r="F748" t="s">
        <v>9732</v>
      </c>
      <c r="G748" t="s">
        <v>9731</v>
      </c>
      <c r="H748" t="s">
        <v>9718</v>
      </c>
      <c r="I748" t="s">
        <v>9731</v>
      </c>
      <c r="J748" t="s">
        <v>9732</v>
      </c>
      <c r="K748" t="s">
        <v>9731</v>
      </c>
    </row>
    <row r="749" spans="1:11" s="1" customFormat="1" x14ac:dyDescent="0.25">
      <c r="A749" t="s">
        <v>9733</v>
      </c>
      <c r="B749" t="s">
        <v>9734</v>
      </c>
      <c r="C749" s="3"/>
      <c r="D749" s="128"/>
      <c r="E749">
        <v>200</v>
      </c>
      <c r="F749" t="s">
        <v>9735</v>
      </c>
      <c r="G749" t="s">
        <v>9734</v>
      </c>
      <c r="H749" t="s">
        <v>9718</v>
      </c>
      <c r="I749" t="s">
        <v>9734</v>
      </c>
      <c r="J749" t="s">
        <v>9735</v>
      </c>
      <c r="K749" t="s">
        <v>13218</v>
      </c>
    </row>
    <row r="750" spans="1:11" s="1" customFormat="1" x14ac:dyDescent="0.25">
      <c r="A750" t="s">
        <v>9736</v>
      </c>
      <c r="B750" t="s">
        <v>9737</v>
      </c>
      <c r="C750" s="3"/>
      <c r="D750" s="128"/>
      <c r="E750">
        <v>0</v>
      </c>
      <c r="F750" t="s">
        <v>9738</v>
      </c>
      <c r="G750" t="s">
        <v>9737</v>
      </c>
      <c r="H750" t="s">
        <v>9718</v>
      </c>
      <c r="I750" t="s">
        <v>9737</v>
      </c>
      <c r="J750" t="s">
        <v>9738</v>
      </c>
      <c r="K750" t="s">
        <v>9813</v>
      </c>
    </row>
    <row r="751" spans="1:11" s="1" customFormat="1" x14ac:dyDescent="0.25">
      <c r="A751" t="s">
        <v>9739</v>
      </c>
      <c r="B751" t="s">
        <v>9740</v>
      </c>
      <c r="C751" s="3"/>
      <c r="D751" s="128"/>
      <c r="E751"/>
      <c r="F751" t="s">
        <v>9741</v>
      </c>
      <c r="G751" t="s">
        <v>9740</v>
      </c>
      <c r="H751" t="s">
        <v>9718</v>
      </c>
      <c r="I751" t="s">
        <v>9740</v>
      </c>
      <c r="J751" t="s">
        <v>9741</v>
      </c>
      <c r="K751" t="s">
        <v>9726</v>
      </c>
    </row>
    <row r="752" spans="1:11" s="1" customFormat="1" x14ac:dyDescent="0.25">
      <c r="A752" t="s">
        <v>9742</v>
      </c>
      <c r="B752" t="s">
        <v>9743</v>
      </c>
      <c r="C752" s="3"/>
      <c r="D752" s="128"/>
      <c r="E752">
        <v>0</v>
      </c>
      <c r="F752" t="s">
        <v>9744</v>
      </c>
      <c r="G752" t="s">
        <v>9743</v>
      </c>
      <c r="H752" t="s">
        <v>9718</v>
      </c>
      <c r="I752" t="s">
        <v>9743</v>
      </c>
      <c r="J752" t="s">
        <v>9744</v>
      </c>
      <c r="K752" t="s">
        <v>9743</v>
      </c>
    </row>
    <row r="753" spans="1:11" s="1" customFormat="1" x14ac:dyDescent="0.25">
      <c r="A753" t="s">
        <v>9745</v>
      </c>
      <c r="B753" t="s">
        <v>9746</v>
      </c>
      <c r="C753" s="3"/>
      <c r="D753" s="128"/>
      <c r="E753">
        <v>0</v>
      </c>
      <c r="F753" t="s">
        <v>9747</v>
      </c>
      <c r="G753" t="s">
        <v>9746</v>
      </c>
      <c r="H753" t="s">
        <v>9718</v>
      </c>
      <c r="I753" t="s">
        <v>9746</v>
      </c>
      <c r="J753" t="s">
        <v>9747</v>
      </c>
      <c r="K753" t="s">
        <v>13219</v>
      </c>
    </row>
    <row r="754" spans="1:11" s="1" customFormat="1" x14ac:dyDescent="0.25">
      <c r="A754" t="s">
        <v>9748</v>
      </c>
      <c r="B754" t="s">
        <v>9749</v>
      </c>
      <c r="C754" s="3"/>
      <c r="D754" s="128"/>
      <c r="E754"/>
      <c r="F754" t="s">
        <v>9750</v>
      </c>
      <c r="G754" t="s">
        <v>9749</v>
      </c>
      <c r="H754" t="s">
        <v>9718</v>
      </c>
      <c r="I754" t="s">
        <v>9749</v>
      </c>
      <c r="J754" t="s">
        <v>9750</v>
      </c>
      <c r="K754" t="s">
        <v>10209</v>
      </c>
    </row>
    <row r="755" spans="1:11" s="1" customFormat="1" x14ac:dyDescent="0.25">
      <c r="A755" t="s">
        <v>9751</v>
      </c>
      <c r="B755" t="s">
        <v>9752</v>
      </c>
      <c r="C755" s="3"/>
      <c r="D755" s="128"/>
      <c r="E755">
        <v>0</v>
      </c>
      <c r="F755" t="s">
        <v>9753</v>
      </c>
      <c r="G755" t="s">
        <v>9752</v>
      </c>
      <c r="H755" t="s">
        <v>9718</v>
      </c>
      <c r="I755" t="s">
        <v>9752</v>
      </c>
      <c r="J755" t="s">
        <v>9753</v>
      </c>
      <c r="K755" t="s">
        <v>9813</v>
      </c>
    </row>
    <row r="756" spans="1:11" s="1" customFormat="1" x14ac:dyDescent="0.25">
      <c r="A756" t="s">
        <v>9754</v>
      </c>
      <c r="B756" t="s">
        <v>9755</v>
      </c>
      <c r="C756" s="3"/>
      <c r="D756" s="128"/>
      <c r="E756">
        <v>0</v>
      </c>
      <c r="F756" t="s">
        <v>9756</v>
      </c>
      <c r="G756" t="s">
        <v>9755</v>
      </c>
      <c r="H756" t="s">
        <v>9718</v>
      </c>
      <c r="I756" t="s">
        <v>9755</v>
      </c>
      <c r="J756" t="s">
        <v>9756</v>
      </c>
      <c r="K756" t="s">
        <v>9731</v>
      </c>
    </row>
    <row r="757" spans="1:11" s="1" customFormat="1" x14ac:dyDescent="0.25">
      <c r="A757" t="s">
        <v>9757</v>
      </c>
      <c r="B757" t="s">
        <v>9758</v>
      </c>
      <c r="C757" s="3"/>
      <c r="D757" s="128"/>
      <c r="E757"/>
      <c r="F757" t="s">
        <v>9759</v>
      </c>
      <c r="G757" t="s">
        <v>9758</v>
      </c>
      <c r="H757" t="s">
        <v>9718</v>
      </c>
      <c r="I757" t="s">
        <v>9758</v>
      </c>
      <c r="J757" t="s">
        <v>9759</v>
      </c>
      <c r="K757" t="s">
        <v>13218</v>
      </c>
    </row>
    <row r="758" spans="1:11" s="1" customFormat="1" x14ac:dyDescent="0.25">
      <c r="A758" t="s">
        <v>9760</v>
      </c>
      <c r="B758" t="s">
        <v>9761</v>
      </c>
      <c r="C758" s="3"/>
      <c r="D758" s="128"/>
      <c r="E758">
        <v>0</v>
      </c>
      <c r="F758" t="s">
        <v>9762</v>
      </c>
      <c r="G758" t="s">
        <v>9761</v>
      </c>
      <c r="H758" t="s">
        <v>9718</v>
      </c>
      <c r="I758" t="s">
        <v>9761</v>
      </c>
      <c r="J758" t="s">
        <v>9762</v>
      </c>
      <c r="K758" t="s">
        <v>13220</v>
      </c>
    </row>
    <row r="759" spans="1:11" s="1" customFormat="1" x14ac:dyDescent="0.25">
      <c r="A759" t="s">
        <v>9763</v>
      </c>
      <c r="B759" t="s">
        <v>9764</v>
      </c>
      <c r="C759" s="3"/>
      <c r="D759" s="128"/>
      <c r="E759"/>
      <c r="F759" t="s">
        <v>9765</v>
      </c>
      <c r="G759" t="s">
        <v>9764</v>
      </c>
      <c r="H759" t="s">
        <v>9718</v>
      </c>
      <c r="I759" t="s">
        <v>9764</v>
      </c>
      <c r="J759" t="s">
        <v>9765</v>
      </c>
      <c r="K759" t="s">
        <v>13219</v>
      </c>
    </row>
    <row r="760" spans="1:11" s="1" customFormat="1" x14ac:dyDescent="0.25">
      <c r="A760" t="s">
        <v>9766</v>
      </c>
      <c r="B760" t="s">
        <v>9767</v>
      </c>
      <c r="C760" s="3"/>
      <c r="D760" s="128"/>
      <c r="E760">
        <v>0</v>
      </c>
      <c r="F760" t="s">
        <v>9768</v>
      </c>
      <c r="G760" t="s">
        <v>9767</v>
      </c>
      <c r="H760" t="s">
        <v>9718</v>
      </c>
      <c r="I760" t="s">
        <v>9767</v>
      </c>
      <c r="J760" t="s">
        <v>9768</v>
      </c>
      <c r="K760" t="s">
        <v>9806</v>
      </c>
    </row>
    <row r="761" spans="1:11" s="1" customFormat="1" x14ac:dyDescent="0.25">
      <c r="A761" t="s">
        <v>9769</v>
      </c>
      <c r="B761" t="s">
        <v>9770</v>
      </c>
      <c r="C761" s="3"/>
      <c r="D761" s="128"/>
      <c r="E761">
        <v>0</v>
      </c>
      <c r="F761" t="s">
        <v>9772</v>
      </c>
      <c r="G761" t="s">
        <v>9771</v>
      </c>
      <c r="H761" t="s">
        <v>9718</v>
      </c>
      <c r="I761" t="s">
        <v>9770</v>
      </c>
      <c r="J761" t="s">
        <v>9772</v>
      </c>
      <c r="K761" t="s">
        <v>9731</v>
      </c>
    </row>
    <row r="762" spans="1:11" s="1" customFormat="1" x14ac:dyDescent="0.25">
      <c r="A762" t="s">
        <v>9773</v>
      </c>
      <c r="B762" t="s">
        <v>9774</v>
      </c>
      <c r="C762" s="3"/>
      <c r="D762" s="128"/>
      <c r="E762"/>
      <c r="F762" t="s">
        <v>9776</v>
      </c>
      <c r="G762" t="s">
        <v>9775</v>
      </c>
      <c r="H762" t="s">
        <v>9718</v>
      </c>
      <c r="I762" t="s">
        <v>9774</v>
      </c>
      <c r="J762" t="s">
        <v>9776</v>
      </c>
      <c r="K762" t="s">
        <v>13219</v>
      </c>
    </row>
    <row r="763" spans="1:11" s="1" customFormat="1" x14ac:dyDescent="0.25">
      <c r="A763" t="s">
        <v>9777</v>
      </c>
      <c r="B763" t="s">
        <v>9778</v>
      </c>
      <c r="C763" s="3"/>
      <c r="D763" s="128"/>
      <c r="E763"/>
      <c r="F763" t="s">
        <v>9779</v>
      </c>
      <c r="G763" t="s">
        <v>9778</v>
      </c>
      <c r="H763" t="s">
        <v>9718</v>
      </c>
      <c r="I763" t="s">
        <v>9778</v>
      </c>
      <c r="J763" t="s">
        <v>9779</v>
      </c>
      <c r="K763" t="s">
        <v>9806</v>
      </c>
    </row>
    <row r="764" spans="1:11" s="1" customFormat="1" x14ac:dyDescent="0.25">
      <c r="A764" t="s">
        <v>9780</v>
      </c>
      <c r="B764" t="s">
        <v>9781</v>
      </c>
      <c r="C764" s="3"/>
      <c r="D764" s="128"/>
      <c r="E764">
        <v>0</v>
      </c>
      <c r="F764" t="s">
        <v>9782</v>
      </c>
      <c r="G764" t="s">
        <v>9781</v>
      </c>
      <c r="H764" t="s">
        <v>9718</v>
      </c>
      <c r="I764" t="s">
        <v>9781</v>
      </c>
      <c r="J764" t="s">
        <v>9782</v>
      </c>
      <c r="K764" t="s">
        <v>13218</v>
      </c>
    </row>
    <row r="765" spans="1:11" s="1" customFormat="1" x14ac:dyDescent="0.25">
      <c r="A765" t="s">
        <v>9783</v>
      </c>
      <c r="B765" t="s">
        <v>9784</v>
      </c>
      <c r="C765" s="3"/>
      <c r="D765" s="128"/>
      <c r="E765"/>
      <c r="F765" t="s">
        <v>9785</v>
      </c>
      <c r="G765" t="s">
        <v>9784</v>
      </c>
      <c r="H765" t="s">
        <v>9718</v>
      </c>
      <c r="I765" t="s">
        <v>9784</v>
      </c>
      <c r="J765" t="s">
        <v>9785</v>
      </c>
      <c r="K765" t="s">
        <v>9791</v>
      </c>
    </row>
    <row r="766" spans="1:11" s="1" customFormat="1" x14ac:dyDescent="0.25">
      <c r="A766" t="s">
        <v>9786</v>
      </c>
      <c r="B766" t="s">
        <v>9787</v>
      </c>
      <c r="C766" s="3"/>
      <c r="D766" s="128"/>
      <c r="E766">
        <v>0</v>
      </c>
      <c r="F766" t="s">
        <v>9789</v>
      </c>
      <c r="G766" t="s">
        <v>9788</v>
      </c>
      <c r="H766" t="s">
        <v>9718</v>
      </c>
      <c r="I766" t="s">
        <v>9787</v>
      </c>
      <c r="J766" t="s">
        <v>9789</v>
      </c>
      <c r="K766" t="s">
        <v>13221</v>
      </c>
    </row>
    <row r="767" spans="1:11" s="1" customFormat="1" x14ac:dyDescent="0.25">
      <c r="A767" t="s">
        <v>9790</v>
      </c>
      <c r="B767" t="s">
        <v>9791</v>
      </c>
      <c r="C767" s="3"/>
      <c r="D767" s="128"/>
      <c r="E767">
        <v>143</v>
      </c>
      <c r="F767" t="s">
        <v>9792</v>
      </c>
      <c r="G767" t="s">
        <v>9791</v>
      </c>
      <c r="H767" t="s">
        <v>9718</v>
      </c>
      <c r="I767" t="s">
        <v>9791</v>
      </c>
      <c r="J767" t="s">
        <v>9792</v>
      </c>
      <c r="K767" t="s">
        <v>9791</v>
      </c>
    </row>
    <row r="768" spans="1:11" s="1" customFormat="1" x14ac:dyDescent="0.25">
      <c r="A768" t="s">
        <v>9793</v>
      </c>
      <c r="B768" t="s">
        <v>9794</v>
      </c>
      <c r="C768" s="3"/>
      <c r="D768" s="128"/>
      <c r="E768">
        <v>100</v>
      </c>
      <c r="F768" t="s">
        <v>9795</v>
      </c>
      <c r="G768" t="s">
        <v>9794</v>
      </c>
      <c r="H768" t="s">
        <v>9718</v>
      </c>
      <c r="I768" t="s">
        <v>9794</v>
      </c>
      <c r="J768" t="s">
        <v>9795</v>
      </c>
      <c r="K768" t="s">
        <v>10209</v>
      </c>
    </row>
    <row r="769" spans="1:11" s="1" customFormat="1" x14ac:dyDescent="0.25">
      <c r="A769" t="s">
        <v>9796</v>
      </c>
      <c r="B769" t="s">
        <v>9797</v>
      </c>
      <c r="C769" s="3"/>
      <c r="D769" s="128"/>
      <c r="E769">
        <v>0</v>
      </c>
      <c r="F769" t="s">
        <v>9798</v>
      </c>
      <c r="G769" t="s">
        <v>9797</v>
      </c>
      <c r="H769" t="s">
        <v>9718</v>
      </c>
      <c r="I769" t="s">
        <v>9797</v>
      </c>
      <c r="J769" t="s">
        <v>9798</v>
      </c>
      <c r="K769" t="s">
        <v>10209</v>
      </c>
    </row>
    <row r="770" spans="1:11" s="1" customFormat="1" x14ac:dyDescent="0.25">
      <c r="A770" t="s">
        <v>9799</v>
      </c>
      <c r="B770" t="s">
        <v>9800</v>
      </c>
      <c r="C770" s="3"/>
      <c r="D770" s="128"/>
      <c r="E770">
        <v>100</v>
      </c>
      <c r="F770" t="s">
        <v>9801</v>
      </c>
      <c r="G770" t="s">
        <v>9800</v>
      </c>
      <c r="H770" t="s">
        <v>9718</v>
      </c>
      <c r="I770" t="s">
        <v>9800</v>
      </c>
      <c r="J770" t="s">
        <v>9801</v>
      </c>
      <c r="K770" t="s">
        <v>9803</v>
      </c>
    </row>
    <row r="771" spans="1:11" s="1" customFormat="1" x14ac:dyDescent="0.25">
      <c r="A771" t="s">
        <v>9802</v>
      </c>
      <c r="B771" t="s">
        <v>9803</v>
      </c>
      <c r="C771" s="3"/>
      <c r="D771" s="128"/>
      <c r="E771">
        <v>375</v>
      </c>
      <c r="F771" t="s">
        <v>9804</v>
      </c>
      <c r="G771" t="s">
        <v>9803</v>
      </c>
      <c r="H771" t="s">
        <v>9718</v>
      </c>
      <c r="I771" t="s">
        <v>9803</v>
      </c>
      <c r="J771" t="s">
        <v>9804</v>
      </c>
      <c r="K771" t="s">
        <v>9803</v>
      </c>
    </row>
    <row r="772" spans="1:11" s="1" customFormat="1" x14ac:dyDescent="0.25">
      <c r="A772" t="s">
        <v>9805</v>
      </c>
      <c r="B772" t="s">
        <v>9806</v>
      </c>
      <c r="C772" s="3"/>
      <c r="D772" s="128"/>
      <c r="E772">
        <v>50</v>
      </c>
      <c r="F772" t="s">
        <v>9808</v>
      </c>
      <c r="G772" t="s">
        <v>9806</v>
      </c>
      <c r="H772" t="s">
        <v>9718</v>
      </c>
      <c r="I772" t="s">
        <v>9806</v>
      </c>
      <c r="J772" t="s">
        <v>9808</v>
      </c>
      <c r="K772" t="s">
        <v>9813</v>
      </c>
    </row>
    <row r="773" spans="1:11" s="1" customFormat="1" x14ac:dyDescent="0.25">
      <c r="A773" t="s">
        <v>9809</v>
      </c>
      <c r="B773" t="s">
        <v>9810</v>
      </c>
      <c r="C773" s="3"/>
      <c r="D773" s="128"/>
      <c r="E773">
        <v>410</v>
      </c>
      <c r="F773" t="s">
        <v>9811</v>
      </c>
      <c r="G773" t="s">
        <v>9810</v>
      </c>
      <c r="H773" t="s">
        <v>9718</v>
      </c>
      <c r="I773" t="s">
        <v>9810</v>
      </c>
      <c r="J773" t="s">
        <v>9811</v>
      </c>
      <c r="K773" t="s">
        <v>9791</v>
      </c>
    </row>
    <row r="774" spans="1:11" s="1" customFormat="1" x14ac:dyDescent="0.25">
      <c r="A774" t="s">
        <v>9812</v>
      </c>
      <c r="B774" t="s">
        <v>9813</v>
      </c>
      <c r="C774" s="3"/>
      <c r="D774" s="128"/>
      <c r="E774">
        <v>785</v>
      </c>
      <c r="F774" t="s">
        <v>9814</v>
      </c>
      <c r="G774" t="s">
        <v>9813</v>
      </c>
      <c r="H774" t="s">
        <v>9718</v>
      </c>
      <c r="I774" t="s">
        <v>9813</v>
      </c>
      <c r="J774" t="s">
        <v>9814</v>
      </c>
      <c r="K774" t="s">
        <v>9813</v>
      </c>
    </row>
    <row r="775" spans="1:11" s="1" customFormat="1" x14ac:dyDescent="0.25">
      <c r="A775" t="s">
        <v>9815</v>
      </c>
      <c r="B775" t="s">
        <v>9816</v>
      </c>
      <c r="C775" s="3"/>
      <c r="D775" s="128"/>
      <c r="E775"/>
      <c r="F775" t="s">
        <v>9818</v>
      </c>
      <c r="G775" t="s">
        <v>9817</v>
      </c>
      <c r="H775" t="s">
        <v>9718</v>
      </c>
      <c r="I775" t="s">
        <v>9816</v>
      </c>
      <c r="J775" t="s">
        <v>9818</v>
      </c>
      <c r="K775" t="s">
        <v>9816</v>
      </c>
    </row>
    <row r="776" spans="1:11" s="1" customFormat="1" x14ac:dyDescent="0.25">
      <c r="A776" t="s">
        <v>9819</v>
      </c>
      <c r="B776" t="s">
        <v>9820</v>
      </c>
      <c r="C776" s="3"/>
      <c r="D776" s="128"/>
      <c r="E776">
        <v>100</v>
      </c>
      <c r="F776" t="s">
        <v>9821</v>
      </c>
      <c r="G776" t="s">
        <v>9719</v>
      </c>
      <c r="H776" t="s">
        <v>9718</v>
      </c>
      <c r="I776" t="s">
        <v>9820</v>
      </c>
      <c r="J776" t="s">
        <v>9821</v>
      </c>
      <c r="K776" t="s">
        <v>13163</v>
      </c>
    </row>
    <row r="777" spans="1:11" s="1" customFormat="1" x14ac:dyDescent="0.25">
      <c r="A777" t="s">
        <v>9822</v>
      </c>
      <c r="B777" t="s">
        <v>9823</v>
      </c>
      <c r="C777" s="3"/>
      <c r="D777" s="128"/>
      <c r="E777">
        <v>1500</v>
      </c>
      <c r="F777" t="s">
        <v>9824</v>
      </c>
      <c r="G777" t="s">
        <v>9719</v>
      </c>
      <c r="H777" t="s">
        <v>9718</v>
      </c>
      <c r="I777" t="s">
        <v>9823</v>
      </c>
      <c r="J777" t="s">
        <v>9824</v>
      </c>
      <c r="K777" t="s">
        <v>13163</v>
      </c>
    </row>
    <row r="778" spans="1:11" s="1" customFormat="1" x14ac:dyDescent="0.25">
      <c r="A778" t="s">
        <v>9825</v>
      </c>
      <c r="B778" t="s">
        <v>9826</v>
      </c>
      <c r="C778" s="3"/>
      <c r="D778" s="128"/>
      <c r="E778"/>
      <c r="F778" t="s">
        <v>9828</v>
      </c>
      <c r="G778" t="s">
        <v>9827</v>
      </c>
      <c r="H778" t="s">
        <v>9718</v>
      </c>
      <c r="I778" t="s">
        <v>9826</v>
      </c>
      <c r="J778" t="s">
        <v>9828</v>
      </c>
      <c r="K778" t="s">
        <v>13218</v>
      </c>
    </row>
    <row r="779" spans="1:11" s="1" customFormat="1" x14ac:dyDescent="0.25">
      <c r="A779" t="s">
        <v>9829</v>
      </c>
      <c r="B779" t="s">
        <v>9830</v>
      </c>
      <c r="C779" s="3"/>
      <c r="D779" s="128"/>
      <c r="E779">
        <v>0</v>
      </c>
      <c r="F779" t="s">
        <v>9833</v>
      </c>
      <c r="G779" t="s">
        <v>9832</v>
      </c>
      <c r="H779" t="s">
        <v>9718</v>
      </c>
      <c r="I779" t="s">
        <v>9830</v>
      </c>
      <c r="J779" t="s">
        <v>9833</v>
      </c>
      <c r="K779" t="s">
        <v>9832</v>
      </c>
    </row>
    <row r="780" spans="1:11" s="1" customFormat="1" x14ac:dyDescent="0.25">
      <c r="A780" t="s">
        <v>9834</v>
      </c>
      <c r="B780" t="s">
        <v>9835</v>
      </c>
      <c r="C780" s="3"/>
      <c r="D780" s="128"/>
      <c r="E780"/>
      <c r="F780" t="s">
        <v>9836</v>
      </c>
      <c r="G780" t="s">
        <v>9835</v>
      </c>
      <c r="H780" t="s">
        <v>9718</v>
      </c>
      <c r="I780" t="s">
        <v>9835</v>
      </c>
      <c r="J780" t="s">
        <v>9836</v>
      </c>
      <c r="K780" t="s">
        <v>9791</v>
      </c>
    </row>
    <row r="781" spans="1:11" s="1" customFormat="1" x14ac:dyDescent="0.25">
      <c r="A781" t="s">
        <v>9837</v>
      </c>
      <c r="B781" t="s">
        <v>9838</v>
      </c>
      <c r="C781" s="3"/>
      <c r="D781" s="128"/>
      <c r="E781"/>
      <c r="F781" t="s">
        <v>9839</v>
      </c>
      <c r="G781" t="s">
        <v>9838</v>
      </c>
      <c r="H781" t="s">
        <v>9718</v>
      </c>
      <c r="I781" t="s">
        <v>9838</v>
      </c>
      <c r="J781" t="s">
        <v>9839</v>
      </c>
      <c r="K781" t="s">
        <v>9731</v>
      </c>
    </row>
    <row r="782" spans="1:11" s="1" customFormat="1" x14ac:dyDescent="0.25">
      <c r="A782" t="s">
        <v>9840</v>
      </c>
      <c r="B782" t="s">
        <v>9841</v>
      </c>
      <c r="C782" s="3"/>
      <c r="D782" s="128"/>
      <c r="E782"/>
      <c r="F782" t="s">
        <v>9842</v>
      </c>
      <c r="G782" t="s">
        <v>9841</v>
      </c>
      <c r="H782" t="s">
        <v>9718</v>
      </c>
      <c r="I782" t="s">
        <v>9841</v>
      </c>
      <c r="J782" t="s">
        <v>9842</v>
      </c>
      <c r="K782" t="s">
        <v>9731</v>
      </c>
    </row>
    <row r="783" spans="1:11" s="1" customFormat="1" x14ac:dyDescent="0.25">
      <c r="A783" t="s">
        <v>9843</v>
      </c>
      <c r="B783" t="s">
        <v>9844</v>
      </c>
      <c r="C783" s="3"/>
      <c r="D783" s="128"/>
      <c r="E783"/>
      <c r="F783" t="s">
        <v>9845</v>
      </c>
      <c r="G783" t="s">
        <v>9844</v>
      </c>
      <c r="H783" t="s">
        <v>9718</v>
      </c>
      <c r="I783" t="s">
        <v>9844</v>
      </c>
      <c r="J783" t="s">
        <v>9845</v>
      </c>
      <c r="K783" t="s">
        <v>9731</v>
      </c>
    </row>
    <row r="784" spans="1:11" s="1" customFormat="1" x14ac:dyDescent="0.25">
      <c r="A784" t="s">
        <v>9846</v>
      </c>
      <c r="B784" t="s">
        <v>9847</v>
      </c>
      <c r="C784" s="3"/>
      <c r="D784" s="128"/>
      <c r="E784"/>
      <c r="F784" t="s">
        <v>9848</v>
      </c>
      <c r="G784" t="s">
        <v>9847</v>
      </c>
      <c r="H784" t="s">
        <v>9718</v>
      </c>
      <c r="I784" t="s">
        <v>9847</v>
      </c>
      <c r="J784" t="s">
        <v>9848</v>
      </c>
      <c r="K784" t="s">
        <v>13220</v>
      </c>
    </row>
    <row r="785" spans="1:11" s="1" customFormat="1" x14ac:dyDescent="0.25">
      <c r="A785" t="s">
        <v>9849</v>
      </c>
      <c r="B785" t="s">
        <v>9850</v>
      </c>
      <c r="C785" s="111"/>
      <c r="D785" s="128"/>
      <c r="E785"/>
      <c r="F785" t="s">
        <v>9851</v>
      </c>
      <c r="G785" t="s">
        <v>9850</v>
      </c>
      <c r="H785" t="s">
        <v>9718</v>
      </c>
      <c r="I785" t="s">
        <v>9850</v>
      </c>
      <c r="J785" t="s">
        <v>9851</v>
      </c>
      <c r="K785" t="s">
        <v>9816</v>
      </c>
    </row>
    <row r="786" spans="1:11" s="1" customFormat="1" x14ac:dyDescent="0.25">
      <c r="A786" t="s">
        <v>9852</v>
      </c>
      <c r="B786" t="s">
        <v>9853</v>
      </c>
      <c r="C786" s="111"/>
      <c r="D786" s="128"/>
      <c r="E786"/>
      <c r="F786" t="s">
        <v>9854</v>
      </c>
      <c r="G786" t="s">
        <v>9853</v>
      </c>
      <c r="H786" t="s">
        <v>9718</v>
      </c>
      <c r="I786" t="s">
        <v>9853</v>
      </c>
      <c r="J786" t="s">
        <v>9854</v>
      </c>
      <c r="K786" t="s">
        <v>9731</v>
      </c>
    </row>
    <row r="787" spans="1:11" s="1" customFormat="1" x14ac:dyDescent="0.25">
      <c r="A787" t="s">
        <v>9855</v>
      </c>
      <c r="B787" t="s">
        <v>9856</v>
      </c>
      <c r="C787" s="111"/>
      <c r="D787" s="128"/>
      <c r="E787">
        <v>0</v>
      </c>
      <c r="F787" t="s">
        <v>9857</v>
      </c>
      <c r="G787" t="s">
        <v>9856</v>
      </c>
      <c r="H787" t="s">
        <v>9718</v>
      </c>
      <c r="I787" t="s">
        <v>9856</v>
      </c>
      <c r="J787" t="s">
        <v>9857</v>
      </c>
      <c r="K787" t="s">
        <v>9813</v>
      </c>
    </row>
    <row r="788" spans="1:11" s="1" customFormat="1" x14ac:dyDescent="0.25">
      <c r="A788" t="s">
        <v>9858</v>
      </c>
      <c r="B788" t="s">
        <v>9859</v>
      </c>
      <c r="C788" s="111"/>
      <c r="D788" s="128"/>
      <c r="E788">
        <v>10</v>
      </c>
      <c r="F788" t="s">
        <v>9861</v>
      </c>
      <c r="G788" t="s">
        <v>9860</v>
      </c>
      <c r="H788" t="s">
        <v>9718</v>
      </c>
      <c r="I788" t="s">
        <v>9859</v>
      </c>
      <c r="J788" t="s">
        <v>9861</v>
      </c>
      <c r="K788" t="s">
        <v>9731</v>
      </c>
    </row>
    <row r="789" spans="1:11" s="1" customFormat="1" x14ac:dyDescent="0.25">
      <c r="A789" t="s">
        <v>9862</v>
      </c>
      <c r="B789" t="s">
        <v>9863</v>
      </c>
      <c r="C789" s="111"/>
      <c r="D789" s="128"/>
      <c r="E789"/>
      <c r="F789" t="s">
        <v>9864</v>
      </c>
      <c r="G789" t="s">
        <v>9863</v>
      </c>
      <c r="H789" t="s">
        <v>9718</v>
      </c>
      <c r="I789" t="s">
        <v>9863</v>
      </c>
      <c r="J789" t="s">
        <v>9864</v>
      </c>
      <c r="K789" t="s">
        <v>9803</v>
      </c>
    </row>
    <row r="790" spans="1:11" s="1" customFormat="1" x14ac:dyDescent="0.25">
      <c r="A790" t="s">
        <v>9865</v>
      </c>
      <c r="B790" t="s">
        <v>9866</v>
      </c>
      <c r="C790" s="111"/>
      <c r="D790" s="128"/>
      <c r="E790">
        <v>0</v>
      </c>
      <c r="F790" t="s">
        <v>9867</v>
      </c>
      <c r="G790" t="s">
        <v>9866</v>
      </c>
      <c r="H790" t="s">
        <v>9718</v>
      </c>
      <c r="I790" t="s">
        <v>9866</v>
      </c>
      <c r="J790" t="s">
        <v>9867</v>
      </c>
      <c r="K790" t="s">
        <v>9806</v>
      </c>
    </row>
    <row r="791" spans="1:11" s="1" customFormat="1" x14ac:dyDescent="0.25">
      <c r="A791" t="s">
        <v>9868</v>
      </c>
      <c r="B791" t="s">
        <v>13945</v>
      </c>
      <c r="C791" s="111"/>
      <c r="D791" s="128"/>
      <c r="E791"/>
      <c r="F791" t="s">
        <v>9869</v>
      </c>
      <c r="G791" t="s">
        <v>13945</v>
      </c>
      <c r="H791" t="s">
        <v>9718</v>
      </c>
      <c r="I791" t="s">
        <v>13945</v>
      </c>
      <c r="J791" t="s">
        <v>9869</v>
      </c>
      <c r="K791" t="s">
        <v>10209</v>
      </c>
    </row>
    <row r="792" spans="1:11" s="1" customFormat="1" x14ac:dyDescent="0.25">
      <c r="A792" t="s">
        <v>9870</v>
      </c>
      <c r="B792" t="s">
        <v>9871</v>
      </c>
      <c r="C792" s="111"/>
      <c r="D792" s="128"/>
      <c r="E792">
        <v>881</v>
      </c>
      <c r="F792" t="s">
        <v>9872</v>
      </c>
      <c r="G792" t="s">
        <v>9719</v>
      </c>
      <c r="H792" t="s">
        <v>9718</v>
      </c>
      <c r="I792" t="s">
        <v>9871</v>
      </c>
      <c r="J792" t="s">
        <v>9872</v>
      </c>
      <c r="K792" t="s">
        <v>13163</v>
      </c>
    </row>
    <row r="793" spans="1:11" s="1" customFormat="1" x14ac:dyDescent="0.25">
      <c r="A793" t="s">
        <v>11171</v>
      </c>
      <c r="B793" t="s">
        <v>9806</v>
      </c>
      <c r="C793" s="111"/>
      <c r="D793" s="128"/>
      <c r="E793">
        <v>202</v>
      </c>
      <c r="F793" t="s">
        <v>11173</v>
      </c>
      <c r="G793" t="s">
        <v>9806</v>
      </c>
      <c r="H793" t="s">
        <v>11172</v>
      </c>
      <c r="I793" t="s">
        <v>9806</v>
      </c>
      <c r="J793" t="s">
        <v>11173</v>
      </c>
      <c r="K793" t="s">
        <v>13163</v>
      </c>
    </row>
    <row r="794" spans="1:11" s="1" customFormat="1" x14ac:dyDescent="0.25">
      <c r="A794" t="s">
        <v>11174</v>
      </c>
      <c r="B794" t="s">
        <v>11175</v>
      </c>
      <c r="C794" s="111"/>
      <c r="D794" s="128"/>
      <c r="E794">
        <v>200</v>
      </c>
      <c r="F794" t="s">
        <v>11176</v>
      </c>
      <c r="G794" t="s">
        <v>11175</v>
      </c>
      <c r="H794" t="s">
        <v>11172</v>
      </c>
      <c r="I794" t="s">
        <v>11175</v>
      </c>
      <c r="J794" t="s">
        <v>11176</v>
      </c>
      <c r="K794" t="s">
        <v>11225</v>
      </c>
    </row>
    <row r="795" spans="1:11" s="1" customFormat="1" x14ac:dyDescent="0.25">
      <c r="A795" t="s">
        <v>11177</v>
      </c>
      <c r="B795" t="s">
        <v>11178</v>
      </c>
      <c r="C795" s="111"/>
      <c r="D795" s="128"/>
      <c r="E795">
        <v>437</v>
      </c>
      <c r="F795" t="s">
        <v>11179</v>
      </c>
      <c r="G795" t="s">
        <v>11178</v>
      </c>
      <c r="H795" t="s">
        <v>11172</v>
      </c>
      <c r="I795" t="s">
        <v>11178</v>
      </c>
      <c r="J795" t="s">
        <v>11179</v>
      </c>
      <c r="K795" t="s">
        <v>11259</v>
      </c>
    </row>
    <row r="796" spans="1:11" s="1" customFormat="1" x14ac:dyDescent="0.25">
      <c r="A796" t="s">
        <v>11180</v>
      </c>
      <c r="B796" t="s">
        <v>11181</v>
      </c>
      <c r="C796" s="111"/>
      <c r="D796" s="128"/>
      <c r="E796">
        <v>404</v>
      </c>
      <c r="F796" t="s">
        <v>11182</v>
      </c>
      <c r="G796" t="s">
        <v>11181</v>
      </c>
      <c r="H796" t="s">
        <v>11172</v>
      </c>
      <c r="I796" t="s">
        <v>11181</v>
      </c>
      <c r="J796" t="s">
        <v>11182</v>
      </c>
      <c r="K796" t="s">
        <v>13163</v>
      </c>
    </row>
    <row r="797" spans="1:11" s="1" customFormat="1" x14ac:dyDescent="0.25">
      <c r="A797" t="s">
        <v>11183</v>
      </c>
      <c r="B797" t="s">
        <v>11184</v>
      </c>
      <c r="C797" s="111"/>
      <c r="D797" s="128"/>
      <c r="E797">
        <v>393</v>
      </c>
      <c r="F797" t="s">
        <v>11185</v>
      </c>
      <c r="G797" t="s">
        <v>11184</v>
      </c>
      <c r="H797" t="s">
        <v>11172</v>
      </c>
      <c r="I797" t="s">
        <v>11184</v>
      </c>
      <c r="J797" t="s">
        <v>11185</v>
      </c>
      <c r="K797" t="s">
        <v>11271</v>
      </c>
    </row>
    <row r="798" spans="1:11" s="1" customFormat="1" x14ac:dyDescent="0.25">
      <c r="A798" t="s">
        <v>11186</v>
      </c>
      <c r="B798" t="s">
        <v>11187</v>
      </c>
      <c r="C798" s="111"/>
      <c r="D798" s="128"/>
      <c r="E798">
        <v>337</v>
      </c>
      <c r="F798" t="s">
        <v>11188</v>
      </c>
      <c r="G798" t="s">
        <v>11187</v>
      </c>
      <c r="H798" t="s">
        <v>11172</v>
      </c>
      <c r="I798" t="s">
        <v>11187</v>
      </c>
      <c r="J798" t="s">
        <v>11188</v>
      </c>
      <c r="K798" t="s">
        <v>13222</v>
      </c>
    </row>
    <row r="799" spans="1:11" s="1" customFormat="1" x14ac:dyDescent="0.25">
      <c r="A799" t="s">
        <v>11189</v>
      </c>
      <c r="B799" t="s">
        <v>11190</v>
      </c>
      <c r="C799" s="111"/>
      <c r="D799" s="128"/>
      <c r="E799">
        <v>55</v>
      </c>
      <c r="F799" t="s">
        <v>11191</v>
      </c>
      <c r="G799" t="s">
        <v>11190</v>
      </c>
      <c r="H799" t="s">
        <v>11172</v>
      </c>
      <c r="I799" t="s">
        <v>11190</v>
      </c>
      <c r="J799" t="s">
        <v>11191</v>
      </c>
      <c r="K799" t="s">
        <v>13223</v>
      </c>
    </row>
    <row r="800" spans="1:11" s="1" customFormat="1" x14ac:dyDescent="0.25">
      <c r="A800" t="s">
        <v>11192</v>
      </c>
      <c r="B800" t="s">
        <v>11193</v>
      </c>
      <c r="C800" s="111"/>
      <c r="D800" s="128"/>
      <c r="E800">
        <v>100</v>
      </c>
      <c r="F800" t="s">
        <v>11194</v>
      </c>
      <c r="G800" t="s">
        <v>11193</v>
      </c>
      <c r="H800" t="s">
        <v>11172</v>
      </c>
      <c r="I800" t="s">
        <v>11193</v>
      </c>
      <c r="J800" t="s">
        <v>11194</v>
      </c>
      <c r="K800" t="s">
        <v>11256</v>
      </c>
    </row>
    <row r="801" spans="1:11" s="1" customFormat="1" x14ac:dyDescent="0.25">
      <c r="A801" t="s">
        <v>11195</v>
      </c>
      <c r="B801" t="s">
        <v>11196</v>
      </c>
      <c r="C801" s="111"/>
      <c r="D801" s="128"/>
      <c r="E801">
        <v>305</v>
      </c>
      <c r="F801" t="s">
        <v>11197</v>
      </c>
      <c r="G801" t="s">
        <v>11196</v>
      </c>
      <c r="H801" t="s">
        <v>11172</v>
      </c>
      <c r="I801" t="s">
        <v>11196</v>
      </c>
      <c r="J801" t="s">
        <v>11197</v>
      </c>
      <c r="K801" t="s">
        <v>11196</v>
      </c>
    </row>
    <row r="802" spans="1:11" s="1" customFormat="1" x14ac:dyDescent="0.25">
      <c r="A802" t="s">
        <v>11198</v>
      </c>
      <c r="B802" t="s">
        <v>11199</v>
      </c>
      <c r="C802" s="111"/>
      <c r="D802" s="128"/>
      <c r="E802">
        <v>1165</v>
      </c>
      <c r="F802" t="s">
        <v>11200</v>
      </c>
      <c r="G802" t="s">
        <v>11199</v>
      </c>
      <c r="H802" t="s">
        <v>11172</v>
      </c>
      <c r="I802" t="s">
        <v>11199</v>
      </c>
      <c r="J802" t="s">
        <v>11200</v>
      </c>
      <c r="K802" t="s">
        <v>11253</v>
      </c>
    </row>
    <row r="803" spans="1:11" s="1" customFormat="1" x14ac:dyDescent="0.25">
      <c r="A803" t="s">
        <v>11201</v>
      </c>
      <c r="B803" t="s">
        <v>11202</v>
      </c>
      <c r="C803" s="111"/>
      <c r="D803" s="128"/>
      <c r="E803">
        <v>100</v>
      </c>
      <c r="F803" t="s">
        <v>11204</v>
      </c>
      <c r="G803" t="s">
        <v>11203</v>
      </c>
      <c r="H803" t="s">
        <v>11172</v>
      </c>
      <c r="I803" t="s">
        <v>11202</v>
      </c>
      <c r="J803" t="s">
        <v>11204</v>
      </c>
      <c r="K803" t="s">
        <v>13222</v>
      </c>
    </row>
    <row r="804" spans="1:11" s="1" customFormat="1" x14ac:dyDescent="0.25">
      <c r="A804" t="s">
        <v>11205</v>
      </c>
      <c r="B804" t="s">
        <v>11206</v>
      </c>
      <c r="C804" s="111"/>
      <c r="D804" s="128"/>
      <c r="E804">
        <v>498</v>
      </c>
      <c r="F804" t="s">
        <v>11207</v>
      </c>
      <c r="G804" t="s">
        <v>11206</v>
      </c>
      <c r="H804" t="s">
        <v>11172</v>
      </c>
      <c r="I804" t="s">
        <v>11206</v>
      </c>
      <c r="J804" t="s">
        <v>11207</v>
      </c>
      <c r="K804" t="s">
        <v>13224</v>
      </c>
    </row>
    <row r="805" spans="1:11" s="1" customFormat="1" x14ac:dyDescent="0.25">
      <c r="A805" t="s">
        <v>11208</v>
      </c>
      <c r="B805" t="s">
        <v>11209</v>
      </c>
      <c r="C805" s="111"/>
      <c r="D805" s="128"/>
      <c r="E805">
        <v>1141</v>
      </c>
      <c r="F805" t="s">
        <v>11210</v>
      </c>
      <c r="G805" t="s">
        <v>11209</v>
      </c>
      <c r="H805" t="s">
        <v>11172</v>
      </c>
      <c r="I805" t="s">
        <v>11209</v>
      </c>
      <c r="J805" t="s">
        <v>11210</v>
      </c>
      <c r="K805" t="s">
        <v>13225</v>
      </c>
    </row>
    <row r="806" spans="1:11" s="1" customFormat="1" x14ac:dyDescent="0.25">
      <c r="A806" t="s">
        <v>11211</v>
      </c>
      <c r="B806" t="s">
        <v>11212</v>
      </c>
      <c r="C806" s="111"/>
      <c r="D806" s="128"/>
      <c r="E806">
        <v>280</v>
      </c>
      <c r="F806" t="s">
        <v>11213</v>
      </c>
      <c r="G806" t="s">
        <v>11212</v>
      </c>
      <c r="H806" t="s">
        <v>11172</v>
      </c>
      <c r="I806" t="s">
        <v>11212</v>
      </c>
      <c r="J806" t="s">
        <v>11213</v>
      </c>
      <c r="K806" t="s">
        <v>11259</v>
      </c>
    </row>
    <row r="807" spans="1:11" s="1" customFormat="1" x14ac:dyDescent="0.25">
      <c r="A807" t="s">
        <v>11214</v>
      </c>
      <c r="B807" t="s">
        <v>11215</v>
      </c>
      <c r="C807" s="111"/>
      <c r="D807" s="128"/>
      <c r="E807">
        <v>790</v>
      </c>
      <c r="F807" t="s">
        <v>11217</v>
      </c>
      <c r="G807" t="s">
        <v>11216</v>
      </c>
      <c r="H807" t="s">
        <v>11172</v>
      </c>
      <c r="I807" t="s">
        <v>11215</v>
      </c>
      <c r="J807" t="s">
        <v>11217</v>
      </c>
      <c r="K807" t="s">
        <v>13226</v>
      </c>
    </row>
    <row r="808" spans="1:11" s="1" customFormat="1" x14ac:dyDescent="0.25">
      <c r="A808" t="s">
        <v>11218</v>
      </c>
      <c r="B808" t="s">
        <v>11219</v>
      </c>
      <c r="C808" s="111"/>
      <c r="D808" s="128"/>
      <c r="E808">
        <v>653</v>
      </c>
      <c r="F808" t="s">
        <v>11221</v>
      </c>
      <c r="G808" t="s">
        <v>11220</v>
      </c>
      <c r="H808" t="s">
        <v>11172</v>
      </c>
      <c r="I808" t="s">
        <v>11219</v>
      </c>
      <c r="J808" t="s">
        <v>11221</v>
      </c>
      <c r="K808" t="s">
        <v>13227</v>
      </c>
    </row>
    <row r="809" spans="1:11" s="1" customFormat="1" x14ac:dyDescent="0.25">
      <c r="A809" t="s">
        <v>11222</v>
      </c>
      <c r="B809" t="s">
        <v>9915</v>
      </c>
      <c r="C809" s="111"/>
      <c r="D809" s="128"/>
      <c r="E809">
        <v>250</v>
      </c>
      <c r="F809" t="s">
        <v>11223</v>
      </c>
      <c r="G809" t="s">
        <v>7967</v>
      </c>
      <c r="H809" t="s">
        <v>11172</v>
      </c>
      <c r="I809" t="s">
        <v>9915</v>
      </c>
      <c r="J809" t="s">
        <v>11223</v>
      </c>
      <c r="K809" t="s">
        <v>13223</v>
      </c>
    </row>
    <row r="810" spans="1:11" s="1" customFormat="1" x14ac:dyDescent="0.25">
      <c r="A810" t="s">
        <v>11224</v>
      </c>
      <c r="B810" t="s">
        <v>11225</v>
      </c>
      <c r="C810" s="111"/>
      <c r="D810" s="128"/>
      <c r="E810">
        <v>457</v>
      </c>
      <c r="F810" t="s">
        <v>11226</v>
      </c>
      <c r="G810" t="s">
        <v>11225</v>
      </c>
      <c r="H810" t="s">
        <v>11172</v>
      </c>
      <c r="I810" t="s">
        <v>11225</v>
      </c>
      <c r="J810" t="s">
        <v>11226</v>
      </c>
      <c r="K810" t="s">
        <v>11225</v>
      </c>
    </row>
    <row r="811" spans="1:11" s="1" customFormat="1" x14ac:dyDescent="0.25">
      <c r="A811" t="s">
        <v>11227</v>
      </c>
      <c r="B811" t="s">
        <v>11228</v>
      </c>
      <c r="C811" s="111"/>
      <c r="D811" s="128"/>
      <c r="E811">
        <v>597</v>
      </c>
      <c r="F811" t="s">
        <v>11230</v>
      </c>
      <c r="G811" t="s">
        <v>11229</v>
      </c>
      <c r="H811" t="s">
        <v>11172</v>
      </c>
      <c r="I811" t="s">
        <v>11228</v>
      </c>
      <c r="J811" t="s">
        <v>11230</v>
      </c>
      <c r="K811" t="s">
        <v>11259</v>
      </c>
    </row>
    <row r="812" spans="1:11" s="1" customFormat="1" x14ac:dyDescent="0.25">
      <c r="A812" t="s">
        <v>11231</v>
      </c>
      <c r="B812" t="s">
        <v>11232</v>
      </c>
      <c r="C812" s="111"/>
      <c r="D812" s="128"/>
      <c r="E812">
        <v>494</v>
      </c>
      <c r="F812" t="s">
        <v>11233</v>
      </c>
      <c r="G812" t="s">
        <v>11232</v>
      </c>
      <c r="H812" t="s">
        <v>11172</v>
      </c>
      <c r="I812" t="s">
        <v>11232</v>
      </c>
      <c r="J812" t="s">
        <v>11233</v>
      </c>
      <c r="K812" t="s">
        <v>13222</v>
      </c>
    </row>
    <row r="813" spans="1:11" s="1" customFormat="1" x14ac:dyDescent="0.25">
      <c r="A813" t="s">
        <v>11234</v>
      </c>
      <c r="B813" t="s">
        <v>11235</v>
      </c>
      <c r="C813" s="111"/>
      <c r="D813" s="128"/>
      <c r="E813">
        <v>928</v>
      </c>
      <c r="F813" t="s">
        <v>11236</v>
      </c>
      <c r="G813" t="s">
        <v>11235</v>
      </c>
      <c r="H813" t="s">
        <v>11172</v>
      </c>
      <c r="I813" t="s">
        <v>11235</v>
      </c>
      <c r="J813" t="s">
        <v>11236</v>
      </c>
      <c r="K813" t="s">
        <v>13223</v>
      </c>
    </row>
    <row r="814" spans="1:11" s="1" customFormat="1" x14ac:dyDescent="0.25">
      <c r="A814" t="s">
        <v>11237</v>
      </c>
      <c r="B814" t="s">
        <v>11238</v>
      </c>
      <c r="C814" s="111"/>
      <c r="D814" s="128"/>
      <c r="E814">
        <v>1</v>
      </c>
      <c r="F814" t="s">
        <v>11239</v>
      </c>
      <c r="G814" t="s">
        <v>11238</v>
      </c>
      <c r="H814" t="s">
        <v>11172</v>
      </c>
      <c r="I814" t="s">
        <v>11238</v>
      </c>
      <c r="J814" t="s">
        <v>11239</v>
      </c>
      <c r="K814" t="s">
        <v>11196</v>
      </c>
    </row>
    <row r="815" spans="1:11" s="1" customFormat="1" x14ac:dyDescent="0.25">
      <c r="A815" t="s">
        <v>11240</v>
      </c>
      <c r="B815" t="s">
        <v>11241</v>
      </c>
      <c r="C815" s="111"/>
      <c r="D815" s="128"/>
      <c r="E815">
        <v>350</v>
      </c>
      <c r="F815" t="s">
        <v>11242</v>
      </c>
      <c r="G815" t="s">
        <v>11241</v>
      </c>
      <c r="H815" t="s">
        <v>11172</v>
      </c>
      <c r="I815" t="s">
        <v>11241</v>
      </c>
      <c r="J815" t="s">
        <v>11242</v>
      </c>
      <c r="K815" t="s">
        <v>13224</v>
      </c>
    </row>
    <row r="816" spans="1:11" s="1" customFormat="1" x14ac:dyDescent="0.25">
      <c r="A816" t="s">
        <v>11243</v>
      </c>
      <c r="B816" t="s">
        <v>11244</v>
      </c>
      <c r="C816" s="111"/>
      <c r="D816" s="128"/>
      <c r="E816">
        <v>431</v>
      </c>
      <c r="F816" t="s">
        <v>11245</v>
      </c>
      <c r="G816" t="s">
        <v>11244</v>
      </c>
      <c r="H816" t="s">
        <v>11172</v>
      </c>
      <c r="I816" t="s">
        <v>11244</v>
      </c>
      <c r="J816" t="s">
        <v>11245</v>
      </c>
      <c r="K816" t="s">
        <v>11253</v>
      </c>
    </row>
    <row r="817" spans="1:11" s="1" customFormat="1" x14ac:dyDescent="0.25">
      <c r="A817" t="s">
        <v>11246</v>
      </c>
      <c r="B817" t="s">
        <v>11247</v>
      </c>
      <c r="C817" s="111"/>
      <c r="D817" s="128"/>
      <c r="E817">
        <v>450</v>
      </c>
      <c r="F817" t="s">
        <v>11248</v>
      </c>
      <c r="G817" t="s">
        <v>11247</v>
      </c>
      <c r="H817" t="s">
        <v>11172</v>
      </c>
      <c r="I817" t="s">
        <v>11247</v>
      </c>
      <c r="J817" t="s">
        <v>11248</v>
      </c>
      <c r="K817" t="s">
        <v>13224</v>
      </c>
    </row>
    <row r="818" spans="1:11" s="1" customFormat="1" x14ac:dyDescent="0.25">
      <c r="A818" t="s">
        <v>11249</v>
      </c>
      <c r="B818" t="s">
        <v>11250</v>
      </c>
      <c r="C818" s="111"/>
      <c r="D818" s="128"/>
      <c r="E818">
        <v>444</v>
      </c>
      <c r="F818" t="s">
        <v>11251</v>
      </c>
      <c r="G818" t="s">
        <v>11250</v>
      </c>
      <c r="H818" t="s">
        <v>11172</v>
      </c>
      <c r="I818" t="s">
        <v>11250</v>
      </c>
      <c r="J818" t="s">
        <v>11251</v>
      </c>
      <c r="K818" t="s">
        <v>11256</v>
      </c>
    </row>
    <row r="819" spans="1:11" s="1" customFormat="1" x14ac:dyDescent="0.25">
      <c r="A819" t="s">
        <v>11252</v>
      </c>
      <c r="B819" t="s">
        <v>11253</v>
      </c>
      <c r="C819" s="111"/>
      <c r="D819" s="128"/>
      <c r="E819">
        <v>290</v>
      </c>
      <c r="F819" t="s">
        <v>11254</v>
      </c>
      <c r="G819" t="s">
        <v>11253</v>
      </c>
      <c r="H819" t="s">
        <v>11172</v>
      </c>
      <c r="I819" t="s">
        <v>11253</v>
      </c>
      <c r="J819" t="s">
        <v>11254</v>
      </c>
      <c r="K819" t="s">
        <v>11253</v>
      </c>
    </row>
    <row r="820" spans="1:11" s="1" customFormat="1" x14ac:dyDescent="0.25">
      <c r="A820" t="s">
        <v>11255</v>
      </c>
      <c r="B820" t="s">
        <v>11256</v>
      </c>
      <c r="C820" s="111"/>
      <c r="D820" s="128"/>
      <c r="E820">
        <v>231</v>
      </c>
      <c r="F820" t="s">
        <v>11257</v>
      </c>
      <c r="G820" t="s">
        <v>11256</v>
      </c>
      <c r="H820" t="s">
        <v>11172</v>
      </c>
      <c r="I820" t="s">
        <v>11256</v>
      </c>
      <c r="J820" t="s">
        <v>11257</v>
      </c>
      <c r="K820" t="s">
        <v>11256</v>
      </c>
    </row>
    <row r="821" spans="1:11" s="1" customFormat="1" x14ac:dyDescent="0.25">
      <c r="A821" t="s">
        <v>11258</v>
      </c>
      <c r="B821" t="s">
        <v>11259</v>
      </c>
      <c r="C821" s="111"/>
      <c r="D821" s="128"/>
      <c r="E821">
        <v>1443</v>
      </c>
      <c r="F821" t="s">
        <v>11260</v>
      </c>
      <c r="G821" t="s">
        <v>11259</v>
      </c>
      <c r="H821" t="s">
        <v>11172</v>
      </c>
      <c r="I821" t="s">
        <v>11259</v>
      </c>
      <c r="J821" t="s">
        <v>11260</v>
      </c>
      <c r="K821" t="s">
        <v>11259</v>
      </c>
    </row>
    <row r="822" spans="1:11" s="1" customFormat="1" x14ac:dyDescent="0.25">
      <c r="A822" t="s">
        <v>11261</v>
      </c>
      <c r="B822" t="s">
        <v>11262</v>
      </c>
      <c r="C822" s="111"/>
      <c r="D822" s="128"/>
      <c r="E822">
        <v>121</v>
      </c>
      <c r="F822" t="s">
        <v>11263</v>
      </c>
      <c r="G822" t="s">
        <v>11262</v>
      </c>
      <c r="H822" t="s">
        <v>11172</v>
      </c>
      <c r="I822" t="s">
        <v>11262</v>
      </c>
      <c r="J822" t="s">
        <v>11263</v>
      </c>
      <c r="K822" t="s">
        <v>13224</v>
      </c>
    </row>
    <row r="823" spans="1:11" s="1" customFormat="1" x14ac:dyDescent="0.25">
      <c r="A823" t="s">
        <v>11264</v>
      </c>
      <c r="B823" t="s">
        <v>11265</v>
      </c>
      <c r="C823" s="111"/>
      <c r="D823" s="128"/>
      <c r="E823">
        <v>532</v>
      </c>
      <c r="F823" t="s">
        <v>11266</v>
      </c>
      <c r="G823" t="s">
        <v>11265</v>
      </c>
      <c r="H823" t="s">
        <v>11172</v>
      </c>
      <c r="I823" t="s">
        <v>11265</v>
      </c>
      <c r="J823" t="s">
        <v>11266</v>
      </c>
      <c r="K823" t="s">
        <v>13228</v>
      </c>
    </row>
    <row r="824" spans="1:11" s="1" customFormat="1" x14ac:dyDescent="0.25">
      <c r="A824" t="s">
        <v>11267</v>
      </c>
      <c r="B824" t="s">
        <v>11268</v>
      </c>
      <c r="C824" s="111"/>
      <c r="D824" s="128"/>
      <c r="E824">
        <v>465</v>
      </c>
      <c r="F824" t="s">
        <v>11269</v>
      </c>
      <c r="G824" t="s">
        <v>11268</v>
      </c>
      <c r="H824" t="s">
        <v>11172</v>
      </c>
      <c r="I824" t="s">
        <v>11268</v>
      </c>
      <c r="J824" t="s">
        <v>11269</v>
      </c>
      <c r="K824" t="s">
        <v>11268</v>
      </c>
    </row>
    <row r="825" spans="1:11" s="1" customFormat="1" x14ac:dyDescent="0.25">
      <c r="A825" t="s">
        <v>11270</v>
      </c>
      <c r="B825" t="s">
        <v>11271</v>
      </c>
      <c r="C825" s="111"/>
      <c r="D825" s="128"/>
      <c r="E825">
        <v>45</v>
      </c>
      <c r="F825" t="s">
        <v>11272</v>
      </c>
      <c r="G825" t="s">
        <v>11271</v>
      </c>
      <c r="H825" t="s">
        <v>11172</v>
      </c>
      <c r="I825" t="s">
        <v>11271</v>
      </c>
      <c r="J825" t="s">
        <v>11272</v>
      </c>
      <c r="K825" t="s">
        <v>11271</v>
      </c>
    </row>
    <row r="826" spans="1:11" s="1" customFormat="1" x14ac:dyDescent="0.25">
      <c r="A826" t="s">
        <v>11273</v>
      </c>
      <c r="B826" t="s">
        <v>11274</v>
      </c>
      <c r="C826" s="111"/>
      <c r="D826" s="128"/>
      <c r="E826">
        <v>0</v>
      </c>
      <c r="F826" t="s">
        <v>11275</v>
      </c>
      <c r="G826" t="s">
        <v>11274</v>
      </c>
      <c r="H826" t="s">
        <v>11172</v>
      </c>
      <c r="I826" t="s">
        <v>11274</v>
      </c>
      <c r="J826" t="s">
        <v>11275</v>
      </c>
      <c r="K826" t="s">
        <v>11196</v>
      </c>
    </row>
    <row r="827" spans="1:11" s="1" customFormat="1" x14ac:dyDescent="0.25">
      <c r="A827" t="s">
        <v>11276</v>
      </c>
      <c r="B827" t="s">
        <v>11277</v>
      </c>
      <c r="C827" s="111"/>
      <c r="D827" s="128"/>
      <c r="E827">
        <v>394</v>
      </c>
      <c r="F827" t="s">
        <v>11278</v>
      </c>
      <c r="G827" t="s">
        <v>8087</v>
      </c>
      <c r="H827" t="s">
        <v>11172</v>
      </c>
      <c r="I827" t="s">
        <v>11277</v>
      </c>
      <c r="J827" t="s">
        <v>11278</v>
      </c>
      <c r="K827" t="s">
        <v>13229</v>
      </c>
    </row>
    <row r="828" spans="1:11" s="1" customFormat="1" x14ac:dyDescent="0.25">
      <c r="A828" t="s">
        <v>11279</v>
      </c>
      <c r="B828" t="s">
        <v>11280</v>
      </c>
      <c r="C828" s="111"/>
      <c r="D828" s="128"/>
      <c r="E828">
        <v>996</v>
      </c>
      <c r="F828" t="s">
        <v>11281</v>
      </c>
      <c r="G828" t="s">
        <v>11280</v>
      </c>
      <c r="H828" t="s">
        <v>11172</v>
      </c>
      <c r="I828" t="s">
        <v>11280</v>
      </c>
      <c r="J828" t="s">
        <v>11281</v>
      </c>
      <c r="K828" t="s">
        <v>13228</v>
      </c>
    </row>
    <row r="829" spans="1:11" s="1" customFormat="1" x14ac:dyDescent="0.25">
      <c r="A829" t="s">
        <v>11282</v>
      </c>
      <c r="B829" t="s">
        <v>11283</v>
      </c>
      <c r="C829" s="111"/>
      <c r="D829" s="128"/>
      <c r="E829">
        <v>315</v>
      </c>
      <c r="F829" t="s">
        <v>11284</v>
      </c>
      <c r="G829" t="s">
        <v>11283</v>
      </c>
      <c r="H829" t="s">
        <v>11172</v>
      </c>
      <c r="I829" t="s">
        <v>11283</v>
      </c>
      <c r="J829" t="s">
        <v>11284</v>
      </c>
      <c r="K829" t="s">
        <v>13225</v>
      </c>
    </row>
    <row r="830" spans="1:11" s="1" customFormat="1" x14ac:dyDescent="0.25">
      <c r="A830" t="s">
        <v>11285</v>
      </c>
      <c r="B830" t="s">
        <v>13988</v>
      </c>
      <c r="C830" s="111"/>
      <c r="D830" s="128"/>
      <c r="E830">
        <v>0</v>
      </c>
      <c r="F830" t="s">
        <v>11286</v>
      </c>
      <c r="G830" t="s">
        <v>9806</v>
      </c>
      <c r="H830" t="s">
        <v>11172</v>
      </c>
      <c r="I830" t="s">
        <v>13988</v>
      </c>
      <c r="J830" t="s">
        <v>11286</v>
      </c>
      <c r="K830" t="s">
        <v>13163</v>
      </c>
    </row>
    <row r="831" spans="1:11" s="1" customFormat="1" x14ac:dyDescent="0.25">
      <c r="A831" t="s">
        <v>11287</v>
      </c>
      <c r="B831" t="s">
        <v>11288</v>
      </c>
      <c r="C831" s="111"/>
      <c r="D831" s="128"/>
      <c r="E831">
        <v>100</v>
      </c>
      <c r="F831" t="s">
        <v>11289</v>
      </c>
      <c r="G831" t="s">
        <v>11288</v>
      </c>
      <c r="H831" t="s">
        <v>11172</v>
      </c>
      <c r="I831" t="s">
        <v>11288</v>
      </c>
      <c r="J831" t="s">
        <v>11289</v>
      </c>
      <c r="K831" t="s">
        <v>11256</v>
      </c>
    </row>
    <row r="832" spans="1:11" s="1" customFormat="1" x14ac:dyDescent="0.25">
      <c r="A832" t="s">
        <v>11390</v>
      </c>
      <c r="B832" t="s">
        <v>5281</v>
      </c>
      <c r="C832" s="111"/>
      <c r="D832" s="128"/>
      <c r="E832">
        <v>678</v>
      </c>
      <c r="F832" t="s">
        <v>11391</v>
      </c>
      <c r="G832" t="s">
        <v>5281</v>
      </c>
      <c r="H832" t="s">
        <v>5281</v>
      </c>
      <c r="I832" t="s">
        <v>5281</v>
      </c>
      <c r="J832" t="s">
        <v>11391</v>
      </c>
      <c r="K832" t="s">
        <v>13163</v>
      </c>
    </row>
    <row r="833" spans="1:11" s="1" customFormat="1" x14ac:dyDescent="0.25">
      <c r="A833" t="s">
        <v>11392</v>
      </c>
      <c r="B833" t="s">
        <v>11393</v>
      </c>
      <c r="C833" s="111"/>
      <c r="D833" s="128"/>
      <c r="E833">
        <v>501</v>
      </c>
      <c r="F833" t="s">
        <v>11394</v>
      </c>
      <c r="G833" t="s">
        <v>5281</v>
      </c>
      <c r="H833" t="s">
        <v>5281</v>
      </c>
      <c r="I833" t="s">
        <v>11393</v>
      </c>
      <c r="J833" t="s">
        <v>11394</v>
      </c>
      <c r="K833" t="s">
        <v>13163</v>
      </c>
    </row>
    <row r="834" spans="1:11" s="1" customFormat="1" x14ac:dyDescent="0.25">
      <c r="A834" t="s">
        <v>11395</v>
      </c>
      <c r="B834" t="s">
        <v>11396</v>
      </c>
      <c r="C834" s="111"/>
      <c r="D834" s="128"/>
      <c r="E834">
        <v>861</v>
      </c>
      <c r="F834" t="s">
        <v>11397</v>
      </c>
      <c r="G834" t="s">
        <v>8401</v>
      </c>
      <c r="H834" t="s">
        <v>5281</v>
      </c>
      <c r="I834" t="s">
        <v>11396</v>
      </c>
      <c r="J834" t="s">
        <v>11397</v>
      </c>
      <c r="K834" t="s">
        <v>13230</v>
      </c>
    </row>
    <row r="835" spans="1:11" s="1" customFormat="1" x14ac:dyDescent="0.25">
      <c r="A835" t="s">
        <v>11398</v>
      </c>
      <c r="B835" t="s">
        <v>11399</v>
      </c>
      <c r="C835" s="111"/>
      <c r="D835" s="128"/>
      <c r="E835">
        <v>3600</v>
      </c>
      <c r="F835" t="s">
        <v>11400</v>
      </c>
      <c r="G835" t="s">
        <v>11399</v>
      </c>
      <c r="H835" t="s">
        <v>5281</v>
      </c>
      <c r="I835" t="s">
        <v>11399</v>
      </c>
      <c r="J835" t="s">
        <v>11400</v>
      </c>
      <c r="K835" t="s">
        <v>13230</v>
      </c>
    </row>
    <row r="836" spans="1:11" s="1" customFormat="1" x14ac:dyDescent="0.25">
      <c r="A836" t="s">
        <v>11401</v>
      </c>
      <c r="B836" t="s">
        <v>11402</v>
      </c>
      <c r="C836" s="111"/>
      <c r="D836" s="128"/>
      <c r="E836">
        <v>378</v>
      </c>
      <c r="F836" t="s">
        <v>11403</v>
      </c>
      <c r="G836" t="s">
        <v>11402</v>
      </c>
      <c r="H836" t="s">
        <v>5281</v>
      </c>
      <c r="I836" t="s">
        <v>11402</v>
      </c>
      <c r="J836" t="s">
        <v>11403</v>
      </c>
      <c r="K836" t="s">
        <v>8424</v>
      </c>
    </row>
    <row r="837" spans="1:11" s="1" customFormat="1" x14ac:dyDescent="0.25">
      <c r="A837" t="s">
        <v>11404</v>
      </c>
      <c r="B837" t="s">
        <v>11405</v>
      </c>
      <c r="C837" s="111"/>
      <c r="D837" s="128"/>
      <c r="E837">
        <v>527</v>
      </c>
      <c r="F837" t="s">
        <v>11407</v>
      </c>
      <c r="G837" t="s">
        <v>11406</v>
      </c>
      <c r="H837" t="s">
        <v>5281</v>
      </c>
      <c r="I837" t="s">
        <v>11405</v>
      </c>
      <c r="J837" t="s">
        <v>11407</v>
      </c>
      <c r="K837" t="s">
        <v>11460</v>
      </c>
    </row>
    <row r="838" spans="1:11" s="1" customFormat="1" x14ac:dyDescent="0.25">
      <c r="A838" t="s">
        <v>11408</v>
      </c>
      <c r="B838" t="s">
        <v>11409</v>
      </c>
      <c r="C838" s="111"/>
      <c r="D838" s="128"/>
      <c r="E838">
        <v>0</v>
      </c>
      <c r="F838" t="s">
        <v>11411</v>
      </c>
      <c r="G838" t="s">
        <v>11410</v>
      </c>
      <c r="H838" t="s">
        <v>5281</v>
      </c>
      <c r="I838" t="s">
        <v>11409</v>
      </c>
      <c r="J838" t="s">
        <v>11411</v>
      </c>
      <c r="K838" t="s">
        <v>11501</v>
      </c>
    </row>
    <row r="839" spans="1:11" s="1" customFormat="1" x14ac:dyDescent="0.25">
      <c r="A839" t="s">
        <v>11412</v>
      </c>
      <c r="B839" t="s">
        <v>11413</v>
      </c>
      <c r="C839" s="111"/>
      <c r="D839" s="128"/>
      <c r="E839">
        <v>10</v>
      </c>
      <c r="F839" t="s">
        <v>11414</v>
      </c>
      <c r="G839" t="s">
        <v>11413</v>
      </c>
      <c r="H839" t="s">
        <v>5281</v>
      </c>
      <c r="I839" t="s">
        <v>11413</v>
      </c>
      <c r="J839" t="s">
        <v>11414</v>
      </c>
      <c r="K839" t="s">
        <v>8424</v>
      </c>
    </row>
    <row r="840" spans="1:11" s="1" customFormat="1" x14ac:dyDescent="0.25">
      <c r="A840" t="s">
        <v>11415</v>
      </c>
      <c r="B840" t="s">
        <v>11416</v>
      </c>
      <c r="C840" s="111"/>
      <c r="D840" s="128"/>
      <c r="E840">
        <v>1337</v>
      </c>
      <c r="F840" t="s">
        <v>11418</v>
      </c>
      <c r="G840" t="s">
        <v>11417</v>
      </c>
      <c r="H840" t="s">
        <v>5281</v>
      </c>
      <c r="I840" t="s">
        <v>11416</v>
      </c>
      <c r="J840" t="s">
        <v>11418</v>
      </c>
      <c r="K840" t="s">
        <v>11460</v>
      </c>
    </row>
    <row r="841" spans="1:11" s="1" customFormat="1" x14ac:dyDescent="0.25">
      <c r="A841" t="s">
        <v>11419</v>
      </c>
      <c r="B841" t="s">
        <v>11420</v>
      </c>
      <c r="C841" s="111"/>
      <c r="D841" s="128"/>
      <c r="E841">
        <v>198</v>
      </c>
      <c r="F841" t="s">
        <v>11422</v>
      </c>
      <c r="G841" t="s">
        <v>11421</v>
      </c>
      <c r="H841" t="s">
        <v>5281</v>
      </c>
      <c r="I841" t="s">
        <v>11420</v>
      </c>
      <c r="J841" t="s">
        <v>11422</v>
      </c>
      <c r="K841" t="s">
        <v>8424</v>
      </c>
    </row>
    <row r="842" spans="1:11" s="1" customFormat="1" x14ac:dyDescent="0.25">
      <c r="A842" t="s">
        <v>11423</v>
      </c>
      <c r="B842" t="s">
        <v>11424</v>
      </c>
      <c r="C842" s="111"/>
      <c r="D842" s="128"/>
      <c r="E842">
        <v>332</v>
      </c>
      <c r="F842" t="s">
        <v>11426</v>
      </c>
      <c r="G842" t="s">
        <v>11425</v>
      </c>
      <c r="H842" t="s">
        <v>5281</v>
      </c>
      <c r="I842" t="s">
        <v>11424</v>
      </c>
      <c r="J842" t="s">
        <v>11426</v>
      </c>
      <c r="K842" t="s">
        <v>10302</v>
      </c>
    </row>
    <row r="843" spans="1:11" s="1" customFormat="1" x14ac:dyDescent="0.25">
      <c r="A843" t="s">
        <v>11427</v>
      </c>
      <c r="B843" t="s">
        <v>11428</v>
      </c>
      <c r="C843" s="111"/>
      <c r="D843" s="128"/>
      <c r="E843">
        <v>590</v>
      </c>
      <c r="F843" t="s">
        <v>11430</v>
      </c>
      <c r="G843" t="s">
        <v>11429</v>
      </c>
      <c r="H843" t="s">
        <v>5281</v>
      </c>
      <c r="I843" t="s">
        <v>11428</v>
      </c>
      <c r="J843" t="s">
        <v>11430</v>
      </c>
      <c r="K843" t="s">
        <v>8945</v>
      </c>
    </row>
    <row r="844" spans="1:11" s="1" customFormat="1" x14ac:dyDescent="0.25">
      <c r="A844" t="s">
        <v>11431</v>
      </c>
      <c r="B844" t="s">
        <v>11432</v>
      </c>
      <c r="C844" s="111"/>
      <c r="D844" s="128"/>
      <c r="E844">
        <v>20</v>
      </c>
      <c r="F844" t="s">
        <v>11433</v>
      </c>
      <c r="G844" t="s">
        <v>8424</v>
      </c>
      <c r="H844" t="s">
        <v>5281</v>
      </c>
      <c r="I844" t="s">
        <v>11432</v>
      </c>
      <c r="J844" t="s">
        <v>11433</v>
      </c>
      <c r="K844" t="s">
        <v>8424</v>
      </c>
    </row>
    <row r="845" spans="1:11" s="1" customFormat="1" x14ac:dyDescent="0.25">
      <c r="A845" t="s">
        <v>11434</v>
      </c>
      <c r="B845" t="s">
        <v>9915</v>
      </c>
      <c r="C845" s="111"/>
      <c r="D845" s="128"/>
      <c r="E845">
        <v>389</v>
      </c>
      <c r="F845" t="s">
        <v>11435</v>
      </c>
      <c r="G845" t="s">
        <v>7965</v>
      </c>
      <c r="H845" t="s">
        <v>5281</v>
      </c>
      <c r="I845" t="s">
        <v>9915</v>
      </c>
      <c r="J845" t="s">
        <v>11435</v>
      </c>
      <c r="K845" t="s">
        <v>7965</v>
      </c>
    </row>
    <row r="846" spans="1:11" s="1" customFormat="1" x14ac:dyDescent="0.25">
      <c r="A846" t="s">
        <v>11436</v>
      </c>
      <c r="B846" t="s">
        <v>11437</v>
      </c>
      <c r="C846" s="111"/>
      <c r="D846" s="128"/>
      <c r="E846">
        <v>50</v>
      </c>
      <c r="F846" t="s">
        <v>11438</v>
      </c>
      <c r="G846" t="s">
        <v>11437</v>
      </c>
      <c r="H846" t="s">
        <v>5281</v>
      </c>
      <c r="I846" t="s">
        <v>11437</v>
      </c>
      <c r="J846" t="s">
        <v>11438</v>
      </c>
      <c r="K846" t="s">
        <v>11437</v>
      </c>
    </row>
    <row r="847" spans="1:11" s="1" customFormat="1" x14ac:dyDescent="0.25">
      <c r="A847" t="s">
        <v>11439</v>
      </c>
      <c r="B847" t="s">
        <v>11440</v>
      </c>
      <c r="C847" s="111"/>
      <c r="D847" s="128"/>
      <c r="E847">
        <v>0</v>
      </c>
      <c r="F847" t="s">
        <v>11442</v>
      </c>
      <c r="G847" t="s">
        <v>11441</v>
      </c>
      <c r="H847" t="s">
        <v>5281</v>
      </c>
      <c r="I847" t="s">
        <v>11440</v>
      </c>
      <c r="J847" t="s">
        <v>11442</v>
      </c>
      <c r="K847" t="s">
        <v>8673</v>
      </c>
    </row>
    <row r="848" spans="1:11" s="1" customFormat="1" x14ac:dyDescent="0.25">
      <c r="A848" t="s">
        <v>11443</v>
      </c>
      <c r="B848" t="s">
        <v>11444</v>
      </c>
      <c r="C848" s="111"/>
      <c r="D848" s="128"/>
      <c r="E848">
        <v>410</v>
      </c>
      <c r="F848" t="s">
        <v>11445</v>
      </c>
      <c r="G848" t="s">
        <v>11444</v>
      </c>
      <c r="H848" t="s">
        <v>5281</v>
      </c>
      <c r="I848" t="s">
        <v>11444</v>
      </c>
      <c r="J848" t="s">
        <v>11445</v>
      </c>
      <c r="K848" t="s">
        <v>10302</v>
      </c>
    </row>
    <row r="849" spans="1:11" s="1" customFormat="1" x14ac:dyDescent="0.25">
      <c r="A849" t="s">
        <v>11446</v>
      </c>
      <c r="B849" t="s">
        <v>11447</v>
      </c>
      <c r="C849" s="111"/>
      <c r="D849" s="128"/>
      <c r="E849">
        <v>76</v>
      </c>
      <c r="F849" t="s">
        <v>11448</v>
      </c>
      <c r="G849" t="s">
        <v>11447</v>
      </c>
      <c r="H849" t="s">
        <v>5281</v>
      </c>
      <c r="I849" t="s">
        <v>11447</v>
      </c>
      <c r="J849" t="s">
        <v>11448</v>
      </c>
      <c r="K849" t="s">
        <v>9806</v>
      </c>
    </row>
    <row r="850" spans="1:11" s="1" customFormat="1" x14ac:dyDescent="0.25">
      <c r="A850" t="s">
        <v>11449</v>
      </c>
      <c r="B850" t="s">
        <v>10209</v>
      </c>
      <c r="C850" s="111"/>
      <c r="D850" s="128"/>
      <c r="E850">
        <v>200</v>
      </c>
      <c r="F850" t="s">
        <v>11450</v>
      </c>
      <c r="G850" t="s">
        <v>10209</v>
      </c>
      <c r="H850" t="s">
        <v>5281</v>
      </c>
      <c r="I850" t="s">
        <v>10209</v>
      </c>
      <c r="J850" t="s">
        <v>11450</v>
      </c>
      <c r="K850" t="s">
        <v>10209</v>
      </c>
    </row>
    <row r="851" spans="1:11" s="1" customFormat="1" x14ac:dyDescent="0.25">
      <c r="A851" t="s">
        <v>11451</v>
      </c>
      <c r="B851" t="s">
        <v>11452</v>
      </c>
      <c r="C851" s="111"/>
      <c r="D851" s="128"/>
      <c r="E851">
        <v>256</v>
      </c>
      <c r="F851" t="s">
        <v>11453</v>
      </c>
      <c r="G851" t="s">
        <v>11452</v>
      </c>
      <c r="H851" t="s">
        <v>5281</v>
      </c>
      <c r="I851" t="s">
        <v>11452</v>
      </c>
      <c r="J851" t="s">
        <v>11453</v>
      </c>
      <c r="K851" t="s">
        <v>9806</v>
      </c>
    </row>
    <row r="852" spans="1:11" s="1" customFormat="1" x14ac:dyDescent="0.25">
      <c r="A852" t="s">
        <v>11454</v>
      </c>
      <c r="B852" t="s">
        <v>8454</v>
      </c>
      <c r="C852" s="111"/>
      <c r="D852" s="128"/>
      <c r="E852">
        <v>1494</v>
      </c>
      <c r="F852" t="s">
        <v>11455</v>
      </c>
      <c r="G852" t="s">
        <v>8454</v>
      </c>
      <c r="H852" t="s">
        <v>5281</v>
      </c>
      <c r="I852" t="s">
        <v>8454</v>
      </c>
      <c r="J852" t="s">
        <v>11455</v>
      </c>
      <c r="K852" t="s">
        <v>8454</v>
      </c>
    </row>
    <row r="853" spans="1:11" s="1" customFormat="1" x14ac:dyDescent="0.25">
      <c r="A853" t="s">
        <v>11456</v>
      </c>
      <c r="B853" t="s">
        <v>9767</v>
      </c>
      <c r="C853" s="111"/>
      <c r="D853" s="128"/>
      <c r="E853">
        <v>11</v>
      </c>
      <c r="F853" t="s">
        <v>11458</v>
      </c>
      <c r="G853" t="s">
        <v>11457</v>
      </c>
      <c r="H853" t="s">
        <v>5281</v>
      </c>
      <c r="I853" t="s">
        <v>9767</v>
      </c>
      <c r="J853" t="s">
        <v>11458</v>
      </c>
      <c r="K853" t="s">
        <v>9767</v>
      </c>
    </row>
    <row r="854" spans="1:11" s="1" customFormat="1" x14ac:dyDescent="0.25">
      <c r="A854" t="s">
        <v>11459</v>
      </c>
      <c r="B854" t="s">
        <v>11460</v>
      </c>
      <c r="C854" s="111"/>
      <c r="D854" s="128"/>
      <c r="E854">
        <v>18</v>
      </c>
      <c r="F854" t="s">
        <v>11461</v>
      </c>
      <c r="G854" t="s">
        <v>11460</v>
      </c>
      <c r="H854" t="s">
        <v>5281</v>
      </c>
      <c r="I854" t="s">
        <v>11460</v>
      </c>
      <c r="J854" t="s">
        <v>11461</v>
      </c>
      <c r="K854" t="s">
        <v>11460</v>
      </c>
    </row>
    <row r="855" spans="1:11" s="1" customFormat="1" x14ac:dyDescent="0.25">
      <c r="A855" t="s">
        <v>11462</v>
      </c>
      <c r="B855" t="s">
        <v>8945</v>
      </c>
      <c r="C855" s="111"/>
      <c r="D855" s="128"/>
      <c r="E855">
        <v>335</v>
      </c>
      <c r="F855" t="s">
        <v>11463</v>
      </c>
      <c r="G855" t="s">
        <v>8945</v>
      </c>
      <c r="H855" t="s">
        <v>5281</v>
      </c>
      <c r="I855" t="s">
        <v>8945</v>
      </c>
      <c r="J855" t="s">
        <v>11463</v>
      </c>
      <c r="K855" t="s">
        <v>8945</v>
      </c>
    </row>
    <row r="856" spans="1:11" s="1" customFormat="1" x14ac:dyDescent="0.25">
      <c r="A856" t="s">
        <v>11464</v>
      </c>
      <c r="B856" t="s">
        <v>13989</v>
      </c>
      <c r="C856" s="111"/>
      <c r="D856" s="128"/>
      <c r="E856">
        <v>203</v>
      </c>
      <c r="F856" t="s">
        <v>11466</v>
      </c>
      <c r="G856" t="s">
        <v>11465</v>
      </c>
      <c r="H856" t="s">
        <v>5281</v>
      </c>
      <c r="I856" t="s">
        <v>13989</v>
      </c>
      <c r="J856" t="s">
        <v>11466</v>
      </c>
      <c r="K856" t="s">
        <v>11465</v>
      </c>
    </row>
    <row r="857" spans="1:11" s="1" customFormat="1" x14ac:dyDescent="0.25">
      <c r="A857" t="s">
        <v>11467</v>
      </c>
      <c r="B857" t="s">
        <v>11468</v>
      </c>
      <c r="C857" s="111"/>
      <c r="D857" s="128"/>
      <c r="E857">
        <v>0</v>
      </c>
      <c r="F857" t="s">
        <v>11469</v>
      </c>
      <c r="G857" t="s">
        <v>11468</v>
      </c>
      <c r="H857" t="s">
        <v>5281</v>
      </c>
      <c r="I857" t="s">
        <v>11468</v>
      </c>
      <c r="J857" t="s">
        <v>11469</v>
      </c>
      <c r="K857" t="s">
        <v>8397</v>
      </c>
    </row>
    <row r="858" spans="1:11" s="1" customFormat="1" x14ac:dyDescent="0.25">
      <c r="A858" t="s">
        <v>11470</v>
      </c>
      <c r="B858" t="s">
        <v>11471</v>
      </c>
      <c r="C858" s="111"/>
      <c r="D858" s="128"/>
      <c r="E858">
        <v>201</v>
      </c>
      <c r="F858" t="s">
        <v>11472</v>
      </c>
      <c r="G858" t="s">
        <v>11471</v>
      </c>
      <c r="H858" t="s">
        <v>5281</v>
      </c>
      <c r="I858" t="s">
        <v>11471</v>
      </c>
      <c r="J858" t="s">
        <v>11472</v>
      </c>
      <c r="K858" t="s">
        <v>11496</v>
      </c>
    </row>
    <row r="859" spans="1:11" s="1" customFormat="1" x14ac:dyDescent="0.25">
      <c r="A859" t="s">
        <v>11473</v>
      </c>
      <c r="B859" t="s">
        <v>11474</v>
      </c>
      <c r="C859" s="111"/>
      <c r="D859" s="128"/>
      <c r="E859">
        <v>200</v>
      </c>
      <c r="F859" t="s">
        <v>11475</v>
      </c>
      <c r="G859" t="s">
        <v>11474</v>
      </c>
      <c r="H859" t="s">
        <v>5281</v>
      </c>
      <c r="I859" t="s">
        <v>11474</v>
      </c>
      <c r="J859" t="s">
        <v>11475</v>
      </c>
      <c r="K859" t="s">
        <v>7965</v>
      </c>
    </row>
    <row r="860" spans="1:11" s="1" customFormat="1" x14ac:dyDescent="0.25">
      <c r="A860" t="s">
        <v>11476</v>
      </c>
      <c r="B860" t="s">
        <v>11477</v>
      </c>
      <c r="C860" s="111"/>
      <c r="D860" s="128"/>
      <c r="E860"/>
      <c r="F860" t="s">
        <v>11478</v>
      </c>
      <c r="G860" t="s">
        <v>11477</v>
      </c>
      <c r="H860" t="s">
        <v>5281</v>
      </c>
      <c r="I860" t="s">
        <v>11477</v>
      </c>
      <c r="J860" t="s">
        <v>11478</v>
      </c>
      <c r="K860" t="s">
        <v>8454</v>
      </c>
    </row>
    <row r="861" spans="1:11" s="1" customFormat="1" x14ac:dyDescent="0.25">
      <c r="A861" t="s">
        <v>11479</v>
      </c>
      <c r="B861" t="s">
        <v>11480</v>
      </c>
      <c r="C861" s="111"/>
      <c r="D861" s="128"/>
      <c r="E861">
        <v>280</v>
      </c>
      <c r="F861" t="s">
        <v>11481</v>
      </c>
      <c r="G861" t="s">
        <v>11480</v>
      </c>
      <c r="H861" t="s">
        <v>5281</v>
      </c>
      <c r="I861" t="s">
        <v>11480</v>
      </c>
      <c r="J861" t="s">
        <v>11481</v>
      </c>
      <c r="K861" t="s">
        <v>11496</v>
      </c>
    </row>
    <row r="862" spans="1:11" s="1" customFormat="1" x14ac:dyDescent="0.25">
      <c r="A862" t="s">
        <v>11482</v>
      </c>
      <c r="B862" t="s">
        <v>8397</v>
      </c>
      <c r="C862" s="111"/>
      <c r="D862" s="128"/>
      <c r="E862">
        <v>189</v>
      </c>
      <c r="F862" t="s">
        <v>11483</v>
      </c>
      <c r="G862" t="s">
        <v>8397</v>
      </c>
      <c r="H862" t="s">
        <v>5281</v>
      </c>
      <c r="I862" t="s">
        <v>8397</v>
      </c>
      <c r="J862" t="s">
        <v>11483</v>
      </c>
      <c r="K862" t="s">
        <v>8397</v>
      </c>
    </row>
    <row r="863" spans="1:11" s="1" customFormat="1" x14ac:dyDescent="0.25">
      <c r="A863" t="s">
        <v>11484</v>
      </c>
      <c r="B863" t="s">
        <v>11485</v>
      </c>
      <c r="C863" s="111"/>
      <c r="D863" s="128"/>
      <c r="E863">
        <v>10523</v>
      </c>
      <c r="F863" t="s">
        <v>11487</v>
      </c>
      <c r="G863" t="s">
        <v>11486</v>
      </c>
      <c r="H863" t="s">
        <v>5281</v>
      </c>
      <c r="I863" t="s">
        <v>11485</v>
      </c>
      <c r="J863" t="s">
        <v>11487</v>
      </c>
      <c r="K863" t="s">
        <v>13230</v>
      </c>
    </row>
    <row r="864" spans="1:11" s="1" customFormat="1" x14ac:dyDescent="0.25">
      <c r="A864" t="s">
        <v>11488</v>
      </c>
      <c r="B864" t="s">
        <v>11489</v>
      </c>
      <c r="C864" s="111"/>
      <c r="D864" s="128"/>
      <c r="E864">
        <v>4387</v>
      </c>
      <c r="F864" t="s">
        <v>11490</v>
      </c>
      <c r="G864" t="s">
        <v>11489</v>
      </c>
      <c r="H864" t="s">
        <v>5281</v>
      </c>
      <c r="I864" t="s">
        <v>11489</v>
      </c>
      <c r="J864" t="s">
        <v>11490</v>
      </c>
      <c r="K864" t="s">
        <v>8945</v>
      </c>
    </row>
    <row r="865" spans="1:11" s="1" customFormat="1" x14ac:dyDescent="0.25">
      <c r="A865" t="s">
        <v>11491</v>
      </c>
      <c r="B865" t="s">
        <v>10302</v>
      </c>
      <c r="C865" s="111"/>
      <c r="D865" s="128"/>
      <c r="E865">
        <v>169</v>
      </c>
      <c r="F865" t="s">
        <v>11492</v>
      </c>
      <c r="G865" t="s">
        <v>10302</v>
      </c>
      <c r="H865" t="s">
        <v>5281</v>
      </c>
      <c r="I865" t="s">
        <v>10302</v>
      </c>
      <c r="J865" t="s">
        <v>11492</v>
      </c>
      <c r="K865" t="s">
        <v>10302</v>
      </c>
    </row>
    <row r="866" spans="1:11" s="1" customFormat="1" x14ac:dyDescent="0.25">
      <c r="A866" t="s">
        <v>11493</v>
      </c>
      <c r="B866" t="s">
        <v>9800</v>
      </c>
      <c r="C866" s="111"/>
      <c r="D866" s="128"/>
      <c r="E866">
        <v>1116</v>
      </c>
      <c r="F866" t="s">
        <v>11494</v>
      </c>
      <c r="G866" t="s">
        <v>9800</v>
      </c>
      <c r="H866" t="s">
        <v>5281</v>
      </c>
      <c r="I866" t="s">
        <v>9800</v>
      </c>
      <c r="J866" t="s">
        <v>11494</v>
      </c>
      <c r="K866" t="s">
        <v>13230</v>
      </c>
    </row>
    <row r="867" spans="1:11" s="1" customFormat="1" x14ac:dyDescent="0.25">
      <c r="A867" t="s">
        <v>11495</v>
      </c>
      <c r="B867" t="s">
        <v>11496</v>
      </c>
      <c r="C867" s="111"/>
      <c r="D867" s="128"/>
      <c r="E867">
        <v>69</v>
      </c>
      <c r="F867" t="s">
        <v>11497</v>
      </c>
      <c r="G867" t="s">
        <v>11496</v>
      </c>
      <c r="H867" t="s">
        <v>5281</v>
      </c>
      <c r="I867" t="s">
        <v>11496</v>
      </c>
      <c r="J867" t="s">
        <v>11497</v>
      </c>
      <c r="K867" t="s">
        <v>11496</v>
      </c>
    </row>
    <row r="868" spans="1:11" s="1" customFormat="1" x14ac:dyDescent="0.25">
      <c r="A868" t="s">
        <v>11498</v>
      </c>
      <c r="B868" t="s">
        <v>9806</v>
      </c>
      <c r="C868" s="111"/>
      <c r="D868" s="128"/>
      <c r="E868">
        <v>269</v>
      </c>
      <c r="F868" t="s">
        <v>11499</v>
      </c>
      <c r="G868" t="s">
        <v>9806</v>
      </c>
      <c r="H868" t="s">
        <v>5281</v>
      </c>
      <c r="I868" t="s">
        <v>9806</v>
      </c>
      <c r="J868" t="s">
        <v>11499</v>
      </c>
      <c r="K868" t="s">
        <v>9806</v>
      </c>
    </row>
    <row r="869" spans="1:11" s="1" customFormat="1" x14ac:dyDescent="0.25">
      <c r="A869" t="s">
        <v>11500</v>
      </c>
      <c r="B869" t="s">
        <v>11501</v>
      </c>
      <c r="C869" s="111"/>
      <c r="D869" s="128"/>
      <c r="E869">
        <v>721</v>
      </c>
      <c r="F869" t="s">
        <v>11502</v>
      </c>
      <c r="G869" t="s">
        <v>11501</v>
      </c>
      <c r="H869" t="s">
        <v>5281</v>
      </c>
      <c r="I869" t="s">
        <v>11501</v>
      </c>
      <c r="J869" t="s">
        <v>11502</v>
      </c>
      <c r="K869" t="s">
        <v>11501</v>
      </c>
    </row>
    <row r="870" spans="1:11" s="1" customFormat="1" x14ac:dyDescent="0.25">
      <c r="A870" t="s">
        <v>11503</v>
      </c>
      <c r="B870" t="s">
        <v>11504</v>
      </c>
      <c r="C870" s="111"/>
      <c r="D870" s="128"/>
      <c r="E870">
        <v>100</v>
      </c>
      <c r="F870" t="s">
        <v>11505</v>
      </c>
      <c r="G870" t="s">
        <v>11504</v>
      </c>
      <c r="H870" t="s">
        <v>5281</v>
      </c>
      <c r="I870" t="s">
        <v>11504</v>
      </c>
      <c r="J870" t="s">
        <v>11505</v>
      </c>
      <c r="K870" t="s">
        <v>11504</v>
      </c>
    </row>
    <row r="871" spans="1:11" s="1" customFormat="1" x14ac:dyDescent="0.25">
      <c r="A871" t="s">
        <v>11506</v>
      </c>
      <c r="B871" t="s">
        <v>11507</v>
      </c>
      <c r="C871" s="111"/>
      <c r="D871" s="128"/>
      <c r="E871">
        <v>0</v>
      </c>
      <c r="F871" t="s">
        <v>11508</v>
      </c>
      <c r="G871" t="s">
        <v>11507</v>
      </c>
      <c r="H871" t="s">
        <v>5281</v>
      </c>
      <c r="I871" t="s">
        <v>11507</v>
      </c>
      <c r="J871" t="s">
        <v>11508</v>
      </c>
      <c r="K871" t="s">
        <v>8454</v>
      </c>
    </row>
    <row r="872" spans="1:11" s="1" customFormat="1" x14ac:dyDescent="0.25">
      <c r="A872" t="s">
        <v>11509</v>
      </c>
      <c r="B872" t="s">
        <v>13949</v>
      </c>
      <c r="C872" s="111"/>
      <c r="D872" s="128"/>
      <c r="E872"/>
      <c r="F872" t="s">
        <v>11510</v>
      </c>
      <c r="G872" t="s">
        <v>13977</v>
      </c>
      <c r="H872" t="s">
        <v>5281</v>
      </c>
      <c r="I872" t="s">
        <v>13949</v>
      </c>
      <c r="J872" t="s">
        <v>11510</v>
      </c>
      <c r="K872" t="s">
        <v>11465</v>
      </c>
    </row>
    <row r="873" spans="1:11" s="1" customFormat="1" x14ac:dyDescent="0.25">
      <c r="A873" t="s">
        <v>11511</v>
      </c>
      <c r="B873" t="s">
        <v>11512</v>
      </c>
      <c r="C873" s="111"/>
      <c r="D873" s="128"/>
      <c r="E873">
        <v>32</v>
      </c>
      <c r="F873" t="s">
        <v>11513</v>
      </c>
      <c r="G873" t="s">
        <v>11512</v>
      </c>
      <c r="H873" t="s">
        <v>5281</v>
      </c>
      <c r="I873" t="s">
        <v>11512</v>
      </c>
      <c r="J873" t="s">
        <v>11513</v>
      </c>
      <c r="K873" t="s">
        <v>11496</v>
      </c>
    </row>
    <row r="874" spans="1:11" s="1" customFormat="1" x14ac:dyDescent="0.25">
      <c r="A874" t="s">
        <v>11514</v>
      </c>
      <c r="B874" t="s">
        <v>11515</v>
      </c>
      <c r="C874" s="111"/>
      <c r="D874" s="128"/>
      <c r="E874">
        <v>93</v>
      </c>
      <c r="F874" t="s">
        <v>11516</v>
      </c>
      <c r="G874" t="s">
        <v>8673</v>
      </c>
      <c r="H874" t="s">
        <v>5281</v>
      </c>
      <c r="I874" t="s">
        <v>11515</v>
      </c>
      <c r="J874" t="s">
        <v>11516</v>
      </c>
      <c r="K874" t="s">
        <v>8673</v>
      </c>
    </row>
    <row r="875" spans="1:11" s="1" customFormat="1" x14ac:dyDescent="0.25">
      <c r="A875" t="s">
        <v>11517</v>
      </c>
      <c r="B875" t="s">
        <v>10611</v>
      </c>
      <c r="C875" s="111"/>
      <c r="D875" s="128"/>
      <c r="E875">
        <v>4190</v>
      </c>
      <c r="F875" t="s">
        <v>11518</v>
      </c>
      <c r="G875" t="s">
        <v>10611</v>
      </c>
      <c r="H875" t="s">
        <v>5281</v>
      </c>
      <c r="I875" t="s">
        <v>10611</v>
      </c>
      <c r="J875" t="s">
        <v>11518</v>
      </c>
      <c r="K875" t="s">
        <v>13230</v>
      </c>
    </row>
    <row r="876" spans="1:11" s="1" customFormat="1" x14ac:dyDescent="0.25">
      <c r="A876" t="s">
        <v>11519</v>
      </c>
      <c r="B876" t="s">
        <v>11520</v>
      </c>
      <c r="C876" s="111"/>
      <c r="D876" s="128"/>
      <c r="E876">
        <v>131</v>
      </c>
      <c r="F876" t="s">
        <v>11521</v>
      </c>
      <c r="G876" t="s">
        <v>11520</v>
      </c>
      <c r="H876" t="s">
        <v>5281</v>
      </c>
      <c r="I876" t="s">
        <v>11520</v>
      </c>
      <c r="J876" t="s">
        <v>11521</v>
      </c>
      <c r="K876" t="s">
        <v>11501</v>
      </c>
    </row>
    <row r="877" spans="1:11" s="1" customFormat="1" x14ac:dyDescent="0.25">
      <c r="A877" t="s">
        <v>11522</v>
      </c>
      <c r="B877" t="s">
        <v>13990</v>
      </c>
      <c r="C877" s="111"/>
      <c r="D877" s="128"/>
      <c r="E877"/>
      <c r="F877" t="s">
        <v>11524</v>
      </c>
      <c r="G877" t="s">
        <v>11523</v>
      </c>
      <c r="H877" t="s">
        <v>5281</v>
      </c>
      <c r="I877" t="s">
        <v>13990</v>
      </c>
      <c r="J877" t="s">
        <v>11524</v>
      </c>
      <c r="K877" t="s">
        <v>9767</v>
      </c>
    </row>
    <row r="878" spans="1:11" s="1" customFormat="1" x14ac:dyDescent="0.25">
      <c r="A878" t="s">
        <v>11525</v>
      </c>
      <c r="B878" t="s">
        <v>11526</v>
      </c>
      <c r="C878" s="111"/>
      <c r="D878" s="128"/>
      <c r="E878"/>
      <c r="F878" t="s">
        <v>11527</v>
      </c>
      <c r="G878" t="s">
        <v>11526</v>
      </c>
      <c r="H878" t="s">
        <v>5281</v>
      </c>
      <c r="I878" t="s">
        <v>11526</v>
      </c>
      <c r="J878" t="s">
        <v>11527</v>
      </c>
      <c r="K878" t="s">
        <v>11465</v>
      </c>
    </row>
    <row r="879" spans="1:11" s="1" customFormat="1" x14ac:dyDescent="0.25">
      <c r="A879" t="s">
        <v>11528</v>
      </c>
      <c r="B879" t="s">
        <v>11529</v>
      </c>
      <c r="C879" s="111"/>
      <c r="D879" s="128"/>
      <c r="E879">
        <v>0</v>
      </c>
      <c r="F879" t="s">
        <v>11530</v>
      </c>
      <c r="G879" t="s">
        <v>11529</v>
      </c>
      <c r="H879" t="s">
        <v>5281</v>
      </c>
      <c r="I879" t="s">
        <v>11529</v>
      </c>
      <c r="J879" t="s">
        <v>11530</v>
      </c>
      <c r="K879" t="s">
        <v>8397</v>
      </c>
    </row>
    <row r="880" spans="1:11" s="1" customFormat="1" x14ac:dyDescent="0.25">
      <c r="A880" t="s">
        <v>11531</v>
      </c>
      <c r="B880" t="s">
        <v>11532</v>
      </c>
      <c r="C880" s="111"/>
      <c r="D880" s="128"/>
      <c r="E880"/>
      <c r="F880" t="s">
        <v>11534</v>
      </c>
      <c r="G880" t="s">
        <v>11533</v>
      </c>
      <c r="H880" t="s">
        <v>5281</v>
      </c>
      <c r="I880" t="s">
        <v>11532</v>
      </c>
      <c r="J880" t="s">
        <v>11534</v>
      </c>
      <c r="K880" t="s">
        <v>8454</v>
      </c>
    </row>
    <row r="881" spans="1:11" s="1" customFormat="1" x14ac:dyDescent="0.25">
      <c r="A881" t="s">
        <v>11535</v>
      </c>
      <c r="B881" t="s">
        <v>11536</v>
      </c>
      <c r="C881" s="111"/>
      <c r="D881" s="128"/>
      <c r="E881">
        <v>2112</v>
      </c>
      <c r="F881" t="s">
        <v>11538</v>
      </c>
      <c r="G881" t="s">
        <v>11536</v>
      </c>
      <c r="H881" t="s">
        <v>11537</v>
      </c>
      <c r="I881" t="s">
        <v>11536</v>
      </c>
      <c r="J881" t="s">
        <v>11538</v>
      </c>
      <c r="K881" t="s">
        <v>13163</v>
      </c>
    </row>
    <row r="882" spans="1:11" s="1" customFormat="1" x14ac:dyDescent="0.25">
      <c r="A882" t="s">
        <v>11539</v>
      </c>
      <c r="B882" t="s">
        <v>11540</v>
      </c>
      <c r="C882" s="111"/>
      <c r="D882" s="128"/>
      <c r="E882">
        <v>0</v>
      </c>
      <c r="F882" t="s">
        <v>11541</v>
      </c>
      <c r="G882" t="s">
        <v>11540</v>
      </c>
      <c r="H882" t="s">
        <v>11537</v>
      </c>
      <c r="I882" t="s">
        <v>11540</v>
      </c>
      <c r="J882" t="s">
        <v>11541</v>
      </c>
      <c r="K882" t="s">
        <v>8087</v>
      </c>
    </row>
    <row r="883" spans="1:11" s="1" customFormat="1" x14ac:dyDescent="0.25">
      <c r="A883" t="s">
        <v>11542</v>
      </c>
      <c r="B883" t="s">
        <v>11543</v>
      </c>
      <c r="C883" s="111"/>
      <c r="D883" s="128"/>
      <c r="E883">
        <v>334</v>
      </c>
      <c r="F883" t="s">
        <v>11544</v>
      </c>
      <c r="G883" t="s">
        <v>11543</v>
      </c>
      <c r="H883" t="s">
        <v>11537</v>
      </c>
      <c r="I883" t="s">
        <v>11543</v>
      </c>
      <c r="J883" t="s">
        <v>11544</v>
      </c>
      <c r="K883" t="s">
        <v>11543</v>
      </c>
    </row>
    <row r="884" spans="1:11" s="1" customFormat="1" x14ac:dyDescent="0.25">
      <c r="A884" t="s">
        <v>11545</v>
      </c>
      <c r="B884" t="s">
        <v>11546</v>
      </c>
      <c r="C884" s="111"/>
      <c r="D884" s="128"/>
      <c r="E884">
        <v>877</v>
      </c>
      <c r="F884" t="s">
        <v>11547</v>
      </c>
      <c r="G884" t="s">
        <v>8792</v>
      </c>
      <c r="H884" t="s">
        <v>11537</v>
      </c>
      <c r="I884" t="s">
        <v>11546</v>
      </c>
      <c r="J884" t="s">
        <v>11547</v>
      </c>
      <c r="K884" t="s">
        <v>13231</v>
      </c>
    </row>
    <row r="885" spans="1:11" s="1" customFormat="1" x14ac:dyDescent="0.25">
      <c r="A885" t="s">
        <v>11548</v>
      </c>
      <c r="B885" t="s">
        <v>11549</v>
      </c>
      <c r="C885" s="111"/>
      <c r="D885" s="128"/>
      <c r="E885">
        <v>0</v>
      </c>
      <c r="F885" t="s">
        <v>11550</v>
      </c>
      <c r="G885" t="s">
        <v>11549</v>
      </c>
      <c r="H885" t="s">
        <v>11537</v>
      </c>
      <c r="I885" t="s">
        <v>11549</v>
      </c>
      <c r="J885" t="s">
        <v>11550</v>
      </c>
      <c r="K885" t="s">
        <v>11543</v>
      </c>
    </row>
    <row r="886" spans="1:11" s="1" customFormat="1" x14ac:dyDescent="0.25">
      <c r="A886" t="s">
        <v>11551</v>
      </c>
      <c r="B886" t="s">
        <v>11552</v>
      </c>
      <c r="C886" s="111"/>
      <c r="D886" s="128"/>
      <c r="E886">
        <v>0</v>
      </c>
      <c r="F886" t="s">
        <v>11554</v>
      </c>
      <c r="G886" t="s">
        <v>11553</v>
      </c>
      <c r="H886" t="s">
        <v>11537</v>
      </c>
      <c r="I886" t="s">
        <v>11552</v>
      </c>
      <c r="J886" t="s">
        <v>11554</v>
      </c>
      <c r="K886" t="s">
        <v>13232</v>
      </c>
    </row>
    <row r="887" spans="1:11" s="1" customFormat="1" x14ac:dyDescent="0.25">
      <c r="A887" t="s">
        <v>11555</v>
      </c>
      <c r="B887" t="s">
        <v>10799</v>
      </c>
      <c r="C887" s="111"/>
      <c r="D887" s="128"/>
      <c r="E887">
        <v>0</v>
      </c>
      <c r="F887" t="s">
        <v>11556</v>
      </c>
      <c r="G887" t="s">
        <v>10799</v>
      </c>
      <c r="H887" t="s">
        <v>11537</v>
      </c>
      <c r="I887" t="s">
        <v>10799</v>
      </c>
      <c r="J887" t="s">
        <v>11556</v>
      </c>
      <c r="K887" t="s">
        <v>11564</v>
      </c>
    </row>
    <row r="888" spans="1:11" s="1" customFormat="1" x14ac:dyDescent="0.25">
      <c r="A888" t="s">
        <v>11557</v>
      </c>
      <c r="B888" t="s">
        <v>11558</v>
      </c>
      <c r="C888" s="111"/>
      <c r="D888" s="128"/>
      <c r="E888">
        <v>200</v>
      </c>
      <c r="F888" t="s">
        <v>11559</v>
      </c>
      <c r="G888" t="s">
        <v>11558</v>
      </c>
      <c r="H888" t="s">
        <v>11537</v>
      </c>
      <c r="I888" t="s">
        <v>11558</v>
      </c>
      <c r="J888" t="s">
        <v>11559</v>
      </c>
      <c r="K888" t="s">
        <v>13231</v>
      </c>
    </row>
    <row r="889" spans="1:11" s="1" customFormat="1" x14ac:dyDescent="0.25">
      <c r="A889" t="s">
        <v>11560</v>
      </c>
      <c r="B889" t="s">
        <v>11561</v>
      </c>
      <c r="C889" s="111"/>
      <c r="D889" s="128"/>
      <c r="E889">
        <v>376</v>
      </c>
      <c r="F889" t="s">
        <v>11562</v>
      </c>
      <c r="G889" t="s">
        <v>11561</v>
      </c>
      <c r="H889" t="s">
        <v>11537</v>
      </c>
      <c r="I889" t="s">
        <v>11561</v>
      </c>
      <c r="J889" t="s">
        <v>11562</v>
      </c>
      <c r="K889" t="s">
        <v>11620</v>
      </c>
    </row>
    <row r="890" spans="1:11" s="1" customFormat="1" x14ac:dyDescent="0.25">
      <c r="A890" t="s">
        <v>11563</v>
      </c>
      <c r="B890" t="s">
        <v>11564</v>
      </c>
      <c r="C890" s="111"/>
      <c r="D890" s="128"/>
      <c r="E890">
        <v>710</v>
      </c>
      <c r="F890" t="s">
        <v>11565</v>
      </c>
      <c r="G890" t="s">
        <v>11564</v>
      </c>
      <c r="H890" t="s">
        <v>11537</v>
      </c>
      <c r="I890" t="s">
        <v>11564</v>
      </c>
      <c r="J890" t="s">
        <v>11565</v>
      </c>
      <c r="K890" t="s">
        <v>11564</v>
      </c>
    </row>
    <row r="891" spans="1:11" s="1" customFormat="1" x14ac:dyDescent="0.25">
      <c r="A891" t="s">
        <v>11566</v>
      </c>
      <c r="B891" t="s">
        <v>11567</v>
      </c>
      <c r="C891" s="111"/>
      <c r="D891" s="128"/>
      <c r="E891">
        <v>584</v>
      </c>
      <c r="F891" t="s">
        <v>11568</v>
      </c>
      <c r="G891" t="s">
        <v>11567</v>
      </c>
      <c r="H891" t="s">
        <v>11537</v>
      </c>
      <c r="I891" t="s">
        <v>11567</v>
      </c>
      <c r="J891" t="s">
        <v>11568</v>
      </c>
      <c r="K891" t="s">
        <v>8678</v>
      </c>
    </row>
    <row r="892" spans="1:11" s="1" customFormat="1" x14ac:dyDescent="0.25">
      <c r="A892" t="s">
        <v>11569</v>
      </c>
      <c r="B892" t="s">
        <v>11570</v>
      </c>
      <c r="C892" s="111"/>
      <c r="D892" s="128"/>
      <c r="E892">
        <v>254</v>
      </c>
      <c r="F892" t="s">
        <v>11571</v>
      </c>
      <c r="G892" t="s">
        <v>11570</v>
      </c>
      <c r="H892" t="s">
        <v>11537</v>
      </c>
      <c r="I892" t="s">
        <v>11570</v>
      </c>
      <c r="J892" t="s">
        <v>11571</v>
      </c>
      <c r="K892" t="s">
        <v>13211</v>
      </c>
    </row>
    <row r="893" spans="1:11" s="1" customFormat="1" x14ac:dyDescent="0.25">
      <c r="A893" t="s">
        <v>11572</v>
      </c>
      <c r="B893" t="s">
        <v>11573</v>
      </c>
      <c r="C893" s="111"/>
      <c r="D893" s="128"/>
      <c r="E893">
        <v>0</v>
      </c>
      <c r="F893" t="s">
        <v>11574</v>
      </c>
      <c r="G893" t="s">
        <v>8087</v>
      </c>
      <c r="H893" t="s">
        <v>11537</v>
      </c>
      <c r="I893" t="s">
        <v>11573</v>
      </c>
      <c r="J893" t="s">
        <v>11574</v>
      </c>
      <c r="K893" t="s">
        <v>8087</v>
      </c>
    </row>
    <row r="894" spans="1:11" s="1" customFormat="1" x14ac:dyDescent="0.25">
      <c r="A894" t="s">
        <v>11575</v>
      </c>
      <c r="B894" t="s">
        <v>11576</v>
      </c>
      <c r="C894" s="111"/>
      <c r="D894" s="128"/>
      <c r="E894">
        <v>133</v>
      </c>
      <c r="F894" t="s">
        <v>11578</v>
      </c>
      <c r="G894" t="s">
        <v>11577</v>
      </c>
      <c r="H894" t="s">
        <v>11537</v>
      </c>
      <c r="I894" t="s">
        <v>11576</v>
      </c>
      <c r="J894" t="s">
        <v>11578</v>
      </c>
      <c r="K894" t="s">
        <v>11601</v>
      </c>
    </row>
    <row r="895" spans="1:11" s="1" customFormat="1" x14ac:dyDescent="0.25">
      <c r="A895" t="s">
        <v>11579</v>
      </c>
      <c r="B895" t="s">
        <v>11580</v>
      </c>
      <c r="C895" s="111"/>
      <c r="D895" s="128"/>
      <c r="E895">
        <v>0</v>
      </c>
      <c r="F895" t="s">
        <v>11581</v>
      </c>
      <c r="G895" t="s">
        <v>11580</v>
      </c>
      <c r="H895" t="s">
        <v>11537</v>
      </c>
      <c r="I895" t="s">
        <v>11580</v>
      </c>
      <c r="J895" t="s">
        <v>11581</v>
      </c>
      <c r="K895" t="s">
        <v>10713</v>
      </c>
    </row>
    <row r="896" spans="1:11" s="1" customFormat="1" x14ac:dyDescent="0.25">
      <c r="A896" t="s">
        <v>11582</v>
      </c>
      <c r="B896" t="s">
        <v>11583</v>
      </c>
      <c r="C896" s="111"/>
      <c r="D896" s="128"/>
      <c r="E896">
        <v>0</v>
      </c>
      <c r="F896" t="s">
        <v>11584</v>
      </c>
      <c r="G896" t="s">
        <v>11583</v>
      </c>
      <c r="H896" t="s">
        <v>11537</v>
      </c>
      <c r="I896" t="s">
        <v>11583</v>
      </c>
      <c r="J896" t="s">
        <v>11584</v>
      </c>
      <c r="K896" t="s">
        <v>11639</v>
      </c>
    </row>
    <row r="897" spans="1:11" s="1" customFormat="1" x14ac:dyDescent="0.25">
      <c r="A897" t="s">
        <v>11585</v>
      </c>
      <c r="B897" t="s">
        <v>11586</v>
      </c>
      <c r="C897" s="111"/>
      <c r="D897" s="128"/>
      <c r="E897">
        <v>1000</v>
      </c>
      <c r="F897" t="s">
        <v>11588</v>
      </c>
      <c r="G897" t="s">
        <v>11587</v>
      </c>
      <c r="H897" t="s">
        <v>11537</v>
      </c>
      <c r="I897" t="s">
        <v>11586</v>
      </c>
      <c r="J897" t="s">
        <v>11588</v>
      </c>
      <c r="K897" t="s">
        <v>13231</v>
      </c>
    </row>
    <row r="898" spans="1:11" s="1" customFormat="1" x14ac:dyDescent="0.25">
      <c r="A898" t="s">
        <v>11589</v>
      </c>
      <c r="B898" t="s">
        <v>11590</v>
      </c>
      <c r="C898" s="111"/>
      <c r="D898" s="128"/>
      <c r="E898">
        <v>1690</v>
      </c>
      <c r="F898" t="s">
        <v>11592</v>
      </c>
      <c r="G898" t="s">
        <v>11591</v>
      </c>
      <c r="H898" t="s">
        <v>11537</v>
      </c>
      <c r="I898" t="s">
        <v>11590</v>
      </c>
      <c r="J898" t="s">
        <v>11592</v>
      </c>
      <c r="K898" t="s">
        <v>11591</v>
      </c>
    </row>
    <row r="899" spans="1:11" s="1" customFormat="1" x14ac:dyDescent="0.25">
      <c r="A899" t="s">
        <v>11593</v>
      </c>
      <c r="B899" t="s">
        <v>11594</v>
      </c>
      <c r="C899" s="111"/>
      <c r="D899" s="128"/>
      <c r="E899">
        <v>0</v>
      </c>
      <c r="F899" t="s">
        <v>11595</v>
      </c>
      <c r="G899" t="s">
        <v>11594</v>
      </c>
      <c r="H899" t="s">
        <v>11537</v>
      </c>
      <c r="I899" t="s">
        <v>11594</v>
      </c>
      <c r="J899" t="s">
        <v>11595</v>
      </c>
      <c r="K899" t="s">
        <v>13233</v>
      </c>
    </row>
    <row r="900" spans="1:11" s="1" customFormat="1" x14ac:dyDescent="0.25">
      <c r="A900" t="s">
        <v>11596</v>
      </c>
      <c r="B900" t="s">
        <v>11597</v>
      </c>
      <c r="C900" s="111"/>
      <c r="D900" s="128"/>
      <c r="E900">
        <v>1842</v>
      </c>
      <c r="F900" t="s">
        <v>11599</v>
      </c>
      <c r="G900" t="s">
        <v>11598</v>
      </c>
      <c r="H900" t="s">
        <v>11537</v>
      </c>
      <c r="I900" t="s">
        <v>11597</v>
      </c>
      <c r="J900" t="s">
        <v>11599</v>
      </c>
      <c r="K900" t="s">
        <v>11639</v>
      </c>
    </row>
    <row r="901" spans="1:11" s="1" customFormat="1" x14ac:dyDescent="0.25">
      <c r="A901" t="s">
        <v>11600</v>
      </c>
      <c r="B901" t="s">
        <v>11601</v>
      </c>
      <c r="C901" s="111"/>
      <c r="D901" s="128"/>
      <c r="E901">
        <v>384</v>
      </c>
      <c r="F901" t="s">
        <v>11603</v>
      </c>
      <c r="G901" t="s">
        <v>11602</v>
      </c>
      <c r="H901" t="s">
        <v>11537</v>
      </c>
      <c r="I901" t="s">
        <v>11601</v>
      </c>
      <c r="J901" t="s">
        <v>11603</v>
      </c>
      <c r="K901" t="s">
        <v>11601</v>
      </c>
    </row>
    <row r="902" spans="1:11" s="1" customFormat="1" x14ac:dyDescent="0.25">
      <c r="A902" t="s">
        <v>11604</v>
      </c>
      <c r="B902" t="s">
        <v>11605</v>
      </c>
      <c r="C902" s="111"/>
      <c r="D902" s="128"/>
      <c r="E902">
        <v>100</v>
      </c>
      <c r="F902" t="s">
        <v>11606</v>
      </c>
      <c r="G902" t="s">
        <v>11605</v>
      </c>
      <c r="H902" t="s">
        <v>11537</v>
      </c>
      <c r="I902" t="s">
        <v>11605</v>
      </c>
      <c r="J902" t="s">
        <v>11606</v>
      </c>
      <c r="K902" t="s">
        <v>11642</v>
      </c>
    </row>
    <row r="903" spans="1:11" s="1" customFormat="1" x14ac:dyDescent="0.25">
      <c r="A903" t="s">
        <v>11607</v>
      </c>
      <c r="B903" t="s">
        <v>11608</v>
      </c>
      <c r="C903" s="111"/>
      <c r="D903" s="128"/>
      <c r="E903">
        <v>650</v>
      </c>
      <c r="F903" t="s">
        <v>11609</v>
      </c>
      <c r="G903" t="s">
        <v>11608</v>
      </c>
      <c r="H903" t="s">
        <v>11537</v>
      </c>
      <c r="I903" t="s">
        <v>11608</v>
      </c>
      <c r="J903" t="s">
        <v>11609</v>
      </c>
      <c r="K903" t="s">
        <v>11639</v>
      </c>
    </row>
    <row r="904" spans="1:11" s="1" customFormat="1" x14ac:dyDescent="0.25">
      <c r="A904" t="s">
        <v>11610</v>
      </c>
      <c r="B904" t="s">
        <v>11611</v>
      </c>
      <c r="C904" s="111"/>
      <c r="D904" s="128"/>
      <c r="E904">
        <v>1</v>
      </c>
      <c r="F904" t="s">
        <v>11612</v>
      </c>
      <c r="G904" t="s">
        <v>8678</v>
      </c>
      <c r="H904" t="s">
        <v>11537</v>
      </c>
      <c r="I904" t="s">
        <v>11611</v>
      </c>
      <c r="J904" t="s">
        <v>11612</v>
      </c>
      <c r="K904" t="s">
        <v>8678</v>
      </c>
    </row>
    <row r="905" spans="1:11" s="1" customFormat="1" x14ac:dyDescent="0.25">
      <c r="A905" t="s">
        <v>11613</v>
      </c>
      <c r="B905" t="s">
        <v>8303</v>
      </c>
      <c r="C905" s="111"/>
      <c r="D905" s="128"/>
      <c r="E905">
        <v>351</v>
      </c>
      <c r="F905" t="s">
        <v>11614</v>
      </c>
      <c r="G905" t="s">
        <v>8303</v>
      </c>
      <c r="H905" t="s">
        <v>11537</v>
      </c>
      <c r="I905" t="s">
        <v>8303</v>
      </c>
      <c r="J905" t="s">
        <v>11614</v>
      </c>
      <c r="K905" t="s">
        <v>11601</v>
      </c>
    </row>
    <row r="906" spans="1:11" s="1" customFormat="1" x14ac:dyDescent="0.25">
      <c r="A906" t="s">
        <v>11615</v>
      </c>
      <c r="B906" t="s">
        <v>11616</v>
      </c>
      <c r="C906" s="111"/>
      <c r="D906" s="128"/>
      <c r="E906">
        <v>1</v>
      </c>
      <c r="F906" t="s">
        <v>11617</v>
      </c>
      <c r="G906" t="s">
        <v>11616</v>
      </c>
      <c r="H906" t="s">
        <v>11537</v>
      </c>
      <c r="I906" t="s">
        <v>11616</v>
      </c>
      <c r="J906" t="s">
        <v>11617</v>
      </c>
      <c r="K906" t="s">
        <v>11616</v>
      </c>
    </row>
    <row r="907" spans="1:11" s="1" customFormat="1" x14ac:dyDescent="0.25">
      <c r="A907" t="s">
        <v>11618</v>
      </c>
      <c r="B907" t="s">
        <v>11619</v>
      </c>
      <c r="C907" s="111"/>
      <c r="D907" s="128"/>
      <c r="E907">
        <v>205</v>
      </c>
      <c r="F907" t="s">
        <v>11621</v>
      </c>
      <c r="G907" t="s">
        <v>11620</v>
      </c>
      <c r="H907" t="s">
        <v>11537</v>
      </c>
      <c r="I907" t="s">
        <v>11619</v>
      </c>
      <c r="J907" t="s">
        <v>11621</v>
      </c>
      <c r="K907" t="s">
        <v>11620</v>
      </c>
    </row>
    <row r="908" spans="1:11" s="1" customFormat="1" x14ac:dyDescent="0.25">
      <c r="A908" t="s">
        <v>11622</v>
      </c>
      <c r="B908" t="s">
        <v>11623</v>
      </c>
      <c r="C908" s="111"/>
      <c r="D908" s="128"/>
      <c r="E908">
        <v>0</v>
      </c>
      <c r="F908" t="s">
        <v>11624</v>
      </c>
      <c r="G908" t="s">
        <v>11536</v>
      </c>
      <c r="H908" t="s">
        <v>11537</v>
      </c>
      <c r="I908" t="s">
        <v>11623</v>
      </c>
      <c r="J908" t="s">
        <v>11624</v>
      </c>
      <c r="K908" t="s">
        <v>13163</v>
      </c>
    </row>
    <row r="909" spans="1:11" s="1" customFormat="1" x14ac:dyDescent="0.25">
      <c r="A909" t="s">
        <v>11625</v>
      </c>
      <c r="B909" t="s">
        <v>11626</v>
      </c>
      <c r="C909" s="111"/>
      <c r="D909" s="128"/>
      <c r="E909">
        <v>3842</v>
      </c>
      <c r="F909" t="s">
        <v>11627</v>
      </c>
      <c r="G909" t="s">
        <v>11536</v>
      </c>
      <c r="H909" t="s">
        <v>11537</v>
      </c>
      <c r="I909" t="s">
        <v>11626</v>
      </c>
      <c r="J909" t="s">
        <v>11627</v>
      </c>
      <c r="K909" t="s">
        <v>13163</v>
      </c>
    </row>
    <row r="910" spans="1:11" s="1" customFormat="1" x14ac:dyDescent="0.25">
      <c r="A910" t="s">
        <v>11628</v>
      </c>
      <c r="B910" t="s">
        <v>11629</v>
      </c>
      <c r="C910" s="111"/>
      <c r="D910" s="128"/>
      <c r="E910">
        <v>100</v>
      </c>
      <c r="F910" t="s">
        <v>11631</v>
      </c>
      <c r="G910" t="s">
        <v>11630</v>
      </c>
      <c r="H910" t="s">
        <v>11537</v>
      </c>
      <c r="I910" t="s">
        <v>11629</v>
      </c>
      <c r="J910" t="s">
        <v>11631</v>
      </c>
      <c r="K910" t="s">
        <v>11601</v>
      </c>
    </row>
    <row r="911" spans="1:11" s="1" customFormat="1" x14ac:dyDescent="0.25">
      <c r="A911" t="s">
        <v>11632</v>
      </c>
      <c r="B911" t="s">
        <v>11633</v>
      </c>
      <c r="C911" s="111"/>
      <c r="D911" s="128"/>
      <c r="E911">
        <v>0</v>
      </c>
      <c r="F911" t="s">
        <v>11634</v>
      </c>
      <c r="G911" t="s">
        <v>11633</v>
      </c>
      <c r="H911" t="s">
        <v>11537</v>
      </c>
      <c r="I911" t="s">
        <v>11633</v>
      </c>
      <c r="J911" t="s">
        <v>11634</v>
      </c>
      <c r="K911" t="s">
        <v>11616</v>
      </c>
    </row>
    <row r="912" spans="1:11" s="1" customFormat="1" x14ac:dyDescent="0.25">
      <c r="A912" t="s">
        <v>11635</v>
      </c>
      <c r="B912" t="s">
        <v>11636</v>
      </c>
      <c r="C912" s="111"/>
      <c r="D912" s="128"/>
      <c r="E912">
        <v>115</v>
      </c>
      <c r="F912" t="s">
        <v>11637</v>
      </c>
      <c r="G912" t="s">
        <v>11636</v>
      </c>
      <c r="H912" t="s">
        <v>11537</v>
      </c>
      <c r="I912" t="s">
        <v>11636</v>
      </c>
      <c r="J912" t="s">
        <v>11637</v>
      </c>
      <c r="K912" t="s">
        <v>13211</v>
      </c>
    </row>
    <row r="913" spans="1:11" s="1" customFormat="1" x14ac:dyDescent="0.25">
      <c r="A913" t="s">
        <v>11638</v>
      </c>
      <c r="B913" t="s">
        <v>11639</v>
      </c>
      <c r="C913" s="111"/>
      <c r="D913" s="128"/>
      <c r="E913">
        <v>500</v>
      </c>
      <c r="F913" t="s">
        <v>11640</v>
      </c>
      <c r="G913" t="s">
        <v>11639</v>
      </c>
      <c r="H913" t="s">
        <v>11537</v>
      </c>
      <c r="I913" t="s">
        <v>11639</v>
      </c>
      <c r="J913" t="s">
        <v>11640</v>
      </c>
      <c r="K913" t="s">
        <v>11639</v>
      </c>
    </row>
    <row r="914" spans="1:11" s="1" customFormat="1" x14ac:dyDescent="0.25">
      <c r="A914" t="s">
        <v>11641</v>
      </c>
      <c r="B914" t="s">
        <v>11642</v>
      </c>
      <c r="C914" s="3"/>
      <c r="D914" s="128"/>
      <c r="E914">
        <v>691</v>
      </c>
      <c r="F914" t="s">
        <v>11643</v>
      </c>
      <c r="G914" t="s">
        <v>11642</v>
      </c>
      <c r="H914" t="s">
        <v>11537</v>
      </c>
      <c r="I914" t="s">
        <v>11642</v>
      </c>
      <c r="J914" t="s">
        <v>11643</v>
      </c>
      <c r="K914" t="s">
        <v>11642</v>
      </c>
    </row>
    <row r="915" spans="1:11" s="1" customFormat="1" x14ac:dyDescent="0.25">
      <c r="A915" t="s">
        <v>11644</v>
      </c>
      <c r="B915" t="s">
        <v>9800</v>
      </c>
      <c r="C915" s="3"/>
      <c r="D915" s="128"/>
      <c r="E915">
        <v>200</v>
      </c>
      <c r="F915" t="s">
        <v>11645</v>
      </c>
      <c r="G915" t="s">
        <v>9800</v>
      </c>
      <c r="H915" t="s">
        <v>11537</v>
      </c>
      <c r="I915" t="s">
        <v>9800</v>
      </c>
      <c r="J915" t="s">
        <v>11645</v>
      </c>
      <c r="K915" t="s">
        <v>11543</v>
      </c>
    </row>
    <row r="916" spans="1:11" s="1" customFormat="1" x14ac:dyDescent="0.25">
      <c r="A916" t="s">
        <v>11646</v>
      </c>
      <c r="B916" t="s">
        <v>8926</v>
      </c>
      <c r="C916" s="3"/>
      <c r="D916" s="128"/>
      <c r="E916">
        <v>561</v>
      </c>
      <c r="F916" t="s">
        <v>11647</v>
      </c>
      <c r="G916" t="s">
        <v>8926</v>
      </c>
      <c r="H916" t="s">
        <v>11537</v>
      </c>
      <c r="I916" t="s">
        <v>8926</v>
      </c>
      <c r="J916" t="s">
        <v>11647</v>
      </c>
      <c r="K916" t="s">
        <v>8926</v>
      </c>
    </row>
    <row r="917" spans="1:11" s="1" customFormat="1" x14ac:dyDescent="0.25">
      <c r="A917" t="s">
        <v>11648</v>
      </c>
      <c r="B917" t="s">
        <v>11649</v>
      </c>
      <c r="C917" s="3"/>
      <c r="D917" s="128"/>
      <c r="E917">
        <v>0</v>
      </c>
      <c r="F917" t="s">
        <v>11650</v>
      </c>
      <c r="G917" t="s">
        <v>11649</v>
      </c>
      <c r="H917" t="s">
        <v>11537</v>
      </c>
      <c r="I917" t="s">
        <v>11649</v>
      </c>
      <c r="J917" t="s">
        <v>11650</v>
      </c>
      <c r="K917" t="s">
        <v>11639</v>
      </c>
    </row>
    <row r="918" spans="1:11" s="1" customFormat="1" x14ac:dyDescent="0.25">
      <c r="A918" t="s">
        <v>11651</v>
      </c>
      <c r="B918" t="s">
        <v>9357</v>
      </c>
      <c r="C918" s="3"/>
      <c r="D918" s="128"/>
      <c r="E918">
        <v>297</v>
      </c>
      <c r="F918" t="s">
        <v>11652</v>
      </c>
      <c r="G918" t="s">
        <v>9357</v>
      </c>
      <c r="H918" t="s">
        <v>11537</v>
      </c>
      <c r="I918" t="s">
        <v>9357</v>
      </c>
      <c r="J918" t="s">
        <v>11652</v>
      </c>
      <c r="K918" t="s">
        <v>13233</v>
      </c>
    </row>
    <row r="919" spans="1:11" s="1" customFormat="1" x14ac:dyDescent="0.25">
      <c r="A919" t="s">
        <v>11653</v>
      </c>
      <c r="B919" t="s">
        <v>11654</v>
      </c>
      <c r="C919" s="3"/>
      <c r="D919" s="128"/>
      <c r="E919">
        <v>0</v>
      </c>
      <c r="F919" t="s">
        <v>11655</v>
      </c>
      <c r="G919" t="s">
        <v>11654</v>
      </c>
      <c r="H919" t="s">
        <v>11537</v>
      </c>
      <c r="I919" t="s">
        <v>11654</v>
      </c>
      <c r="J919" t="s">
        <v>11655</v>
      </c>
      <c r="K919" t="s">
        <v>13232</v>
      </c>
    </row>
    <row r="920" spans="1:11" s="1" customFormat="1" x14ac:dyDescent="0.25">
      <c r="A920" t="s">
        <v>11656</v>
      </c>
      <c r="B920" t="s">
        <v>11657</v>
      </c>
      <c r="C920" s="3"/>
      <c r="D920" s="128"/>
      <c r="E920">
        <v>0</v>
      </c>
      <c r="F920" t="s">
        <v>11658</v>
      </c>
      <c r="G920" t="s">
        <v>11657</v>
      </c>
      <c r="H920" t="s">
        <v>11537</v>
      </c>
      <c r="I920" t="s">
        <v>11657</v>
      </c>
      <c r="J920" t="s">
        <v>11658</v>
      </c>
      <c r="K920" t="s">
        <v>11564</v>
      </c>
    </row>
    <row r="921" spans="1:11" s="1" customFormat="1" x14ac:dyDescent="0.25">
      <c r="A921" t="s">
        <v>11022</v>
      </c>
      <c r="B921" t="s">
        <v>11023</v>
      </c>
      <c r="C921" s="3"/>
      <c r="D921" s="128"/>
      <c r="E921">
        <v>1401</v>
      </c>
      <c r="F921" t="s">
        <v>11024</v>
      </c>
      <c r="G921" t="s">
        <v>11023</v>
      </c>
      <c r="H921" t="s">
        <v>8850</v>
      </c>
      <c r="I921" t="s">
        <v>11023</v>
      </c>
      <c r="J921" t="s">
        <v>11024</v>
      </c>
      <c r="K921" t="s">
        <v>13234</v>
      </c>
    </row>
    <row r="922" spans="1:11" s="1" customFormat="1" x14ac:dyDescent="0.25">
      <c r="A922" t="s">
        <v>11025</v>
      </c>
      <c r="B922" t="s">
        <v>11026</v>
      </c>
      <c r="C922" s="3"/>
      <c r="D922" s="128"/>
      <c r="E922">
        <v>100</v>
      </c>
      <c r="F922" t="s">
        <v>11027</v>
      </c>
      <c r="G922" t="s">
        <v>11026</v>
      </c>
      <c r="H922" t="s">
        <v>8850</v>
      </c>
      <c r="I922" t="s">
        <v>11026</v>
      </c>
      <c r="J922" t="s">
        <v>11027</v>
      </c>
      <c r="K922" t="s">
        <v>11065</v>
      </c>
    </row>
    <row r="923" spans="1:11" s="1" customFormat="1" x14ac:dyDescent="0.25">
      <c r="A923" t="s">
        <v>11028</v>
      </c>
      <c r="B923" t="s">
        <v>11029</v>
      </c>
      <c r="C923" s="3"/>
      <c r="D923" s="128"/>
      <c r="E923">
        <v>0</v>
      </c>
      <c r="F923" t="s">
        <v>11030</v>
      </c>
      <c r="G923" t="s">
        <v>11029</v>
      </c>
      <c r="H923" t="s">
        <v>8850</v>
      </c>
      <c r="I923" t="s">
        <v>11029</v>
      </c>
      <c r="J923" t="s">
        <v>11030</v>
      </c>
      <c r="K923" t="s">
        <v>13235</v>
      </c>
    </row>
    <row r="924" spans="1:11" s="1" customFormat="1" x14ac:dyDescent="0.25">
      <c r="A924" t="s">
        <v>11031</v>
      </c>
      <c r="B924" t="s">
        <v>11032</v>
      </c>
      <c r="C924" s="3"/>
      <c r="D924" s="128"/>
      <c r="E924">
        <v>0</v>
      </c>
      <c r="F924" t="s">
        <v>11033</v>
      </c>
      <c r="G924" t="s">
        <v>11032</v>
      </c>
      <c r="H924" t="s">
        <v>8850</v>
      </c>
      <c r="I924" t="s">
        <v>11032</v>
      </c>
      <c r="J924" t="s">
        <v>11033</v>
      </c>
      <c r="K924" t="s">
        <v>13983</v>
      </c>
    </row>
    <row r="925" spans="1:11" s="1" customFormat="1" x14ac:dyDescent="0.25">
      <c r="A925" t="s">
        <v>11034</v>
      </c>
      <c r="B925" t="s">
        <v>8850</v>
      </c>
      <c r="C925" s="3"/>
      <c r="D925" s="128"/>
      <c r="E925">
        <v>920</v>
      </c>
      <c r="F925" t="s">
        <v>11036</v>
      </c>
      <c r="G925" t="s">
        <v>8850</v>
      </c>
      <c r="H925" t="s">
        <v>8850</v>
      </c>
      <c r="I925" t="s">
        <v>8850</v>
      </c>
      <c r="J925" t="s">
        <v>11036</v>
      </c>
      <c r="K925" t="s">
        <v>8850</v>
      </c>
    </row>
    <row r="926" spans="1:11" s="1" customFormat="1" x14ac:dyDescent="0.25">
      <c r="A926" t="s">
        <v>11037</v>
      </c>
      <c r="B926" t="s">
        <v>11038</v>
      </c>
      <c r="C926" s="3"/>
      <c r="D926" s="128"/>
      <c r="E926">
        <v>0</v>
      </c>
      <c r="F926" t="s">
        <v>11040</v>
      </c>
      <c r="G926" t="s">
        <v>11039</v>
      </c>
      <c r="H926" t="s">
        <v>8850</v>
      </c>
      <c r="I926" t="s">
        <v>11038</v>
      </c>
      <c r="J926" t="s">
        <v>11040</v>
      </c>
      <c r="K926" t="s">
        <v>13983</v>
      </c>
    </row>
    <row r="927" spans="1:11" s="1" customFormat="1" x14ac:dyDescent="0.25">
      <c r="A927" t="s">
        <v>11041</v>
      </c>
      <c r="B927" t="s">
        <v>11042</v>
      </c>
      <c r="C927" s="3"/>
      <c r="D927" s="128"/>
      <c r="E927">
        <v>0</v>
      </c>
      <c r="F927" t="s">
        <v>11043</v>
      </c>
      <c r="G927" t="s">
        <v>11042</v>
      </c>
      <c r="H927" t="s">
        <v>8850</v>
      </c>
      <c r="I927" t="s">
        <v>11042</v>
      </c>
      <c r="J927" t="s">
        <v>11043</v>
      </c>
      <c r="K927" t="s">
        <v>13236</v>
      </c>
    </row>
    <row r="928" spans="1:11" s="1" customFormat="1" x14ac:dyDescent="0.25">
      <c r="A928" t="s">
        <v>11044</v>
      </c>
      <c r="B928" t="s">
        <v>11045</v>
      </c>
      <c r="C928" s="3"/>
      <c r="D928" s="128"/>
      <c r="E928">
        <v>795</v>
      </c>
      <c r="F928" t="s">
        <v>11046</v>
      </c>
      <c r="G928" t="s">
        <v>11045</v>
      </c>
      <c r="H928" t="s">
        <v>8850</v>
      </c>
      <c r="I928" t="s">
        <v>11045</v>
      </c>
      <c r="J928" t="s">
        <v>11046</v>
      </c>
      <c r="K928" t="s">
        <v>13983</v>
      </c>
    </row>
    <row r="929" spans="1:11" s="1" customFormat="1" x14ac:dyDescent="0.25">
      <c r="A929" t="s">
        <v>11047</v>
      </c>
      <c r="B929" t="s">
        <v>11048</v>
      </c>
      <c r="C929" s="3"/>
      <c r="D929" s="128"/>
      <c r="E929">
        <v>0</v>
      </c>
      <c r="F929" t="s">
        <v>11050</v>
      </c>
      <c r="G929" t="s">
        <v>11049</v>
      </c>
      <c r="H929" t="s">
        <v>8850</v>
      </c>
      <c r="I929" t="s">
        <v>11048</v>
      </c>
      <c r="J929" t="s">
        <v>11050</v>
      </c>
      <c r="K929" t="s">
        <v>13237</v>
      </c>
    </row>
    <row r="930" spans="1:11" s="1" customFormat="1" x14ac:dyDescent="0.25">
      <c r="A930" t="s">
        <v>11051</v>
      </c>
      <c r="B930" t="s">
        <v>9841</v>
      </c>
      <c r="C930" s="3"/>
      <c r="D930" s="128"/>
      <c r="E930">
        <v>0</v>
      </c>
      <c r="F930" t="s">
        <v>11052</v>
      </c>
      <c r="G930" t="s">
        <v>9841</v>
      </c>
      <c r="H930" t="s">
        <v>8850</v>
      </c>
      <c r="I930" t="s">
        <v>9841</v>
      </c>
      <c r="J930" t="s">
        <v>11052</v>
      </c>
      <c r="K930" t="s">
        <v>13234</v>
      </c>
    </row>
    <row r="931" spans="1:11" s="1" customFormat="1" x14ac:dyDescent="0.25">
      <c r="A931" t="s">
        <v>11053</v>
      </c>
      <c r="B931" t="s">
        <v>11054</v>
      </c>
      <c r="C931" s="3"/>
      <c r="D931" s="128"/>
      <c r="E931">
        <v>118</v>
      </c>
      <c r="F931" t="s">
        <v>11055</v>
      </c>
      <c r="G931" t="s">
        <v>11054</v>
      </c>
      <c r="H931" t="s">
        <v>8850</v>
      </c>
      <c r="I931" t="s">
        <v>11054</v>
      </c>
      <c r="J931" t="s">
        <v>11055</v>
      </c>
      <c r="K931" t="s">
        <v>13983</v>
      </c>
    </row>
    <row r="932" spans="1:11" s="1" customFormat="1" x14ac:dyDescent="0.25">
      <c r="A932" t="s">
        <v>11056</v>
      </c>
      <c r="B932" t="s">
        <v>13950</v>
      </c>
      <c r="C932" s="3"/>
      <c r="D932" s="128"/>
      <c r="E932"/>
      <c r="F932" t="s">
        <v>11057</v>
      </c>
      <c r="G932" t="s">
        <v>13978</v>
      </c>
      <c r="H932" t="s">
        <v>8850</v>
      </c>
      <c r="I932" t="s">
        <v>13950</v>
      </c>
      <c r="J932" t="s">
        <v>11057</v>
      </c>
      <c r="K932" t="s">
        <v>11065</v>
      </c>
    </row>
    <row r="933" spans="1:11" s="1" customFormat="1" x14ac:dyDescent="0.25">
      <c r="A933" t="s">
        <v>11058</v>
      </c>
      <c r="B933" t="s">
        <v>11059</v>
      </c>
      <c r="C933" s="3"/>
      <c r="D933" s="128"/>
      <c r="E933">
        <v>100</v>
      </c>
      <c r="F933" t="s">
        <v>11060</v>
      </c>
      <c r="G933" t="s">
        <v>11059</v>
      </c>
      <c r="H933" t="s">
        <v>8850</v>
      </c>
      <c r="I933" t="s">
        <v>11059</v>
      </c>
      <c r="J933" t="s">
        <v>11060</v>
      </c>
      <c r="K933" t="s">
        <v>13236</v>
      </c>
    </row>
    <row r="934" spans="1:11" s="1" customFormat="1" x14ac:dyDescent="0.25">
      <c r="A934" t="s">
        <v>11061</v>
      </c>
      <c r="B934" t="s">
        <v>11062</v>
      </c>
      <c r="C934" s="111"/>
      <c r="D934" s="128"/>
      <c r="E934">
        <v>0</v>
      </c>
      <c r="F934" t="s">
        <v>11063</v>
      </c>
      <c r="G934" t="s">
        <v>11062</v>
      </c>
      <c r="H934" t="s">
        <v>8850</v>
      </c>
      <c r="I934" t="s">
        <v>11062</v>
      </c>
      <c r="J934" t="s">
        <v>11063</v>
      </c>
      <c r="K934" t="s">
        <v>11065</v>
      </c>
    </row>
    <row r="935" spans="1:11" s="1" customFormat="1" x14ac:dyDescent="0.25">
      <c r="A935" t="s">
        <v>11064</v>
      </c>
      <c r="B935" t="s">
        <v>11065</v>
      </c>
      <c r="C935" s="111"/>
      <c r="D935" s="128"/>
      <c r="E935">
        <v>245</v>
      </c>
      <c r="F935" t="s">
        <v>11066</v>
      </c>
      <c r="G935" t="s">
        <v>11065</v>
      </c>
      <c r="H935" t="s">
        <v>8850</v>
      </c>
      <c r="I935" t="s">
        <v>11065</v>
      </c>
      <c r="J935" t="s">
        <v>11066</v>
      </c>
      <c r="K935" t="s">
        <v>11065</v>
      </c>
    </row>
    <row r="936" spans="1:11" s="1" customFormat="1" x14ac:dyDescent="0.25">
      <c r="A936" t="s">
        <v>11067</v>
      </c>
      <c r="B936" t="s">
        <v>11068</v>
      </c>
      <c r="C936" s="111"/>
      <c r="D936" s="128"/>
      <c r="E936">
        <v>143</v>
      </c>
      <c r="F936" t="s">
        <v>11069</v>
      </c>
      <c r="G936" t="s">
        <v>11068</v>
      </c>
      <c r="H936" t="s">
        <v>8850</v>
      </c>
      <c r="I936" t="s">
        <v>11068</v>
      </c>
      <c r="J936" t="s">
        <v>11069</v>
      </c>
      <c r="K936" t="s">
        <v>13983</v>
      </c>
    </row>
    <row r="937" spans="1:11" s="1" customFormat="1" x14ac:dyDescent="0.25">
      <c r="A937" t="s">
        <v>11070</v>
      </c>
      <c r="B937" t="s">
        <v>11071</v>
      </c>
      <c r="C937" s="111"/>
      <c r="D937" s="128"/>
      <c r="E937">
        <v>0</v>
      </c>
      <c r="F937" t="s">
        <v>11073</v>
      </c>
      <c r="G937" t="s">
        <v>11072</v>
      </c>
      <c r="H937" t="s">
        <v>8850</v>
      </c>
      <c r="I937" t="s">
        <v>11071</v>
      </c>
      <c r="J937" t="s">
        <v>11073</v>
      </c>
      <c r="K937" t="s">
        <v>13234</v>
      </c>
    </row>
    <row r="938" spans="1:11" s="1" customFormat="1" x14ac:dyDescent="0.25">
      <c r="A938" t="s">
        <v>11074</v>
      </c>
      <c r="B938" t="s">
        <v>11075</v>
      </c>
      <c r="C938" s="111"/>
      <c r="D938" s="128"/>
      <c r="E938">
        <v>195</v>
      </c>
      <c r="F938" t="s">
        <v>11077</v>
      </c>
      <c r="G938" t="s">
        <v>11076</v>
      </c>
      <c r="H938" t="s">
        <v>8850</v>
      </c>
      <c r="I938" t="s">
        <v>11075</v>
      </c>
      <c r="J938" t="s">
        <v>11077</v>
      </c>
      <c r="K938" t="s">
        <v>13236</v>
      </c>
    </row>
    <row r="939" spans="1:11" s="1" customFormat="1" x14ac:dyDescent="0.25">
      <c r="A939" t="s">
        <v>11078</v>
      </c>
      <c r="B939" t="s">
        <v>11079</v>
      </c>
      <c r="C939" s="111"/>
      <c r="D939" s="128"/>
      <c r="E939">
        <v>0</v>
      </c>
      <c r="F939" t="s">
        <v>11081</v>
      </c>
      <c r="G939" t="s">
        <v>11080</v>
      </c>
      <c r="H939" t="s">
        <v>8850</v>
      </c>
      <c r="I939" t="s">
        <v>11079</v>
      </c>
      <c r="J939" t="s">
        <v>11081</v>
      </c>
      <c r="K939" t="s">
        <v>13983</v>
      </c>
    </row>
    <row r="940" spans="1:11" s="1" customFormat="1" x14ac:dyDescent="0.25">
      <c r="A940" t="s">
        <v>11082</v>
      </c>
      <c r="B940" t="s">
        <v>11083</v>
      </c>
      <c r="C940" s="111"/>
      <c r="D940" s="128"/>
      <c r="E940">
        <v>0</v>
      </c>
      <c r="F940" t="s">
        <v>11084</v>
      </c>
      <c r="G940" t="s">
        <v>11083</v>
      </c>
      <c r="H940" t="s">
        <v>8850</v>
      </c>
      <c r="I940" t="s">
        <v>11083</v>
      </c>
      <c r="J940" t="s">
        <v>11084</v>
      </c>
      <c r="K940" t="s">
        <v>13235</v>
      </c>
    </row>
    <row r="941" spans="1:11" s="1" customFormat="1" x14ac:dyDescent="0.25">
      <c r="A941" t="s">
        <v>11085</v>
      </c>
      <c r="B941" t="s">
        <v>11086</v>
      </c>
      <c r="C941" s="111"/>
      <c r="D941" s="128"/>
      <c r="E941"/>
      <c r="F941" t="s">
        <v>11087</v>
      </c>
      <c r="G941" t="s">
        <v>11086</v>
      </c>
      <c r="H941" t="s">
        <v>8850</v>
      </c>
      <c r="I941" t="s">
        <v>11086</v>
      </c>
      <c r="J941" t="s">
        <v>11087</v>
      </c>
      <c r="K941" t="s">
        <v>8850</v>
      </c>
    </row>
    <row r="942" spans="1:11" s="1" customFormat="1" x14ac:dyDescent="0.25">
      <c r="A942" t="s">
        <v>11088</v>
      </c>
      <c r="B942" t="s">
        <v>11089</v>
      </c>
      <c r="C942" s="111"/>
      <c r="D942" s="128"/>
      <c r="E942"/>
      <c r="F942" t="s">
        <v>11091</v>
      </c>
      <c r="G942" t="s">
        <v>11090</v>
      </c>
      <c r="H942" t="s">
        <v>8850</v>
      </c>
      <c r="I942" t="s">
        <v>11089</v>
      </c>
      <c r="J942" t="s">
        <v>11091</v>
      </c>
      <c r="K942" t="s">
        <v>13236</v>
      </c>
    </row>
    <row r="943" spans="1:11" s="1" customFormat="1" x14ac:dyDescent="0.25">
      <c r="A943" t="s">
        <v>11092</v>
      </c>
      <c r="B943" t="s">
        <v>11093</v>
      </c>
      <c r="C943" s="111"/>
      <c r="D943" s="128"/>
      <c r="E943"/>
      <c r="F943" t="s">
        <v>11094</v>
      </c>
      <c r="G943" t="s">
        <v>11093</v>
      </c>
      <c r="H943" t="s">
        <v>8850</v>
      </c>
      <c r="I943" t="s">
        <v>11093</v>
      </c>
      <c r="J943" t="s">
        <v>11094</v>
      </c>
      <c r="K943" t="s">
        <v>8850</v>
      </c>
    </row>
    <row r="944" spans="1:11" s="1" customFormat="1" x14ac:dyDescent="0.25">
      <c r="A944" t="s">
        <v>11095</v>
      </c>
      <c r="B944" t="s">
        <v>11096</v>
      </c>
      <c r="C944" s="111"/>
      <c r="D944" s="128"/>
      <c r="E944">
        <v>0</v>
      </c>
      <c r="F944" t="s">
        <v>11097</v>
      </c>
      <c r="G944" t="s">
        <v>11096</v>
      </c>
      <c r="H944" t="s">
        <v>8850</v>
      </c>
      <c r="I944" t="s">
        <v>11096</v>
      </c>
      <c r="J944" t="s">
        <v>11097</v>
      </c>
      <c r="K944" t="s">
        <v>13235</v>
      </c>
    </row>
    <row r="945" spans="1:11" s="1" customFormat="1" x14ac:dyDescent="0.25">
      <c r="A945" t="s">
        <v>11098</v>
      </c>
      <c r="B945" t="s">
        <v>13991</v>
      </c>
      <c r="C945" s="111"/>
      <c r="D945" s="128"/>
      <c r="E945">
        <v>0</v>
      </c>
      <c r="F945" t="s">
        <v>11099</v>
      </c>
      <c r="G945" t="s">
        <v>11023</v>
      </c>
      <c r="H945" t="s">
        <v>8850</v>
      </c>
      <c r="I945" t="s">
        <v>13991</v>
      </c>
      <c r="J945" t="s">
        <v>11099</v>
      </c>
      <c r="K945" t="s">
        <v>13234</v>
      </c>
    </row>
    <row r="946" spans="1:11" s="1" customFormat="1" x14ac:dyDescent="0.25">
      <c r="A946" t="s">
        <v>11100</v>
      </c>
      <c r="B946" t="s">
        <v>11101</v>
      </c>
      <c r="C946" s="111"/>
      <c r="D946" s="128"/>
      <c r="E946">
        <v>0</v>
      </c>
      <c r="F946" t="s">
        <v>11102</v>
      </c>
      <c r="G946" t="s">
        <v>11101</v>
      </c>
      <c r="H946" t="s">
        <v>8850</v>
      </c>
      <c r="I946" t="s">
        <v>11101</v>
      </c>
      <c r="J946" t="s">
        <v>11102</v>
      </c>
      <c r="K946" t="s">
        <v>11065</v>
      </c>
    </row>
    <row r="947" spans="1:11" s="1" customFormat="1" x14ac:dyDescent="0.25">
      <c r="A947" t="s">
        <v>11103</v>
      </c>
      <c r="B947" t="s">
        <v>11104</v>
      </c>
      <c r="C947" s="111"/>
      <c r="D947" s="128"/>
      <c r="E947">
        <v>0</v>
      </c>
      <c r="F947" t="s">
        <v>11106</v>
      </c>
      <c r="G947" t="s">
        <v>11105</v>
      </c>
      <c r="H947" t="s">
        <v>8850</v>
      </c>
      <c r="I947" t="s">
        <v>11104</v>
      </c>
      <c r="J947" t="s">
        <v>11106</v>
      </c>
      <c r="K947" t="s">
        <v>13983</v>
      </c>
    </row>
    <row r="948" spans="1:11" s="1" customFormat="1" x14ac:dyDescent="0.25">
      <c r="A948" t="s">
        <v>11659</v>
      </c>
      <c r="B948" t="s">
        <v>11660</v>
      </c>
      <c r="C948" s="111"/>
      <c r="D948" s="128"/>
      <c r="E948">
        <v>101</v>
      </c>
      <c r="F948" t="s">
        <v>11661</v>
      </c>
      <c r="G948" t="s">
        <v>11660</v>
      </c>
      <c r="H948" t="s">
        <v>11660</v>
      </c>
      <c r="I948" t="s">
        <v>11660</v>
      </c>
      <c r="J948" t="s">
        <v>11661</v>
      </c>
      <c r="K948" t="s">
        <v>13238</v>
      </c>
    </row>
    <row r="949" spans="1:11" s="1" customFormat="1" x14ac:dyDescent="0.25">
      <c r="A949" t="s">
        <v>11662</v>
      </c>
      <c r="B949" t="s">
        <v>11663</v>
      </c>
      <c r="C949" s="111"/>
      <c r="D949" s="128"/>
      <c r="E949">
        <v>560</v>
      </c>
      <c r="F949" t="s">
        <v>11664</v>
      </c>
      <c r="G949" t="s">
        <v>11663</v>
      </c>
      <c r="H949" t="s">
        <v>11660</v>
      </c>
      <c r="I949" t="s">
        <v>11663</v>
      </c>
      <c r="J949" t="s">
        <v>11664</v>
      </c>
      <c r="K949" t="s">
        <v>11663</v>
      </c>
    </row>
    <row r="950" spans="1:11" s="1" customFormat="1" x14ac:dyDescent="0.25">
      <c r="A950" t="s">
        <v>11665</v>
      </c>
      <c r="B950" t="s">
        <v>11666</v>
      </c>
      <c r="C950" s="111"/>
      <c r="D950" s="128"/>
      <c r="E950">
        <v>202</v>
      </c>
      <c r="F950" t="s">
        <v>11667</v>
      </c>
      <c r="G950" t="s">
        <v>11666</v>
      </c>
      <c r="H950" t="s">
        <v>11660</v>
      </c>
      <c r="I950" t="s">
        <v>11666</v>
      </c>
      <c r="J950" t="s">
        <v>11667</v>
      </c>
      <c r="K950" t="s">
        <v>13239</v>
      </c>
    </row>
    <row r="951" spans="1:11" s="1" customFormat="1" x14ac:dyDescent="0.25">
      <c r="A951" t="s">
        <v>11668</v>
      </c>
      <c r="B951" t="s">
        <v>11669</v>
      </c>
      <c r="C951" s="111"/>
      <c r="D951" s="128"/>
      <c r="E951">
        <v>370</v>
      </c>
      <c r="F951" t="s">
        <v>11670</v>
      </c>
      <c r="G951" t="s">
        <v>11669</v>
      </c>
      <c r="H951" t="s">
        <v>11660</v>
      </c>
      <c r="I951" t="s">
        <v>11669</v>
      </c>
      <c r="J951" t="s">
        <v>11670</v>
      </c>
      <c r="K951" t="s">
        <v>13238</v>
      </c>
    </row>
    <row r="952" spans="1:11" s="1" customFormat="1" x14ac:dyDescent="0.25">
      <c r="A952" t="s">
        <v>11671</v>
      </c>
      <c r="B952" t="s">
        <v>11672</v>
      </c>
      <c r="C952" s="111"/>
      <c r="D952" s="128"/>
      <c r="E952">
        <v>518</v>
      </c>
      <c r="F952" t="s">
        <v>11673</v>
      </c>
      <c r="G952" t="s">
        <v>11672</v>
      </c>
      <c r="H952" t="s">
        <v>11660</v>
      </c>
      <c r="I952" t="s">
        <v>11672</v>
      </c>
      <c r="J952" t="s">
        <v>11673</v>
      </c>
      <c r="K952" t="s">
        <v>11672</v>
      </c>
    </row>
    <row r="953" spans="1:11" s="1" customFormat="1" x14ac:dyDescent="0.25">
      <c r="A953" t="s">
        <v>11674</v>
      </c>
      <c r="B953" t="s">
        <v>11675</v>
      </c>
      <c r="C953" s="111"/>
      <c r="D953" s="128"/>
      <c r="E953">
        <v>0</v>
      </c>
      <c r="F953" t="s">
        <v>11676</v>
      </c>
      <c r="G953" t="s">
        <v>11675</v>
      </c>
      <c r="H953" t="s">
        <v>11660</v>
      </c>
      <c r="I953" t="s">
        <v>11675</v>
      </c>
      <c r="J953" t="s">
        <v>11676</v>
      </c>
      <c r="K953" t="s">
        <v>11710</v>
      </c>
    </row>
    <row r="954" spans="1:11" s="1" customFormat="1" x14ac:dyDescent="0.25">
      <c r="A954" t="s">
        <v>11677</v>
      </c>
      <c r="B954" t="s">
        <v>11678</v>
      </c>
      <c r="C954" s="111"/>
      <c r="D954" s="128"/>
      <c r="E954">
        <v>660</v>
      </c>
      <c r="F954" t="s">
        <v>11679</v>
      </c>
      <c r="G954" t="s">
        <v>11678</v>
      </c>
      <c r="H954" t="s">
        <v>11660</v>
      </c>
      <c r="I954" t="s">
        <v>11678</v>
      </c>
      <c r="J954" t="s">
        <v>11679</v>
      </c>
      <c r="K954" t="s">
        <v>13238</v>
      </c>
    </row>
    <row r="955" spans="1:11" s="1" customFormat="1" x14ac:dyDescent="0.25">
      <c r="A955" t="s">
        <v>11680</v>
      </c>
      <c r="B955" t="s">
        <v>11681</v>
      </c>
      <c r="C955" s="111"/>
      <c r="D955" s="128"/>
      <c r="E955">
        <v>0</v>
      </c>
      <c r="F955" t="s">
        <v>11682</v>
      </c>
      <c r="G955" t="s">
        <v>11681</v>
      </c>
      <c r="H955" t="s">
        <v>11660</v>
      </c>
      <c r="I955" t="s">
        <v>11681</v>
      </c>
      <c r="J955" t="s">
        <v>11682</v>
      </c>
      <c r="K955" t="s">
        <v>13984</v>
      </c>
    </row>
    <row r="956" spans="1:11" s="1" customFormat="1" x14ac:dyDescent="0.25">
      <c r="A956" t="s">
        <v>11683</v>
      </c>
      <c r="B956" t="s">
        <v>11684</v>
      </c>
      <c r="C956" s="111"/>
      <c r="D956" s="128"/>
      <c r="E956">
        <v>305</v>
      </c>
      <c r="F956" t="s">
        <v>11685</v>
      </c>
      <c r="G956" t="s">
        <v>11684</v>
      </c>
      <c r="H956" t="s">
        <v>11660</v>
      </c>
      <c r="I956" t="s">
        <v>11684</v>
      </c>
      <c r="J956" t="s">
        <v>11685</v>
      </c>
      <c r="K956" t="s">
        <v>13240</v>
      </c>
    </row>
    <row r="957" spans="1:11" s="1" customFormat="1" x14ac:dyDescent="0.25">
      <c r="A957" t="s">
        <v>11686</v>
      </c>
      <c r="B957" t="s">
        <v>11687</v>
      </c>
      <c r="C957" s="111"/>
      <c r="D957" s="128"/>
      <c r="E957">
        <v>0</v>
      </c>
      <c r="F957" t="s">
        <v>11688</v>
      </c>
      <c r="G957" t="s">
        <v>11687</v>
      </c>
      <c r="H957" t="s">
        <v>11660</v>
      </c>
      <c r="I957" t="s">
        <v>11687</v>
      </c>
      <c r="J957" t="s">
        <v>11688</v>
      </c>
      <c r="K957" t="s">
        <v>11687</v>
      </c>
    </row>
    <row r="958" spans="1:11" s="1" customFormat="1" x14ac:dyDescent="0.25">
      <c r="A958" t="s">
        <v>11689</v>
      </c>
      <c r="B958" t="s">
        <v>11690</v>
      </c>
      <c r="C958" s="111"/>
      <c r="D958" s="128"/>
      <c r="E958">
        <v>168</v>
      </c>
      <c r="F958" t="s">
        <v>11691</v>
      </c>
      <c r="G958" t="s">
        <v>11690</v>
      </c>
      <c r="H958" t="s">
        <v>11660</v>
      </c>
      <c r="I958" t="s">
        <v>11690</v>
      </c>
      <c r="J958" t="s">
        <v>11691</v>
      </c>
      <c r="K958" t="s">
        <v>13241</v>
      </c>
    </row>
    <row r="959" spans="1:11" s="1" customFormat="1" x14ac:dyDescent="0.25">
      <c r="A959" t="s">
        <v>11692</v>
      </c>
      <c r="B959" t="s">
        <v>11693</v>
      </c>
      <c r="C959" s="111"/>
      <c r="D959" s="128"/>
      <c r="E959">
        <v>0</v>
      </c>
      <c r="F959" t="s">
        <v>11694</v>
      </c>
      <c r="G959" t="s">
        <v>11693</v>
      </c>
      <c r="H959" t="s">
        <v>11660</v>
      </c>
      <c r="I959" t="s">
        <v>11693</v>
      </c>
      <c r="J959" t="s">
        <v>11694</v>
      </c>
      <c r="K959" t="s">
        <v>11693</v>
      </c>
    </row>
    <row r="960" spans="1:11" s="1" customFormat="1" x14ac:dyDescent="0.25">
      <c r="A960" t="s">
        <v>11695</v>
      </c>
      <c r="B960" t="s">
        <v>11696</v>
      </c>
      <c r="C960" s="111"/>
      <c r="D960" s="128"/>
      <c r="E960">
        <v>497</v>
      </c>
      <c r="F960" t="s">
        <v>11697</v>
      </c>
      <c r="G960" t="s">
        <v>11696</v>
      </c>
      <c r="H960" t="s">
        <v>11660</v>
      </c>
      <c r="I960" t="s">
        <v>11696</v>
      </c>
      <c r="J960" t="s">
        <v>11697</v>
      </c>
      <c r="K960" t="s">
        <v>13238</v>
      </c>
    </row>
    <row r="961" spans="1:11" s="1" customFormat="1" x14ac:dyDescent="0.25">
      <c r="A961" t="s">
        <v>11698</v>
      </c>
      <c r="B961" t="s">
        <v>13951</v>
      </c>
      <c r="C961" s="111"/>
      <c r="D961" s="128"/>
      <c r="E961">
        <v>0</v>
      </c>
      <c r="F961" t="s">
        <v>11699</v>
      </c>
      <c r="G961" t="s">
        <v>13951</v>
      </c>
      <c r="H961" t="s">
        <v>11660</v>
      </c>
      <c r="I961" t="s">
        <v>13951</v>
      </c>
      <c r="J961" t="s">
        <v>11699</v>
      </c>
      <c r="K961" t="s">
        <v>13951</v>
      </c>
    </row>
    <row r="962" spans="1:11" s="1" customFormat="1" x14ac:dyDescent="0.25">
      <c r="A962" t="s">
        <v>11700</v>
      </c>
      <c r="B962" t="s">
        <v>11701</v>
      </c>
      <c r="C962" s="111"/>
      <c r="D962" s="128"/>
      <c r="E962">
        <v>160</v>
      </c>
      <c r="F962" t="s">
        <v>11702</v>
      </c>
      <c r="G962" t="s">
        <v>11701</v>
      </c>
      <c r="H962" t="s">
        <v>11660</v>
      </c>
      <c r="I962" t="s">
        <v>11701</v>
      </c>
      <c r="J962" t="s">
        <v>11702</v>
      </c>
      <c r="K962" t="s">
        <v>13238</v>
      </c>
    </row>
    <row r="963" spans="1:11" s="1" customFormat="1" x14ac:dyDescent="0.25">
      <c r="A963" t="s">
        <v>11703</v>
      </c>
      <c r="B963" t="s">
        <v>11704</v>
      </c>
      <c r="C963" s="111"/>
      <c r="D963" s="128"/>
      <c r="E963">
        <v>115</v>
      </c>
      <c r="F963" t="s">
        <v>11705</v>
      </c>
      <c r="G963" t="s">
        <v>11704</v>
      </c>
      <c r="H963" t="s">
        <v>11660</v>
      </c>
      <c r="I963" t="s">
        <v>11704</v>
      </c>
      <c r="J963" t="s">
        <v>11705</v>
      </c>
      <c r="K963" t="s">
        <v>13238</v>
      </c>
    </row>
    <row r="964" spans="1:11" s="1" customFormat="1" x14ac:dyDescent="0.25">
      <c r="A964" t="s">
        <v>11706</v>
      </c>
      <c r="B964" t="s">
        <v>11707</v>
      </c>
      <c r="C964" s="111"/>
      <c r="D964" s="128"/>
      <c r="E964">
        <v>0</v>
      </c>
      <c r="F964" t="s">
        <v>11708</v>
      </c>
      <c r="G964" t="s">
        <v>11707</v>
      </c>
      <c r="H964" t="s">
        <v>11660</v>
      </c>
      <c r="I964" t="s">
        <v>11707</v>
      </c>
      <c r="J964" t="s">
        <v>11708</v>
      </c>
      <c r="K964" t="s">
        <v>13238</v>
      </c>
    </row>
    <row r="965" spans="1:11" s="1" customFormat="1" x14ac:dyDescent="0.25">
      <c r="A965" t="s">
        <v>11709</v>
      </c>
      <c r="B965" t="s">
        <v>11710</v>
      </c>
      <c r="C965" s="111"/>
      <c r="D965" s="128"/>
      <c r="E965">
        <v>324</v>
      </c>
      <c r="F965" t="s">
        <v>11711</v>
      </c>
      <c r="G965" t="s">
        <v>11710</v>
      </c>
      <c r="H965" t="s">
        <v>11660</v>
      </c>
      <c r="I965" t="s">
        <v>11710</v>
      </c>
      <c r="J965" t="s">
        <v>11711</v>
      </c>
      <c r="K965" t="s">
        <v>11710</v>
      </c>
    </row>
    <row r="966" spans="1:11" s="1" customFormat="1" x14ac:dyDescent="0.25">
      <c r="A966" t="s">
        <v>11712</v>
      </c>
      <c r="B966" t="s">
        <v>11713</v>
      </c>
      <c r="C966" s="111"/>
      <c r="D966" s="128"/>
      <c r="E966">
        <v>602</v>
      </c>
      <c r="F966" t="s">
        <v>11714</v>
      </c>
      <c r="G966" t="s">
        <v>11713</v>
      </c>
      <c r="H966" t="s">
        <v>11660</v>
      </c>
      <c r="I966" t="s">
        <v>11713</v>
      </c>
      <c r="J966" t="s">
        <v>11714</v>
      </c>
      <c r="K966" t="s">
        <v>13242</v>
      </c>
    </row>
    <row r="967" spans="1:11" s="1" customFormat="1" x14ac:dyDescent="0.25">
      <c r="A967" t="s">
        <v>11715</v>
      </c>
      <c r="B967" t="s">
        <v>11716</v>
      </c>
      <c r="C967" s="111"/>
      <c r="D967" s="128"/>
      <c r="E967">
        <v>690</v>
      </c>
      <c r="F967" t="s">
        <v>11717</v>
      </c>
      <c r="G967" t="s">
        <v>11716</v>
      </c>
      <c r="H967" t="s">
        <v>11660</v>
      </c>
      <c r="I967" t="s">
        <v>11716</v>
      </c>
      <c r="J967" t="s">
        <v>11717</v>
      </c>
      <c r="K967" t="s">
        <v>13243</v>
      </c>
    </row>
    <row r="968" spans="1:11" s="1" customFormat="1" x14ac:dyDescent="0.25">
      <c r="A968" t="s">
        <v>11718</v>
      </c>
      <c r="B968" t="s">
        <v>11719</v>
      </c>
      <c r="C968" s="111"/>
      <c r="D968" s="128"/>
      <c r="E968">
        <v>0</v>
      </c>
      <c r="F968" t="s">
        <v>11720</v>
      </c>
      <c r="G968" t="s">
        <v>11719</v>
      </c>
      <c r="H968" t="s">
        <v>11660</v>
      </c>
      <c r="I968" t="s">
        <v>11719</v>
      </c>
      <c r="J968" t="s">
        <v>11720</v>
      </c>
      <c r="K968" t="s">
        <v>13244</v>
      </c>
    </row>
    <row r="969" spans="1:11" s="1" customFormat="1" x14ac:dyDescent="0.25">
      <c r="A969" t="s">
        <v>11721</v>
      </c>
      <c r="B969" t="s">
        <v>11722</v>
      </c>
      <c r="C969" s="111"/>
      <c r="D969" s="128"/>
      <c r="E969">
        <v>121</v>
      </c>
      <c r="F969" t="s">
        <v>11723</v>
      </c>
      <c r="G969" t="s">
        <v>11722</v>
      </c>
      <c r="H969" t="s">
        <v>11660</v>
      </c>
      <c r="I969" t="s">
        <v>11722</v>
      </c>
      <c r="J969" t="s">
        <v>11723</v>
      </c>
      <c r="K969" t="s">
        <v>13244</v>
      </c>
    </row>
    <row r="970" spans="1:11" s="1" customFormat="1" x14ac:dyDescent="0.25">
      <c r="A970" t="s">
        <v>11724</v>
      </c>
      <c r="B970" t="s">
        <v>11725</v>
      </c>
      <c r="C970" s="111"/>
      <c r="D970" s="128"/>
      <c r="E970">
        <v>90</v>
      </c>
      <c r="F970" t="s">
        <v>11726</v>
      </c>
      <c r="G970" t="s">
        <v>11725</v>
      </c>
      <c r="H970" t="s">
        <v>11660</v>
      </c>
      <c r="I970" t="s">
        <v>11725</v>
      </c>
      <c r="J970" t="s">
        <v>11726</v>
      </c>
      <c r="K970" t="s">
        <v>13245</v>
      </c>
    </row>
    <row r="971" spans="1:11" s="1" customFormat="1" x14ac:dyDescent="0.25">
      <c r="A971" t="s">
        <v>11727</v>
      </c>
      <c r="B971" t="s">
        <v>11728</v>
      </c>
      <c r="C971" s="111"/>
      <c r="D971" s="128"/>
      <c r="E971">
        <v>0</v>
      </c>
      <c r="F971" t="s">
        <v>11729</v>
      </c>
      <c r="G971" t="s">
        <v>11728</v>
      </c>
      <c r="H971" t="s">
        <v>11660</v>
      </c>
      <c r="I971" t="s">
        <v>11728</v>
      </c>
      <c r="J971" t="s">
        <v>11729</v>
      </c>
      <c r="K971" t="s">
        <v>13239</v>
      </c>
    </row>
    <row r="972" spans="1:11" s="1" customFormat="1" x14ac:dyDescent="0.25">
      <c r="A972" t="s">
        <v>11730</v>
      </c>
      <c r="B972" t="s">
        <v>13952</v>
      </c>
      <c r="C972" s="111"/>
      <c r="D972" s="128"/>
      <c r="E972">
        <v>0</v>
      </c>
      <c r="F972" t="s">
        <v>11731</v>
      </c>
      <c r="G972" t="s">
        <v>13952</v>
      </c>
      <c r="H972" t="s">
        <v>11660</v>
      </c>
      <c r="I972" t="s">
        <v>13952</v>
      </c>
      <c r="J972" t="s">
        <v>11731</v>
      </c>
      <c r="K972" t="s">
        <v>13951</v>
      </c>
    </row>
    <row r="973" spans="1:11" s="1" customFormat="1" x14ac:dyDescent="0.25">
      <c r="A973" t="s">
        <v>11732</v>
      </c>
      <c r="B973" t="s">
        <v>11733</v>
      </c>
      <c r="C973" s="111"/>
      <c r="D973" s="128"/>
      <c r="E973">
        <v>175</v>
      </c>
      <c r="F973" t="s">
        <v>11736</v>
      </c>
      <c r="G973" t="s">
        <v>11734</v>
      </c>
      <c r="H973" t="s">
        <v>11735</v>
      </c>
      <c r="I973" t="s">
        <v>11733</v>
      </c>
      <c r="J973" t="s">
        <v>11736</v>
      </c>
      <c r="K973" t="s">
        <v>13246</v>
      </c>
    </row>
    <row r="974" spans="1:11" s="1" customFormat="1" x14ac:dyDescent="0.25">
      <c r="A974" t="s">
        <v>11737</v>
      </c>
      <c r="B974" t="s">
        <v>11738</v>
      </c>
      <c r="C974" s="111"/>
      <c r="D974" s="128"/>
      <c r="E974">
        <v>1450</v>
      </c>
      <c r="F974" t="s">
        <v>11739</v>
      </c>
      <c r="G974" t="s">
        <v>11734</v>
      </c>
      <c r="H974" t="s">
        <v>11735</v>
      </c>
      <c r="I974" t="s">
        <v>11738</v>
      </c>
      <c r="J974" t="s">
        <v>11739</v>
      </c>
      <c r="K974" t="s">
        <v>13246</v>
      </c>
    </row>
    <row r="975" spans="1:11" s="1" customFormat="1" x14ac:dyDescent="0.25">
      <c r="A975" t="s">
        <v>11740</v>
      </c>
      <c r="B975" t="s">
        <v>11741</v>
      </c>
      <c r="C975" s="111"/>
      <c r="D975" s="128"/>
      <c r="E975">
        <v>100</v>
      </c>
      <c r="F975" t="s">
        <v>11742</v>
      </c>
      <c r="G975" t="s">
        <v>11741</v>
      </c>
      <c r="H975" t="s">
        <v>11735</v>
      </c>
      <c r="I975" t="s">
        <v>11741</v>
      </c>
      <c r="J975" t="s">
        <v>11742</v>
      </c>
      <c r="K975" t="s">
        <v>11753</v>
      </c>
    </row>
    <row r="976" spans="1:11" s="1" customFormat="1" x14ac:dyDescent="0.25">
      <c r="A976" t="s">
        <v>11743</v>
      </c>
      <c r="B976" t="s">
        <v>11744</v>
      </c>
      <c r="C976" s="111"/>
      <c r="D976" s="128"/>
      <c r="E976">
        <v>100</v>
      </c>
      <c r="F976" t="s">
        <v>11746</v>
      </c>
      <c r="G976" t="s">
        <v>11745</v>
      </c>
      <c r="H976" t="s">
        <v>11735</v>
      </c>
      <c r="I976" t="s">
        <v>11744</v>
      </c>
      <c r="J976" t="s">
        <v>11746</v>
      </c>
      <c r="K976" t="s">
        <v>8087</v>
      </c>
    </row>
    <row r="977" spans="1:11" s="1" customFormat="1" x14ac:dyDescent="0.25">
      <c r="A977" t="s">
        <v>11747</v>
      </c>
      <c r="B977" t="s">
        <v>11748</v>
      </c>
      <c r="C977" s="111"/>
      <c r="D977" s="128"/>
      <c r="E977">
        <v>900</v>
      </c>
      <c r="F977" t="s">
        <v>11749</v>
      </c>
      <c r="G977" t="s">
        <v>11748</v>
      </c>
      <c r="H977" t="s">
        <v>11735</v>
      </c>
      <c r="I977" t="s">
        <v>11748</v>
      </c>
      <c r="J977" t="s">
        <v>11749</v>
      </c>
      <c r="K977" t="s">
        <v>8087</v>
      </c>
    </row>
    <row r="978" spans="1:11" s="1" customFormat="1" x14ac:dyDescent="0.25">
      <c r="A978" t="s">
        <v>11750</v>
      </c>
      <c r="B978" t="s">
        <v>13953</v>
      </c>
      <c r="C978" s="111"/>
      <c r="D978" s="128"/>
      <c r="E978"/>
      <c r="F978" t="s">
        <v>11751</v>
      </c>
      <c r="G978" t="s">
        <v>13953</v>
      </c>
      <c r="H978" t="s">
        <v>11735</v>
      </c>
      <c r="I978" t="s">
        <v>13953</v>
      </c>
      <c r="J978" t="s">
        <v>11751</v>
      </c>
      <c r="K978" t="s">
        <v>13953</v>
      </c>
    </row>
    <row r="979" spans="1:11" s="1" customFormat="1" x14ac:dyDescent="0.25">
      <c r="A979" t="s">
        <v>11752</v>
      </c>
      <c r="B979" t="s">
        <v>11753</v>
      </c>
      <c r="C979" s="111"/>
      <c r="D979" s="128"/>
      <c r="E979"/>
      <c r="F979" t="s">
        <v>11754</v>
      </c>
      <c r="G979" t="s">
        <v>11753</v>
      </c>
      <c r="H979" t="s">
        <v>11735</v>
      </c>
      <c r="I979" t="s">
        <v>11753</v>
      </c>
      <c r="J979" t="s">
        <v>11754</v>
      </c>
      <c r="K979" t="s">
        <v>11753</v>
      </c>
    </row>
    <row r="980" spans="1:11" s="1" customFormat="1" x14ac:dyDescent="0.25">
      <c r="A980" t="s">
        <v>11755</v>
      </c>
      <c r="B980" t="s">
        <v>11756</v>
      </c>
      <c r="C980" s="111"/>
      <c r="D980" s="128"/>
      <c r="E980">
        <v>2860</v>
      </c>
      <c r="F980" t="s">
        <v>11757</v>
      </c>
      <c r="G980" t="s">
        <v>11756</v>
      </c>
      <c r="H980" t="s">
        <v>11735</v>
      </c>
      <c r="I980" t="s">
        <v>11756</v>
      </c>
      <c r="J980" t="s">
        <v>11757</v>
      </c>
      <c r="K980" t="s">
        <v>13246</v>
      </c>
    </row>
    <row r="981" spans="1:11" s="1" customFormat="1" x14ac:dyDescent="0.25">
      <c r="A981" t="s">
        <v>11758</v>
      </c>
      <c r="B981" t="s">
        <v>11759</v>
      </c>
      <c r="C981" s="111"/>
      <c r="D981" s="128"/>
      <c r="E981">
        <v>168</v>
      </c>
      <c r="F981" t="s">
        <v>11760</v>
      </c>
      <c r="G981" t="s">
        <v>11759</v>
      </c>
      <c r="H981" t="s">
        <v>11735</v>
      </c>
      <c r="I981" t="s">
        <v>11759</v>
      </c>
      <c r="J981" t="s">
        <v>11760</v>
      </c>
      <c r="K981" t="s">
        <v>10459</v>
      </c>
    </row>
    <row r="982" spans="1:11" s="1" customFormat="1" x14ac:dyDescent="0.25">
      <c r="A982" t="s">
        <v>11761</v>
      </c>
      <c r="B982" t="s">
        <v>11762</v>
      </c>
      <c r="C982" s="111"/>
      <c r="D982" s="128"/>
      <c r="E982">
        <v>201</v>
      </c>
      <c r="F982" t="s">
        <v>11763</v>
      </c>
      <c r="G982" t="s">
        <v>11762</v>
      </c>
      <c r="H982" t="s">
        <v>11735</v>
      </c>
      <c r="I982" t="s">
        <v>11762</v>
      </c>
      <c r="J982" t="s">
        <v>11763</v>
      </c>
      <c r="K982" t="s">
        <v>10459</v>
      </c>
    </row>
    <row r="983" spans="1:11" s="1" customFormat="1" x14ac:dyDescent="0.25">
      <c r="A983" t="s">
        <v>11764</v>
      </c>
      <c r="B983" t="s">
        <v>11765</v>
      </c>
      <c r="C983" s="111"/>
      <c r="D983" s="128"/>
      <c r="E983">
        <v>240</v>
      </c>
      <c r="F983" t="s">
        <v>11766</v>
      </c>
      <c r="G983" t="s">
        <v>11765</v>
      </c>
      <c r="H983" t="s">
        <v>11735</v>
      </c>
      <c r="I983" t="s">
        <v>11765</v>
      </c>
      <c r="J983" t="s">
        <v>11766</v>
      </c>
      <c r="K983" t="s">
        <v>10459</v>
      </c>
    </row>
    <row r="984" spans="1:11" s="1" customFormat="1" x14ac:dyDescent="0.25">
      <c r="A984" t="s">
        <v>11767</v>
      </c>
      <c r="B984" t="s">
        <v>11768</v>
      </c>
      <c r="C984" s="111"/>
      <c r="D984" s="128"/>
      <c r="E984">
        <v>225</v>
      </c>
      <c r="F984" t="s">
        <v>11769</v>
      </c>
      <c r="G984" t="s">
        <v>11768</v>
      </c>
      <c r="H984" t="s">
        <v>11735</v>
      </c>
      <c r="I984" t="s">
        <v>11768</v>
      </c>
      <c r="J984" t="s">
        <v>11769</v>
      </c>
      <c r="K984" t="s">
        <v>10459</v>
      </c>
    </row>
    <row r="985" spans="1:11" s="1" customFormat="1" x14ac:dyDescent="0.25">
      <c r="A985" t="s">
        <v>11770</v>
      </c>
      <c r="B985" t="s">
        <v>11771</v>
      </c>
      <c r="C985" s="111"/>
      <c r="D985" s="128"/>
      <c r="E985">
        <v>141</v>
      </c>
      <c r="F985" t="s">
        <v>11772</v>
      </c>
      <c r="G985" t="s">
        <v>11771</v>
      </c>
      <c r="H985" t="s">
        <v>11735</v>
      </c>
      <c r="I985" t="s">
        <v>11771</v>
      </c>
      <c r="J985" t="s">
        <v>11772</v>
      </c>
      <c r="K985" t="s">
        <v>8112</v>
      </c>
    </row>
    <row r="986" spans="1:11" s="1" customFormat="1" x14ac:dyDescent="0.25">
      <c r="A986" t="s">
        <v>11773</v>
      </c>
      <c r="B986" t="s">
        <v>11774</v>
      </c>
      <c r="C986" s="111"/>
      <c r="D986" s="128"/>
      <c r="E986">
        <v>22</v>
      </c>
      <c r="F986" t="s">
        <v>11775</v>
      </c>
      <c r="G986" t="s">
        <v>11774</v>
      </c>
      <c r="H986" t="s">
        <v>11735</v>
      </c>
      <c r="I986" t="s">
        <v>11774</v>
      </c>
      <c r="J986" t="s">
        <v>11775</v>
      </c>
      <c r="K986" t="s">
        <v>10459</v>
      </c>
    </row>
    <row r="987" spans="1:11" s="1" customFormat="1" x14ac:dyDescent="0.25">
      <c r="A987" t="s">
        <v>11776</v>
      </c>
      <c r="B987" t="s">
        <v>11777</v>
      </c>
      <c r="C987" s="111"/>
      <c r="D987" s="128"/>
      <c r="E987">
        <v>5</v>
      </c>
      <c r="F987" t="s">
        <v>11778</v>
      </c>
      <c r="G987" t="s">
        <v>11777</v>
      </c>
      <c r="H987" t="s">
        <v>11735</v>
      </c>
      <c r="I987" t="s">
        <v>11777</v>
      </c>
      <c r="J987" t="s">
        <v>11778</v>
      </c>
      <c r="K987" t="s">
        <v>10459</v>
      </c>
    </row>
    <row r="988" spans="1:11" s="1" customFormat="1" x14ac:dyDescent="0.25">
      <c r="A988" t="s">
        <v>11779</v>
      </c>
      <c r="B988" t="s">
        <v>11780</v>
      </c>
      <c r="C988" s="111"/>
      <c r="D988" s="128"/>
      <c r="E988">
        <v>50</v>
      </c>
      <c r="F988" t="s">
        <v>11781</v>
      </c>
      <c r="G988" t="s">
        <v>11780</v>
      </c>
      <c r="H988" t="s">
        <v>11735</v>
      </c>
      <c r="I988" t="s">
        <v>11780</v>
      </c>
      <c r="J988" t="s">
        <v>11781</v>
      </c>
      <c r="K988" t="s">
        <v>10459</v>
      </c>
    </row>
    <row r="989" spans="1:11" s="1" customFormat="1" x14ac:dyDescent="0.25">
      <c r="A989" t="s">
        <v>11782</v>
      </c>
      <c r="B989" t="s">
        <v>11783</v>
      </c>
      <c r="C989" s="111"/>
      <c r="D989" s="128"/>
      <c r="E989">
        <v>180</v>
      </c>
      <c r="F989" t="s">
        <v>11785</v>
      </c>
      <c r="G989" t="s">
        <v>11784</v>
      </c>
      <c r="H989" t="s">
        <v>11735</v>
      </c>
      <c r="I989" t="s">
        <v>11783</v>
      </c>
      <c r="J989" t="s">
        <v>11785</v>
      </c>
      <c r="K989" t="s">
        <v>10459</v>
      </c>
    </row>
    <row r="990" spans="1:11" s="1" customFormat="1" x14ac:dyDescent="0.25">
      <c r="A990" t="s">
        <v>11786</v>
      </c>
      <c r="B990" t="s">
        <v>11787</v>
      </c>
      <c r="C990" s="111"/>
      <c r="D990" s="128"/>
      <c r="E990">
        <v>400</v>
      </c>
      <c r="F990" t="s">
        <v>11789</v>
      </c>
      <c r="G990" t="s">
        <v>11788</v>
      </c>
      <c r="H990" t="s">
        <v>11735</v>
      </c>
      <c r="I990" t="s">
        <v>11787</v>
      </c>
      <c r="J990" t="s">
        <v>11789</v>
      </c>
      <c r="K990" t="s">
        <v>10459</v>
      </c>
    </row>
    <row r="991" spans="1:11" s="1" customFormat="1" x14ac:dyDescent="0.25">
      <c r="A991" t="s">
        <v>11790</v>
      </c>
      <c r="B991" t="s">
        <v>11791</v>
      </c>
      <c r="C991" s="111"/>
      <c r="D991" s="128"/>
      <c r="E991">
        <v>1462</v>
      </c>
      <c r="F991" t="s">
        <v>11792</v>
      </c>
      <c r="G991" t="s">
        <v>10459</v>
      </c>
      <c r="H991" t="s">
        <v>11735</v>
      </c>
      <c r="I991" t="s">
        <v>11791</v>
      </c>
      <c r="J991" t="s">
        <v>11792</v>
      </c>
      <c r="K991" t="s">
        <v>10459</v>
      </c>
    </row>
    <row r="992" spans="1:11" s="1" customFormat="1" x14ac:dyDescent="0.25">
      <c r="A992" t="s">
        <v>11793</v>
      </c>
      <c r="B992" t="s">
        <v>11794</v>
      </c>
      <c r="C992" s="111"/>
      <c r="D992" s="128"/>
      <c r="E992">
        <v>970</v>
      </c>
      <c r="F992" t="s">
        <v>11796</v>
      </c>
      <c r="G992" t="s">
        <v>11795</v>
      </c>
      <c r="H992" t="s">
        <v>11735</v>
      </c>
      <c r="I992" t="s">
        <v>11794</v>
      </c>
      <c r="J992" t="s">
        <v>11796</v>
      </c>
      <c r="K992" t="s">
        <v>10459</v>
      </c>
    </row>
    <row r="993" spans="1:11" s="1" customFormat="1" x14ac:dyDescent="0.25">
      <c r="A993" t="s">
        <v>11797</v>
      </c>
      <c r="B993" t="s">
        <v>11798</v>
      </c>
      <c r="C993" s="111"/>
      <c r="D993" s="128"/>
      <c r="E993">
        <v>580</v>
      </c>
      <c r="F993" t="s">
        <v>11799</v>
      </c>
      <c r="G993" t="s">
        <v>11798</v>
      </c>
      <c r="H993" t="s">
        <v>11735</v>
      </c>
      <c r="I993" t="s">
        <v>11798</v>
      </c>
      <c r="J993" t="s">
        <v>11799</v>
      </c>
      <c r="K993" t="s">
        <v>10459</v>
      </c>
    </row>
    <row r="994" spans="1:11" s="1" customFormat="1" x14ac:dyDescent="0.25">
      <c r="A994" t="s">
        <v>11800</v>
      </c>
      <c r="B994" t="s">
        <v>11801</v>
      </c>
      <c r="C994" s="111"/>
      <c r="D994" s="128"/>
      <c r="E994">
        <v>98</v>
      </c>
      <c r="F994" t="s">
        <v>11802</v>
      </c>
      <c r="G994" t="s">
        <v>11801</v>
      </c>
      <c r="H994" t="s">
        <v>11735</v>
      </c>
      <c r="I994" t="s">
        <v>11801</v>
      </c>
      <c r="J994" t="s">
        <v>11802</v>
      </c>
      <c r="K994" t="s">
        <v>10459</v>
      </c>
    </row>
    <row r="995" spans="1:11" s="1" customFormat="1" x14ac:dyDescent="0.25">
      <c r="A995" t="s">
        <v>11803</v>
      </c>
      <c r="B995" t="s">
        <v>11804</v>
      </c>
      <c r="C995" s="111"/>
      <c r="D995" s="128"/>
      <c r="E995">
        <v>446</v>
      </c>
      <c r="F995" t="s">
        <v>11805</v>
      </c>
      <c r="G995" t="s">
        <v>11804</v>
      </c>
      <c r="H995" t="s">
        <v>11735</v>
      </c>
      <c r="I995" t="s">
        <v>11804</v>
      </c>
      <c r="J995" t="s">
        <v>11805</v>
      </c>
      <c r="K995" t="s">
        <v>10459</v>
      </c>
    </row>
    <row r="996" spans="1:11" s="1" customFormat="1" x14ac:dyDescent="0.25">
      <c r="A996" t="s">
        <v>11806</v>
      </c>
      <c r="B996" t="s">
        <v>11807</v>
      </c>
      <c r="C996" s="111"/>
      <c r="D996" s="128"/>
      <c r="E996">
        <v>151</v>
      </c>
      <c r="F996" t="s">
        <v>11808</v>
      </c>
      <c r="G996" t="s">
        <v>11807</v>
      </c>
      <c r="H996" t="s">
        <v>11735</v>
      </c>
      <c r="I996" t="s">
        <v>11807</v>
      </c>
      <c r="J996" t="s">
        <v>11808</v>
      </c>
      <c r="K996" t="s">
        <v>13181</v>
      </c>
    </row>
    <row r="997" spans="1:11" s="1" customFormat="1" x14ac:dyDescent="0.25">
      <c r="A997" t="s">
        <v>11809</v>
      </c>
      <c r="B997" t="s">
        <v>11810</v>
      </c>
      <c r="C997" s="111"/>
      <c r="D997" s="128"/>
      <c r="E997">
        <v>1298</v>
      </c>
      <c r="F997" t="s">
        <v>11811</v>
      </c>
      <c r="G997" t="s">
        <v>11810</v>
      </c>
      <c r="H997" t="s">
        <v>11735</v>
      </c>
      <c r="I997" t="s">
        <v>11810</v>
      </c>
      <c r="J997" t="s">
        <v>11811</v>
      </c>
      <c r="K997" t="s">
        <v>8112</v>
      </c>
    </row>
    <row r="998" spans="1:11" s="1" customFormat="1" x14ac:dyDescent="0.25">
      <c r="A998" t="s">
        <v>11812</v>
      </c>
      <c r="B998" t="s">
        <v>11813</v>
      </c>
      <c r="C998" s="111"/>
      <c r="D998" s="128"/>
      <c r="E998">
        <v>100</v>
      </c>
      <c r="F998" t="s">
        <v>11814</v>
      </c>
      <c r="G998" t="s">
        <v>11813</v>
      </c>
      <c r="H998" t="s">
        <v>11735</v>
      </c>
      <c r="I998" t="s">
        <v>11813</v>
      </c>
      <c r="J998" t="s">
        <v>11814</v>
      </c>
      <c r="K998" t="s">
        <v>8112</v>
      </c>
    </row>
    <row r="999" spans="1:11" s="1" customFormat="1" x14ac:dyDescent="0.25">
      <c r="A999" t="s">
        <v>11815</v>
      </c>
      <c r="B999" t="s">
        <v>11816</v>
      </c>
      <c r="C999" s="111"/>
      <c r="D999" s="128"/>
      <c r="E999">
        <v>100</v>
      </c>
      <c r="F999" t="s">
        <v>11817</v>
      </c>
      <c r="G999" t="s">
        <v>11816</v>
      </c>
      <c r="H999" t="s">
        <v>11735</v>
      </c>
      <c r="I999" t="s">
        <v>11816</v>
      </c>
      <c r="J999" t="s">
        <v>11817</v>
      </c>
      <c r="K999" t="s">
        <v>8112</v>
      </c>
    </row>
    <row r="1000" spans="1:11" s="1" customFormat="1" x14ac:dyDescent="0.25">
      <c r="A1000" t="s">
        <v>11818</v>
      </c>
      <c r="B1000" t="s">
        <v>11819</v>
      </c>
      <c r="C1000" s="111"/>
      <c r="D1000" s="128"/>
      <c r="E1000">
        <v>687</v>
      </c>
      <c r="F1000" t="s">
        <v>11820</v>
      </c>
      <c r="G1000" t="s">
        <v>11819</v>
      </c>
      <c r="H1000" t="s">
        <v>11735</v>
      </c>
      <c r="I1000" t="s">
        <v>11819</v>
      </c>
      <c r="J1000" t="s">
        <v>11820</v>
      </c>
      <c r="K1000" t="s">
        <v>8087</v>
      </c>
    </row>
    <row r="1001" spans="1:11" s="1" customFormat="1" x14ac:dyDescent="0.25">
      <c r="A1001" t="s">
        <v>11821</v>
      </c>
      <c r="B1001" t="s">
        <v>11822</v>
      </c>
      <c r="C1001" s="111"/>
      <c r="D1001" s="128"/>
      <c r="E1001">
        <v>305</v>
      </c>
      <c r="F1001" t="s">
        <v>11823</v>
      </c>
      <c r="G1001" t="s">
        <v>11822</v>
      </c>
      <c r="H1001" t="s">
        <v>11735</v>
      </c>
      <c r="I1001" t="s">
        <v>11822</v>
      </c>
      <c r="J1001" t="s">
        <v>11823</v>
      </c>
      <c r="K1001" t="s">
        <v>13247</v>
      </c>
    </row>
    <row r="1002" spans="1:11" s="1" customFormat="1" x14ac:dyDescent="0.25">
      <c r="A1002" t="s">
        <v>11824</v>
      </c>
      <c r="B1002" t="s">
        <v>8432</v>
      </c>
      <c r="C1002" s="111"/>
      <c r="D1002" s="128"/>
      <c r="E1002">
        <v>377</v>
      </c>
      <c r="F1002" t="s">
        <v>11825</v>
      </c>
      <c r="G1002" t="s">
        <v>8434</v>
      </c>
      <c r="H1002" t="s">
        <v>11735</v>
      </c>
      <c r="I1002" t="s">
        <v>8432</v>
      </c>
      <c r="J1002" t="s">
        <v>11825</v>
      </c>
      <c r="K1002" t="s">
        <v>8849</v>
      </c>
    </row>
    <row r="1003" spans="1:11" s="1" customFormat="1" x14ac:dyDescent="0.25">
      <c r="A1003" t="s">
        <v>11826</v>
      </c>
      <c r="B1003" t="s">
        <v>11827</v>
      </c>
      <c r="C1003" s="111"/>
      <c r="D1003" s="128"/>
      <c r="E1003">
        <v>495</v>
      </c>
      <c r="F1003" t="s">
        <v>11828</v>
      </c>
      <c r="G1003" t="s">
        <v>11827</v>
      </c>
      <c r="H1003" t="s">
        <v>11735</v>
      </c>
      <c r="I1003" t="s">
        <v>11827</v>
      </c>
      <c r="J1003" t="s">
        <v>11828</v>
      </c>
      <c r="K1003" t="s">
        <v>13248</v>
      </c>
    </row>
    <row r="1004" spans="1:11" s="1" customFormat="1" x14ac:dyDescent="0.25">
      <c r="A1004" t="s">
        <v>11829</v>
      </c>
      <c r="B1004" t="s">
        <v>11830</v>
      </c>
      <c r="C1004" s="111"/>
      <c r="D1004" s="128"/>
      <c r="E1004">
        <v>189</v>
      </c>
      <c r="F1004" t="s">
        <v>11831</v>
      </c>
      <c r="G1004" t="s">
        <v>11830</v>
      </c>
      <c r="H1004" t="s">
        <v>11735</v>
      </c>
      <c r="I1004" t="s">
        <v>11830</v>
      </c>
      <c r="J1004" t="s">
        <v>11831</v>
      </c>
      <c r="K1004" t="s">
        <v>13247</v>
      </c>
    </row>
    <row r="1005" spans="1:11" s="1" customFormat="1" x14ac:dyDescent="0.25">
      <c r="A1005" t="s">
        <v>11832</v>
      </c>
      <c r="B1005" t="s">
        <v>11833</v>
      </c>
      <c r="C1005" s="111"/>
      <c r="D1005" s="128"/>
      <c r="E1005">
        <v>622</v>
      </c>
      <c r="F1005" t="s">
        <v>11834</v>
      </c>
      <c r="G1005" t="s">
        <v>11833</v>
      </c>
      <c r="H1005" t="s">
        <v>11735</v>
      </c>
      <c r="I1005" t="s">
        <v>11833</v>
      </c>
      <c r="J1005" t="s">
        <v>11834</v>
      </c>
      <c r="K1005" t="s">
        <v>11833</v>
      </c>
    </row>
    <row r="1006" spans="1:11" s="1" customFormat="1" x14ac:dyDescent="0.25">
      <c r="A1006" t="s">
        <v>11835</v>
      </c>
      <c r="B1006" t="s">
        <v>11836</v>
      </c>
      <c r="C1006" s="111"/>
      <c r="D1006" s="128"/>
      <c r="E1006"/>
      <c r="F1006" t="s">
        <v>11837</v>
      </c>
      <c r="G1006" t="s">
        <v>11836</v>
      </c>
      <c r="H1006" t="s">
        <v>11735</v>
      </c>
      <c r="I1006" t="s">
        <v>11836</v>
      </c>
      <c r="J1006" t="s">
        <v>11837</v>
      </c>
      <c r="K1006" t="s">
        <v>13249</v>
      </c>
    </row>
    <row r="1007" spans="1:11" s="1" customFormat="1" x14ac:dyDescent="0.25">
      <c r="A1007" t="s">
        <v>11838</v>
      </c>
      <c r="B1007" t="s">
        <v>11839</v>
      </c>
      <c r="C1007" s="111"/>
      <c r="D1007" s="128"/>
      <c r="E1007">
        <v>0</v>
      </c>
      <c r="F1007" t="s">
        <v>11841</v>
      </c>
      <c r="G1007" t="s">
        <v>11840</v>
      </c>
      <c r="H1007" t="s">
        <v>11735</v>
      </c>
      <c r="I1007" t="s">
        <v>11839</v>
      </c>
      <c r="J1007" t="s">
        <v>11841</v>
      </c>
      <c r="K1007" t="s">
        <v>8011</v>
      </c>
    </row>
    <row r="1008" spans="1:11" s="1" customFormat="1" x14ac:dyDescent="0.25">
      <c r="A1008" t="s">
        <v>11842</v>
      </c>
      <c r="B1008" t="s">
        <v>11843</v>
      </c>
      <c r="C1008" s="111"/>
      <c r="D1008" s="128"/>
      <c r="E1008">
        <v>0</v>
      </c>
      <c r="F1008" t="s">
        <v>11844</v>
      </c>
      <c r="G1008" t="s">
        <v>11843</v>
      </c>
      <c r="H1008" t="s">
        <v>11735</v>
      </c>
      <c r="I1008" t="s">
        <v>11843</v>
      </c>
      <c r="J1008" t="s">
        <v>11844</v>
      </c>
      <c r="K1008" t="s">
        <v>8011</v>
      </c>
    </row>
    <row r="1009" spans="1:26" s="1" customFormat="1" x14ac:dyDescent="0.25">
      <c r="A1009" t="s">
        <v>11845</v>
      </c>
      <c r="B1009" t="s">
        <v>11846</v>
      </c>
      <c r="C1009" s="111"/>
      <c r="D1009" s="128"/>
      <c r="E1009">
        <v>500</v>
      </c>
      <c r="F1009" t="s">
        <v>11848</v>
      </c>
      <c r="G1009" t="s">
        <v>11847</v>
      </c>
      <c r="H1009" t="s">
        <v>11735</v>
      </c>
      <c r="I1009" t="s">
        <v>11846</v>
      </c>
      <c r="J1009" t="s">
        <v>11848</v>
      </c>
      <c r="K1009" t="s">
        <v>13247</v>
      </c>
    </row>
    <row r="1010" spans="1:26" s="1" customFormat="1" x14ac:dyDescent="0.25">
      <c r="A1010" t="s">
        <v>11849</v>
      </c>
      <c r="B1010" t="s">
        <v>11850</v>
      </c>
      <c r="C1010" s="111"/>
      <c r="D1010" s="128"/>
      <c r="E1010">
        <v>605</v>
      </c>
      <c r="F1010" t="s">
        <v>11852</v>
      </c>
      <c r="G1010" t="s">
        <v>11851</v>
      </c>
      <c r="H1010" t="s">
        <v>11735</v>
      </c>
      <c r="I1010" t="s">
        <v>11850</v>
      </c>
      <c r="J1010" t="s">
        <v>11852</v>
      </c>
      <c r="K1010" t="s">
        <v>8112</v>
      </c>
    </row>
    <row r="1011" spans="1:26" s="1" customFormat="1" x14ac:dyDescent="0.25">
      <c r="A1011" t="s">
        <v>11853</v>
      </c>
      <c r="B1011" t="s">
        <v>11854</v>
      </c>
      <c r="C1011" s="111"/>
      <c r="D1011" s="128"/>
      <c r="E1011">
        <v>764</v>
      </c>
      <c r="F1011" t="s">
        <v>11855</v>
      </c>
      <c r="G1011" t="s">
        <v>11854</v>
      </c>
      <c r="H1011" t="s">
        <v>11735</v>
      </c>
      <c r="I1011" t="s">
        <v>11854</v>
      </c>
      <c r="J1011" t="s">
        <v>11855</v>
      </c>
      <c r="K1011" t="s">
        <v>13181</v>
      </c>
    </row>
    <row r="1012" spans="1:26" s="1" customFormat="1" x14ac:dyDescent="0.25">
      <c r="A1012" t="s">
        <v>11856</v>
      </c>
      <c r="B1012" t="s">
        <v>11857</v>
      </c>
      <c r="C1012" s="111"/>
      <c r="D1012" s="128"/>
      <c r="E1012">
        <v>134</v>
      </c>
      <c r="F1012" t="s">
        <v>11858</v>
      </c>
      <c r="G1012" t="s">
        <v>11777</v>
      </c>
      <c r="H1012" t="s">
        <v>11735</v>
      </c>
      <c r="I1012" t="s">
        <v>11857</v>
      </c>
      <c r="J1012" t="s">
        <v>11858</v>
      </c>
      <c r="K1012" t="s">
        <v>10459</v>
      </c>
    </row>
    <row r="1013" spans="1:26" s="1" customFormat="1" x14ac:dyDescent="0.25">
      <c r="A1013" t="s">
        <v>11859</v>
      </c>
      <c r="B1013" t="s">
        <v>11860</v>
      </c>
      <c r="C1013" s="111"/>
      <c r="D1013" s="128"/>
      <c r="E1013">
        <v>830</v>
      </c>
      <c r="F1013" t="s">
        <v>11861</v>
      </c>
      <c r="G1013" t="s">
        <v>11734</v>
      </c>
      <c r="H1013" t="s">
        <v>11735</v>
      </c>
      <c r="I1013" t="s">
        <v>11860</v>
      </c>
      <c r="J1013" t="s">
        <v>11861</v>
      </c>
      <c r="K1013" t="s">
        <v>13246</v>
      </c>
    </row>
    <row r="1014" spans="1:26" s="1" customFormat="1" x14ac:dyDescent="0.25">
      <c r="A1014" t="s">
        <v>12221</v>
      </c>
      <c r="B1014" t="s">
        <v>8738</v>
      </c>
      <c r="C1014" s="111"/>
      <c r="D1014" s="128"/>
      <c r="E1014">
        <v>2430</v>
      </c>
      <c r="F1014" t="s">
        <v>12222</v>
      </c>
      <c r="G1014" t="s">
        <v>8738</v>
      </c>
      <c r="H1014" t="s">
        <v>8738</v>
      </c>
      <c r="I1014" t="s">
        <v>8738</v>
      </c>
      <c r="J1014" t="s">
        <v>12222</v>
      </c>
      <c r="K1014" t="s">
        <v>13250</v>
      </c>
    </row>
    <row r="1015" spans="1:26" s="1" customFormat="1" x14ac:dyDescent="0.25">
      <c r="A1015" t="s">
        <v>12223</v>
      </c>
      <c r="B1015" t="s">
        <v>10702</v>
      </c>
      <c r="C1015" s="111"/>
      <c r="D1015" s="128"/>
      <c r="E1015">
        <v>1863</v>
      </c>
      <c r="F1015" t="s">
        <v>12224</v>
      </c>
      <c r="G1015" t="s">
        <v>8738</v>
      </c>
      <c r="H1015" t="s">
        <v>8738</v>
      </c>
      <c r="I1015" t="s">
        <v>10702</v>
      </c>
      <c r="J1015" t="s">
        <v>12224</v>
      </c>
      <c r="K1015" t="s">
        <v>13250</v>
      </c>
    </row>
    <row r="1016" spans="1:26" s="1" customFormat="1" x14ac:dyDescent="0.25">
      <c r="A1016" t="s">
        <v>12225</v>
      </c>
      <c r="B1016" t="s">
        <v>10824</v>
      </c>
      <c r="C1016" s="111"/>
      <c r="D1016" s="128"/>
      <c r="E1016">
        <v>1408</v>
      </c>
      <c r="F1016" t="s">
        <v>12226</v>
      </c>
      <c r="G1016" t="s">
        <v>8738</v>
      </c>
      <c r="H1016" t="s">
        <v>8738</v>
      </c>
      <c r="I1016" t="s">
        <v>10824</v>
      </c>
      <c r="J1016" t="s">
        <v>12226</v>
      </c>
      <c r="K1016" t="s">
        <v>13250</v>
      </c>
    </row>
    <row r="1017" spans="1:26" s="1" customFormat="1" x14ac:dyDescent="0.25">
      <c r="A1017" t="s">
        <v>12227</v>
      </c>
      <c r="B1017" t="s">
        <v>10705</v>
      </c>
      <c r="C1017" s="111"/>
      <c r="D1017" s="128"/>
      <c r="E1017">
        <v>3501</v>
      </c>
      <c r="F1017" t="s">
        <v>12228</v>
      </c>
      <c r="G1017" t="s">
        <v>8738</v>
      </c>
      <c r="H1017" t="s">
        <v>8738</v>
      </c>
      <c r="I1017" t="s">
        <v>10705</v>
      </c>
      <c r="J1017" t="s">
        <v>12228</v>
      </c>
      <c r="K1017" t="s">
        <v>13250</v>
      </c>
    </row>
    <row r="1018" spans="1:26" s="1" customFormat="1" x14ac:dyDescent="0.25">
      <c r="A1018" t="s">
        <v>12229</v>
      </c>
      <c r="B1018" t="s">
        <v>10831</v>
      </c>
      <c r="C1018" s="111"/>
      <c r="D1018" s="128"/>
      <c r="E1018">
        <v>2999</v>
      </c>
      <c r="F1018" t="s">
        <v>12230</v>
      </c>
      <c r="G1018" t="s">
        <v>8738</v>
      </c>
      <c r="H1018" t="s">
        <v>8738</v>
      </c>
      <c r="I1018" t="s">
        <v>10831</v>
      </c>
      <c r="J1018" t="s">
        <v>12230</v>
      </c>
      <c r="K1018" t="s">
        <v>13250</v>
      </c>
    </row>
    <row r="1019" spans="1:26" s="1" customFormat="1" x14ac:dyDescent="0.25">
      <c r="A1019" t="s">
        <v>12231</v>
      </c>
      <c r="B1019" t="s">
        <v>12232</v>
      </c>
      <c r="C1019" s="111"/>
      <c r="D1019" s="128"/>
      <c r="E1019">
        <v>7276</v>
      </c>
      <c r="F1019" t="s">
        <v>12233</v>
      </c>
      <c r="G1019" t="s">
        <v>8738</v>
      </c>
      <c r="H1019" t="s">
        <v>8738</v>
      </c>
      <c r="I1019" t="s">
        <v>12232</v>
      </c>
      <c r="J1019" t="s">
        <v>12233</v>
      </c>
      <c r="K1019" t="s">
        <v>13250</v>
      </c>
      <c r="L1019" s="3"/>
      <c r="M1019" s="3"/>
      <c r="N1019" s="3"/>
      <c r="O1019" s="3"/>
      <c r="P1019" s="3"/>
      <c r="Q1019" s="3"/>
      <c r="R1019" s="3"/>
      <c r="S1019" s="3"/>
      <c r="T1019" s="3"/>
      <c r="U1019" s="3"/>
      <c r="V1019" s="3"/>
      <c r="W1019" s="3"/>
      <c r="X1019" s="3"/>
      <c r="Y1019" s="3"/>
      <c r="Z1019" s="3"/>
    </row>
    <row r="1020" spans="1:26" s="1" customFormat="1" x14ac:dyDescent="0.25">
      <c r="A1020" t="s">
        <v>12234</v>
      </c>
      <c r="B1020" t="s">
        <v>12235</v>
      </c>
      <c r="C1020" s="111"/>
      <c r="D1020" s="128"/>
      <c r="E1020">
        <v>5347</v>
      </c>
      <c r="F1020" t="s">
        <v>12236</v>
      </c>
      <c r="G1020" t="s">
        <v>8738</v>
      </c>
      <c r="H1020" t="s">
        <v>8738</v>
      </c>
      <c r="I1020" t="s">
        <v>12235</v>
      </c>
      <c r="J1020" t="s">
        <v>12236</v>
      </c>
      <c r="K1020" t="s">
        <v>13250</v>
      </c>
      <c r="L1020" s="3"/>
      <c r="M1020" s="3"/>
      <c r="N1020" s="3"/>
      <c r="O1020" s="3"/>
      <c r="P1020" s="3"/>
      <c r="Q1020" s="3"/>
      <c r="R1020" s="3"/>
      <c r="S1020" s="3"/>
      <c r="T1020" s="3"/>
      <c r="U1020" s="3"/>
      <c r="V1020" s="3"/>
      <c r="W1020" s="3"/>
      <c r="X1020" s="3"/>
      <c r="Y1020" s="3"/>
      <c r="Z1020" s="3"/>
    </row>
    <row r="1021" spans="1:26" s="1" customFormat="1" x14ac:dyDescent="0.25">
      <c r="A1021" t="s">
        <v>12237</v>
      </c>
      <c r="B1021" t="s">
        <v>12238</v>
      </c>
      <c r="C1021" s="111"/>
      <c r="D1021" s="128"/>
      <c r="E1021">
        <v>6855</v>
      </c>
      <c r="F1021" t="s">
        <v>12239</v>
      </c>
      <c r="G1021" t="s">
        <v>8738</v>
      </c>
      <c r="H1021" t="s">
        <v>8738</v>
      </c>
      <c r="I1021" t="s">
        <v>12238</v>
      </c>
      <c r="J1021" t="s">
        <v>12239</v>
      </c>
      <c r="K1021" t="s">
        <v>13250</v>
      </c>
      <c r="L1021" s="3"/>
      <c r="M1021" s="3"/>
      <c r="N1021" s="3"/>
      <c r="O1021" s="3"/>
      <c r="P1021" s="3"/>
      <c r="Q1021" s="3"/>
      <c r="R1021" s="3"/>
      <c r="S1021" s="3"/>
      <c r="T1021" s="3"/>
      <c r="U1021" s="3"/>
      <c r="V1021" s="3"/>
      <c r="W1021" s="3"/>
      <c r="X1021" s="3"/>
      <c r="Y1021" s="3"/>
      <c r="Z1021" s="3"/>
    </row>
    <row r="1022" spans="1:26" s="1" customFormat="1" x14ac:dyDescent="0.25">
      <c r="A1022" t="s">
        <v>12240</v>
      </c>
      <c r="B1022" t="s">
        <v>12241</v>
      </c>
      <c r="C1022" s="111"/>
      <c r="D1022" s="128"/>
      <c r="E1022">
        <v>7699</v>
      </c>
      <c r="F1022" t="s">
        <v>12242</v>
      </c>
      <c r="G1022" t="s">
        <v>8738</v>
      </c>
      <c r="H1022" t="s">
        <v>8738</v>
      </c>
      <c r="I1022" t="s">
        <v>12241</v>
      </c>
      <c r="J1022" t="s">
        <v>12242</v>
      </c>
      <c r="K1022" t="s">
        <v>13250</v>
      </c>
      <c r="L1022" s="3"/>
      <c r="M1022" s="3"/>
      <c r="N1022" s="3"/>
      <c r="O1022" s="3"/>
      <c r="P1022" s="3"/>
      <c r="Q1022" s="3"/>
      <c r="R1022" s="3"/>
      <c r="S1022" s="3"/>
      <c r="T1022" s="3"/>
      <c r="U1022" s="3"/>
      <c r="V1022" s="3"/>
      <c r="W1022" s="3"/>
      <c r="X1022" s="3"/>
      <c r="Y1022" s="3"/>
      <c r="Z1022" s="3"/>
    </row>
    <row r="1023" spans="1:26" s="1" customFormat="1" x14ac:dyDescent="0.25">
      <c r="A1023" t="s">
        <v>12243</v>
      </c>
      <c r="B1023" t="s">
        <v>12244</v>
      </c>
      <c r="C1023" s="111"/>
      <c r="D1023" s="128"/>
      <c r="E1023">
        <v>1405</v>
      </c>
      <c r="F1023" t="s">
        <v>12245</v>
      </c>
      <c r="G1023" t="s">
        <v>12244</v>
      </c>
      <c r="H1023" t="s">
        <v>8738</v>
      </c>
      <c r="I1023" t="s">
        <v>12244</v>
      </c>
      <c r="J1023" t="s">
        <v>12245</v>
      </c>
      <c r="K1023" t="s">
        <v>11642</v>
      </c>
      <c r="L1023" s="3"/>
      <c r="M1023" s="3"/>
      <c r="N1023" s="3"/>
      <c r="O1023" s="3"/>
      <c r="P1023" s="3"/>
      <c r="Q1023" s="3"/>
      <c r="R1023" s="3"/>
      <c r="S1023" s="3"/>
      <c r="T1023" s="3"/>
      <c r="U1023" s="3"/>
      <c r="V1023" s="3"/>
      <c r="W1023" s="3"/>
      <c r="X1023" s="3"/>
      <c r="Y1023" s="3"/>
      <c r="Z1023" s="3"/>
    </row>
    <row r="1024" spans="1:26" s="1" customFormat="1" x14ac:dyDescent="0.25">
      <c r="A1024" t="s">
        <v>12246</v>
      </c>
      <c r="B1024" t="s">
        <v>12247</v>
      </c>
      <c r="C1024" s="111"/>
      <c r="D1024" s="128"/>
      <c r="E1024">
        <v>348</v>
      </c>
      <c r="F1024" t="s">
        <v>12248</v>
      </c>
      <c r="G1024" t="s">
        <v>12247</v>
      </c>
      <c r="H1024" t="s">
        <v>8738</v>
      </c>
      <c r="I1024" t="s">
        <v>12247</v>
      </c>
      <c r="J1024" t="s">
        <v>12248</v>
      </c>
      <c r="K1024" t="s">
        <v>13251</v>
      </c>
      <c r="L1024" s="3"/>
      <c r="M1024" s="3"/>
      <c r="N1024" s="3"/>
      <c r="O1024" s="3"/>
      <c r="P1024" s="3"/>
      <c r="Q1024" s="3"/>
      <c r="R1024" s="3"/>
      <c r="S1024" s="3"/>
      <c r="T1024" s="3"/>
      <c r="U1024" s="3"/>
      <c r="V1024" s="3"/>
      <c r="W1024" s="3"/>
      <c r="X1024" s="3"/>
      <c r="Y1024" s="3"/>
      <c r="Z1024" s="3"/>
    </row>
    <row r="1025" spans="1:26" s="1" customFormat="1" x14ac:dyDescent="0.25">
      <c r="A1025" t="s">
        <v>12249</v>
      </c>
      <c r="B1025" t="s">
        <v>12250</v>
      </c>
      <c r="C1025" s="111"/>
      <c r="D1025" s="128"/>
      <c r="E1025">
        <v>380</v>
      </c>
      <c r="F1025" t="s">
        <v>12251</v>
      </c>
      <c r="G1025" t="s">
        <v>12250</v>
      </c>
      <c r="H1025" t="s">
        <v>8738</v>
      </c>
      <c r="I1025" t="s">
        <v>12250</v>
      </c>
      <c r="J1025" t="s">
        <v>12251</v>
      </c>
      <c r="K1025" t="s">
        <v>13252</v>
      </c>
      <c r="L1025" s="3"/>
      <c r="M1025" s="3"/>
      <c r="N1025" s="3"/>
      <c r="O1025" s="3"/>
      <c r="P1025" s="3"/>
      <c r="Q1025" s="3"/>
      <c r="R1025" s="3"/>
      <c r="S1025" s="3"/>
      <c r="T1025" s="3"/>
      <c r="U1025" s="3"/>
      <c r="V1025" s="3"/>
      <c r="W1025" s="3"/>
      <c r="X1025" s="3"/>
      <c r="Y1025" s="3"/>
      <c r="Z1025" s="3"/>
    </row>
    <row r="1026" spans="1:26" s="1" customFormat="1" x14ac:dyDescent="0.25">
      <c r="A1026" t="s">
        <v>12252</v>
      </c>
      <c r="B1026" t="s">
        <v>12253</v>
      </c>
      <c r="C1026" s="111"/>
      <c r="D1026" s="128"/>
      <c r="E1026">
        <v>151</v>
      </c>
      <c r="F1026" t="s">
        <v>12254</v>
      </c>
      <c r="G1026" t="s">
        <v>12253</v>
      </c>
      <c r="H1026" t="s">
        <v>8738</v>
      </c>
      <c r="I1026" t="s">
        <v>12253</v>
      </c>
      <c r="J1026" t="s">
        <v>12254</v>
      </c>
      <c r="K1026" t="s">
        <v>9552</v>
      </c>
      <c r="L1026" s="3"/>
      <c r="M1026" s="3"/>
      <c r="N1026" s="3"/>
      <c r="O1026" s="3"/>
      <c r="P1026" s="3"/>
      <c r="Q1026" s="3"/>
      <c r="R1026" s="3"/>
      <c r="S1026" s="3"/>
      <c r="T1026" s="3"/>
      <c r="U1026" s="3"/>
      <c r="V1026" s="3"/>
      <c r="W1026" s="3"/>
      <c r="X1026" s="3"/>
      <c r="Y1026" s="3"/>
      <c r="Z1026" s="3"/>
    </row>
    <row r="1027" spans="1:26" s="1" customFormat="1" x14ac:dyDescent="0.25">
      <c r="A1027" t="s">
        <v>12255</v>
      </c>
      <c r="B1027" t="s">
        <v>12256</v>
      </c>
      <c r="C1027" s="111"/>
      <c r="D1027" s="128"/>
      <c r="E1027">
        <v>98</v>
      </c>
      <c r="F1027" t="s">
        <v>12257</v>
      </c>
      <c r="G1027" t="s">
        <v>12256</v>
      </c>
      <c r="H1027" t="s">
        <v>8738</v>
      </c>
      <c r="I1027" t="s">
        <v>12256</v>
      </c>
      <c r="J1027" t="s">
        <v>12257</v>
      </c>
      <c r="K1027" t="s">
        <v>13251</v>
      </c>
      <c r="L1027" s="3"/>
      <c r="M1027" s="3"/>
      <c r="N1027" s="3"/>
      <c r="O1027" s="3"/>
      <c r="P1027" s="3"/>
      <c r="Q1027" s="3"/>
      <c r="R1027" s="3"/>
      <c r="S1027" s="3"/>
      <c r="T1027" s="3"/>
      <c r="U1027" s="3"/>
      <c r="V1027" s="3"/>
      <c r="W1027" s="3"/>
      <c r="X1027" s="3"/>
      <c r="Y1027" s="3"/>
      <c r="Z1027" s="3"/>
    </row>
    <row r="1028" spans="1:26" s="1" customFormat="1" x14ac:dyDescent="0.25">
      <c r="A1028" t="s">
        <v>12258</v>
      </c>
      <c r="B1028" t="s">
        <v>8112</v>
      </c>
      <c r="C1028" s="111"/>
      <c r="D1028" s="128"/>
      <c r="E1028">
        <v>692</v>
      </c>
      <c r="F1028" t="s">
        <v>12259</v>
      </c>
      <c r="G1028" t="s">
        <v>8112</v>
      </c>
      <c r="H1028" t="s">
        <v>8738</v>
      </c>
      <c r="I1028" t="s">
        <v>8112</v>
      </c>
      <c r="J1028" t="s">
        <v>12259</v>
      </c>
      <c r="K1028" t="s">
        <v>13253</v>
      </c>
      <c r="L1028" s="3"/>
      <c r="M1028" s="3"/>
      <c r="N1028" s="3"/>
      <c r="O1028" s="3"/>
      <c r="P1028" s="3"/>
      <c r="Q1028" s="3"/>
      <c r="R1028" s="3"/>
      <c r="S1028" s="3"/>
      <c r="T1028" s="3"/>
      <c r="U1028" s="3"/>
      <c r="V1028" s="3"/>
      <c r="W1028" s="3"/>
      <c r="X1028" s="3"/>
      <c r="Y1028" s="3"/>
      <c r="Z1028" s="3"/>
    </row>
    <row r="1029" spans="1:26" s="1" customFormat="1" x14ac:dyDescent="0.25">
      <c r="A1029" t="s">
        <v>12260</v>
      </c>
      <c r="B1029" t="s">
        <v>12180</v>
      </c>
      <c r="C1029" s="111"/>
      <c r="D1029" s="128"/>
      <c r="E1029">
        <v>131</v>
      </c>
      <c r="F1029" t="s">
        <v>12261</v>
      </c>
      <c r="G1029" t="s">
        <v>12180</v>
      </c>
      <c r="H1029" t="s">
        <v>8738</v>
      </c>
      <c r="I1029" t="s">
        <v>12180</v>
      </c>
      <c r="J1029" t="s">
        <v>12261</v>
      </c>
      <c r="K1029" t="s">
        <v>13252</v>
      </c>
    </row>
    <row r="1030" spans="1:26" s="1" customFormat="1" x14ac:dyDescent="0.25">
      <c r="A1030" t="s">
        <v>12262</v>
      </c>
      <c r="B1030" t="s">
        <v>12263</v>
      </c>
      <c r="C1030" s="111"/>
      <c r="D1030" s="128"/>
      <c r="E1030">
        <v>227</v>
      </c>
      <c r="F1030" t="s">
        <v>12265</v>
      </c>
      <c r="G1030" t="s">
        <v>11553</v>
      </c>
      <c r="H1030" t="s">
        <v>8738</v>
      </c>
      <c r="I1030" t="s">
        <v>12263</v>
      </c>
      <c r="J1030" t="s">
        <v>12265</v>
      </c>
      <c r="K1030" t="s">
        <v>13252</v>
      </c>
      <c r="L1030" s="3"/>
      <c r="M1030" s="3"/>
      <c r="N1030" s="3"/>
      <c r="O1030" s="3"/>
      <c r="P1030" s="3"/>
      <c r="Q1030" s="3"/>
      <c r="R1030" s="3"/>
      <c r="S1030" s="3"/>
      <c r="T1030" s="3"/>
      <c r="U1030" s="3"/>
      <c r="V1030" s="3"/>
      <c r="W1030" s="3"/>
      <c r="X1030" s="3"/>
      <c r="Y1030" s="3"/>
      <c r="Z1030" s="3"/>
    </row>
    <row r="1031" spans="1:26" s="1" customFormat="1" x14ac:dyDescent="0.25">
      <c r="A1031" t="s">
        <v>12266</v>
      </c>
      <c r="B1031" t="s">
        <v>12267</v>
      </c>
      <c r="C1031" s="111"/>
      <c r="D1031" s="128"/>
      <c r="E1031">
        <v>1098</v>
      </c>
      <c r="F1031" t="s">
        <v>12268</v>
      </c>
      <c r="G1031" t="s">
        <v>12267</v>
      </c>
      <c r="H1031" t="s">
        <v>8738</v>
      </c>
      <c r="I1031" t="s">
        <v>12267</v>
      </c>
      <c r="J1031" t="s">
        <v>12268</v>
      </c>
      <c r="K1031" t="s">
        <v>13252</v>
      </c>
      <c r="L1031" s="3"/>
      <c r="M1031" s="3"/>
      <c r="N1031" s="3"/>
      <c r="O1031" s="3"/>
      <c r="P1031" s="3"/>
      <c r="Q1031" s="3"/>
      <c r="R1031" s="3"/>
      <c r="S1031" s="3"/>
      <c r="T1031" s="3"/>
      <c r="U1031" s="3"/>
      <c r="V1031" s="3"/>
      <c r="W1031" s="3"/>
      <c r="X1031" s="3"/>
      <c r="Y1031" s="3"/>
      <c r="Z1031" s="3"/>
    </row>
    <row r="1032" spans="1:26" s="1" customFormat="1" x14ac:dyDescent="0.25">
      <c r="A1032" t="s">
        <v>12269</v>
      </c>
      <c r="B1032" t="s">
        <v>12270</v>
      </c>
      <c r="C1032" s="111"/>
      <c r="D1032" s="128"/>
      <c r="E1032">
        <v>512</v>
      </c>
      <c r="F1032" t="s">
        <v>12271</v>
      </c>
      <c r="G1032" t="s">
        <v>12270</v>
      </c>
      <c r="H1032" t="s">
        <v>8738</v>
      </c>
      <c r="I1032" t="s">
        <v>12270</v>
      </c>
      <c r="J1032" t="s">
        <v>12271</v>
      </c>
      <c r="K1032" t="s">
        <v>12489</v>
      </c>
      <c r="L1032" s="3"/>
      <c r="M1032" s="3"/>
      <c r="N1032" s="3"/>
      <c r="O1032" s="3"/>
      <c r="P1032" s="3"/>
      <c r="Q1032" s="3"/>
      <c r="R1032" s="3"/>
      <c r="S1032" s="3"/>
      <c r="T1032" s="3"/>
      <c r="U1032" s="3"/>
      <c r="V1032" s="3"/>
      <c r="W1032" s="3"/>
      <c r="X1032" s="3"/>
      <c r="Y1032" s="3"/>
      <c r="Z1032" s="3"/>
    </row>
    <row r="1033" spans="1:26" s="1" customFormat="1" x14ac:dyDescent="0.25">
      <c r="A1033" t="s">
        <v>12272</v>
      </c>
      <c r="B1033" t="s">
        <v>12273</v>
      </c>
      <c r="C1033" s="111"/>
      <c r="D1033" s="128"/>
      <c r="E1033">
        <v>0</v>
      </c>
      <c r="F1033" t="s">
        <v>12274</v>
      </c>
      <c r="G1033" t="s">
        <v>12273</v>
      </c>
      <c r="H1033" t="s">
        <v>8738</v>
      </c>
      <c r="I1033" t="s">
        <v>12273</v>
      </c>
      <c r="J1033" t="s">
        <v>12274</v>
      </c>
      <c r="K1033" t="s">
        <v>13254</v>
      </c>
      <c r="L1033" s="3"/>
      <c r="M1033" s="3"/>
      <c r="N1033" s="3"/>
      <c r="O1033" s="3"/>
      <c r="P1033" s="3"/>
      <c r="Q1033" s="3"/>
      <c r="R1033" s="3"/>
      <c r="S1033" s="3"/>
      <c r="T1033" s="3"/>
      <c r="U1033" s="3"/>
      <c r="V1033" s="3"/>
      <c r="W1033" s="3"/>
      <c r="X1033" s="3"/>
      <c r="Y1033" s="3"/>
      <c r="Z1033" s="3"/>
    </row>
    <row r="1034" spans="1:26" s="1" customFormat="1" x14ac:dyDescent="0.25">
      <c r="A1034" t="s">
        <v>12275</v>
      </c>
      <c r="B1034" t="s">
        <v>12276</v>
      </c>
      <c r="C1034" s="111"/>
      <c r="D1034" s="128"/>
      <c r="E1034">
        <v>146</v>
      </c>
      <c r="F1034" t="s">
        <v>12277</v>
      </c>
      <c r="G1034" t="s">
        <v>12276</v>
      </c>
      <c r="H1034" t="s">
        <v>8738</v>
      </c>
      <c r="I1034" t="s">
        <v>12276</v>
      </c>
      <c r="J1034" t="s">
        <v>12277</v>
      </c>
      <c r="K1034" t="s">
        <v>9552</v>
      </c>
    </row>
    <row r="1035" spans="1:26" s="1" customFormat="1" x14ac:dyDescent="0.25">
      <c r="A1035" t="s">
        <v>12278</v>
      </c>
      <c r="B1035" t="s">
        <v>12279</v>
      </c>
      <c r="C1035" s="111"/>
      <c r="D1035" s="128"/>
      <c r="E1035">
        <v>100</v>
      </c>
      <c r="F1035" t="s">
        <v>12281</v>
      </c>
      <c r="G1035" t="s">
        <v>12280</v>
      </c>
      <c r="H1035" t="s">
        <v>8738</v>
      </c>
      <c r="I1035" t="s">
        <v>12279</v>
      </c>
      <c r="J1035" t="s">
        <v>12281</v>
      </c>
      <c r="K1035" t="s">
        <v>13251</v>
      </c>
    </row>
    <row r="1036" spans="1:26" s="1" customFormat="1" x14ac:dyDescent="0.25">
      <c r="A1036" t="s">
        <v>12282</v>
      </c>
      <c r="B1036" t="s">
        <v>12283</v>
      </c>
      <c r="C1036" s="111"/>
      <c r="D1036" s="128"/>
      <c r="E1036">
        <v>968</v>
      </c>
      <c r="F1036" t="s">
        <v>12284</v>
      </c>
      <c r="G1036" t="s">
        <v>12283</v>
      </c>
      <c r="H1036" t="s">
        <v>8738</v>
      </c>
      <c r="I1036" t="s">
        <v>12283</v>
      </c>
      <c r="J1036" t="s">
        <v>12284</v>
      </c>
      <c r="K1036" t="s">
        <v>7965</v>
      </c>
    </row>
    <row r="1037" spans="1:26" s="1" customFormat="1" x14ac:dyDescent="0.25">
      <c r="A1037" t="s">
        <v>12285</v>
      </c>
      <c r="B1037" t="s">
        <v>12286</v>
      </c>
      <c r="C1037" s="111"/>
      <c r="D1037" s="128"/>
      <c r="E1037">
        <v>1657</v>
      </c>
      <c r="F1037" t="s">
        <v>12287</v>
      </c>
      <c r="G1037" t="s">
        <v>12286</v>
      </c>
      <c r="H1037" t="s">
        <v>8738</v>
      </c>
      <c r="I1037" t="s">
        <v>12286</v>
      </c>
      <c r="J1037" t="s">
        <v>12287</v>
      </c>
      <c r="K1037" t="s">
        <v>13252</v>
      </c>
    </row>
    <row r="1038" spans="1:26" s="1" customFormat="1" x14ac:dyDescent="0.25">
      <c r="A1038" t="s">
        <v>12288</v>
      </c>
      <c r="B1038" t="s">
        <v>13954</v>
      </c>
      <c r="C1038" s="111"/>
      <c r="D1038" s="128"/>
      <c r="E1038">
        <v>799</v>
      </c>
      <c r="F1038" t="s">
        <v>12289</v>
      </c>
      <c r="G1038" t="s">
        <v>13954</v>
      </c>
      <c r="H1038" t="s">
        <v>8738</v>
      </c>
      <c r="I1038" t="s">
        <v>13954</v>
      </c>
      <c r="J1038" t="s">
        <v>12289</v>
      </c>
      <c r="K1038" t="s">
        <v>7965</v>
      </c>
    </row>
    <row r="1039" spans="1:26" s="1" customFormat="1" x14ac:dyDescent="0.25">
      <c r="A1039" t="s">
        <v>12290</v>
      </c>
      <c r="B1039" t="s">
        <v>10456</v>
      </c>
      <c r="C1039" s="111"/>
      <c r="D1039" s="128"/>
      <c r="E1039">
        <v>175</v>
      </c>
      <c r="F1039" t="s">
        <v>12291</v>
      </c>
      <c r="G1039" t="s">
        <v>10456</v>
      </c>
      <c r="H1039" t="s">
        <v>8738</v>
      </c>
      <c r="I1039" t="s">
        <v>10456</v>
      </c>
      <c r="J1039" t="s">
        <v>12291</v>
      </c>
      <c r="K1039" t="s">
        <v>7965</v>
      </c>
    </row>
    <row r="1040" spans="1:26" s="1" customFormat="1" x14ac:dyDescent="0.25">
      <c r="A1040" t="s">
        <v>12292</v>
      </c>
      <c r="B1040" t="s">
        <v>12293</v>
      </c>
      <c r="C1040" s="111"/>
      <c r="D1040" s="128"/>
      <c r="E1040">
        <v>420</v>
      </c>
      <c r="F1040" t="s">
        <v>12294</v>
      </c>
      <c r="G1040" t="s">
        <v>12293</v>
      </c>
      <c r="H1040" t="s">
        <v>8738</v>
      </c>
      <c r="I1040" t="s">
        <v>12293</v>
      </c>
      <c r="J1040" t="s">
        <v>12294</v>
      </c>
      <c r="K1040" t="s">
        <v>13252</v>
      </c>
    </row>
    <row r="1041" spans="1:26" s="1" customFormat="1" x14ac:dyDescent="0.25">
      <c r="A1041" t="s">
        <v>12295</v>
      </c>
      <c r="B1041" t="s">
        <v>12296</v>
      </c>
      <c r="C1041" s="111"/>
      <c r="D1041" s="128"/>
      <c r="E1041">
        <v>399</v>
      </c>
      <c r="F1041" t="s">
        <v>12297</v>
      </c>
      <c r="G1041" t="s">
        <v>12296</v>
      </c>
      <c r="H1041" t="s">
        <v>8738</v>
      </c>
      <c r="I1041" t="s">
        <v>12296</v>
      </c>
      <c r="J1041" t="s">
        <v>12297</v>
      </c>
      <c r="K1041" t="s">
        <v>13255</v>
      </c>
    </row>
    <row r="1042" spans="1:26" s="1" customFormat="1" x14ac:dyDescent="0.25">
      <c r="A1042" t="s">
        <v>12298</v>
      </c>
      <c r="B1042" t="s">
        <v>12299</v>
      </c>
      <c r="C1042" s="111"/>
      <c r="D1042" s="128"/>
      <c r="E1042">
        <v>1231</v>
      </c>
      <c r="F1042" t="s">
        <v>12300</v>
      </c>
      <c r="G1042" t="s">
        <v>12299</v>
      </c>
      <c r="H1042" t="s">
        <v>8738</v>
      </c>
      <c r="I1042" t="s">
        <v>12299</v>
      </c>
      <c r="J1042" t="s">
        <v>12300</v>
      </c>
      <c r="K1042" t="s">
        <v>13255</v>
      </c>
    </row>
    <row r="1043" spans="1:26" s="1" customFormat="1" x14ac:dyDescent="0.25">
      <c r="A1043" t="s">
        <v>12301</v>
      </c>
      <c r="B1043" t="s">
        <v>12302</v>
      </c>
      <c r="C1043" s="111"/>
      <c r="D1043" s="128"/>
      <c r="E1043">
        <v>1161</v>
      </c>
      <c r="F1043" t="s">
        <v>12303</v>
      </c>
      <c r="G1043" t="s">
        <v>12302</v>
      </c>
      <c r="H1043" t="s">
        <v>8738</v>
      </c>
      <c r="I1043" t="s">
        <v>12302</v>
      </c>
      <c r="J1043" t="s">
        <v>12303</v>
      </c>
      <c r="K1043" t="s">
        <v>7965</v>
      </c>
      <c r="L1043" s="3"/>
      <c r="M1043" s="3"/>
      <c r="N1043" s="3"/>
      <c r="O1043" s="3"/>
      <c r="P1043" s="3"/>
      <c r="Q1043" s="3"/>
      <c r="R1043" s="3"/>
      <c r="S1043" s="3"/>
      <c r="T1043" s="3"/>
      <c r="U1043" s="3"/>
      <c r="V1043" s="3"/>
      <c r="W1043" s="3"/>
      <c r="X1043" s="3"/>
      <c r="Y1043" s="3"/>
      <c r="Z1043" s="3"/>
    </row>
    <row r="1044" spans="1:26" s="1" customFormat="1" x14ac:dyDescent="0.25">
      <c r="A1044" t="s">
        <v>12304</v>
      </c>
      <c r="B1044" t="s">
        <v>12305</v>
      </c>
      <c r="C1044" s="111"/>
      <c r="D1044" s="128"/>
      <c r="E1044">
        <v>204</v>
      </c>
      <c r="F1044" t="s">
        <v>12306</v>
      </c>
      <c r="G1044" t="s">
        <v>12305</v>
      </c>
      <c r="H1044" t="s">
        <v>8738</v>
      </c>
      <c r="I1044" t="s">
        <v>12305</v>
      </c>
      <c r="J1044" t="s">
        <v>12306</v>
      </c>
      <c r="K1044" t="s">
        <v>13255</v>
      </c>
    </row>
    <row r="1045" spans="1:26" s="1" customFormat="1" x14ac:dyDescent="0.25">
      <c r="A1045" t="s">
        <v>12307</v>
      </c>
      <c r="B1045" t="s">
        <v>12308</v>
      </c>
      <c r="C1045" s="111"/>
      <c r="D1045" s="128"/>
      <c r="E1045">
        <v>655</v>
      </c>
      <c r="F1045" t="s">
        <v>12309</v>
      </c>
      <c r="G1045" t="s">
        <v>12308</v>
      </c>
      <c r="H1045" t="s">
        <v>8738</v>
      </c>
      <c r="I1045" t="s">
        <v>12308</v>
      </c>
      <c r="J1045" t="s">
        <v>12309</v>
      </c>
      <c r="K1045" t="s">
        <v>13253</v>
      </c>
    </row>
    <row r="1046" spans="1:26" s="1" customFormat="1" x14ac:dyDescent="0.25">
      <c r="A1046" t="s">
        <v>12310</v>
      </c>
      <c r="B1046" t="s">
        <v>12311</v>
      </c>
      <c r="C1046" s="111"/>
      <c r="D1046" s="128"/>
      <c r="E1046">
        <v>1983</v>
      </c>
      <c r="F1046" t="s">
        <v>12312</v>
      </c>
      <c r="G1046" t="s">
        <v>12311</v>
      </c>
      <c r="H1046" t="s">
        <v>8738</v>
      </c>
      <c r="I1046" t="s">
        <v>12311</v>
      </c>
      <c r="J1046" t="s">
        <v>12312</v>
      </c>
      <c r="K1046" t="s">
        <v>13255</v>
      </c>
    </row>
    <row r="1047" spans="1:26" s="1" customFormat="1" x14ac:dyDescent="0.25">
      <c r="A1047" t="s">
        <v>12313</v>
      </c>
      <c r="B1047" t="s">
        <v>12314</v>
      </c>
      <c r="C1047" s="111"/>
      <c r="D1047" s="128"/>
      <c r="E1047">
        <v>100</v>
      </c>
      <c r="F1047" t="s">
        <v>12315</v>
      </c>
      <c r="G1047" t="s">
        <v>12314</v>
      </c>
      <c r="H1047" t="s">
        <v>8738</v>
      </c>
      <c r="I1047" t="s">
        <v>12314</v>
      </c>
      <c r="J1047" t="s">
        <v>12315</v>
      </c>
      <c r="K1047" t="s">
        <v>13251</v>
      </c>
    </row>
    <row r="1048" spans="1:26" s="1" customFormat="1" x14ac:dyDescent="0.25">
      <c r="A1048" t="s">
        <v>12316</v>
      </c>
      <c r="B1048" t="s">
        <v>12317</v>
      </c>
      <c r="C1048" s="111"/>
      <c r="D1048" s="128"/>
      <c r="E1048">
        <v>735</v>
      </c>
      <c r="F1048" t="s">
        <v>12318</v>
      </c>
      <c r="G1048" t="s">
        <v>12317</v>
      </c>
      <c r="H1048" t="s">
        <v>8738</v>
      </c>
      <c r="I1048" t="s">
        <v>12317</v>
      </c>
      <c r="J1048" t="s">
        <v>12318</v>
      </c>
      <c r="K1048" t="s">
        <v>13252</v>
      </c>
    </row>
    <row r="1049" spans="1:26" s="1" customFormat="1" x14ac:dyDescent="0.25">
      <c r="A1049" t="s">
        <v>12319</v>
      </c>
      <c r="B1049" t="s">
        <v>12320</v>
      </c>
      <c r="C1049" s="111"/>
      <c r="D1049" s="128"/>
      <c r="E1049">
        <v>961</v>
      </c>
      <c r="F1049" t="s">
        <v>12321</v>
      </c>
      <c r="G1049" t="s">
        <v>12320</v>
      </c>
      <c r="H1049" t="s">
        <v>8738</v>
      </c>
      <c r="I1049" t="s">
        <v>12320</v>
      </c>
      <c r="J1049" t="s">
        <v>12321</v>
      </c>
      <c r="K1049" t="s">
        <v>13252</v>
      </c>
    </row>
    <row r="1050" spans="1:26" s="1" customFormat="1" x14ac:dyDescent="0.25">
      <c r="A1050" t="s">
        <v>12322</v>
      </c>
      <c r="B1050" t="s">
        <v>12323</v>
      </c>
      <c r="C1050" s="111"/>
      <c r="D1050" s="128"/>
      <c r="E1050">
        <v>134</v>
      </c>
      <c r="F1050" t="s">
        <v>12325</v>
      </c>
      <c r="G1050" t="s">
        <v>12324</v>
      </c>
      <c r="H1050" t="s">
        <v>8738</v>
      </c>
      <c r="I1050" t="s">
        <v>12323</v>
      </c>
      <c r="J1050" t="s">
        <v>12325</v>
      </c>
      <c r="K1050" t="s">
        <v>8155</v>
      </c>
    </row>
    <row r="1051" spans="1:26" s="1" customFormat="1" x14ac:dyDescent="0.25">
      <c r="A1051" t="s">
        <v>12326</v>
      </c>
      <c r="B1051" t="s">
        <v>12327</v>
      </c>
      <c r="C1051" s="111"/>
      <c r="D1051" s="128"/>
      <c r="E1051">
        <v>550</v>
      </c>
      <c r="F1051" t="s">
        <v>12328</v>
      </c>
      <c r="G1051" t="s">
        <v>12327</v>
      </c>
      <c r="H1051" t="s">
        <v>8738</v>
      </c>
      <c r="I1051" t="s">
        <v>12327</v>
      </c>
      <c r="J1051" t="s">
        <v>12328</v>
      </c>
      <c r="K1051" t="s">
        <v>13254</v>
      </c>
    </row>
    <row r="1052" spans="1:26" s="1" customFormat="1" x14ac:dyDescent="0.25">
      <c r="A1052" t="s">
        <v>12329</v>
      </c>
      <c r="B1052" t="s">
        <v>12330</v>
      </c>
      <c r="C1052" s="111"/>
      <c r="D1052" s="128"/>
      <c r="E1052">
        <v>327</v>
      </c>
      <c r="F1052" t="s">
        <v>12331</v>
      </c>
      <c r="G1052" t="s">
        <v>12330</v>
      </c>
      <c r="H1052" t="s">
        <v>8738</v>
      </c>
      <c r="I1052" t="s">
        <v>12330</v>
      </c>
      <c r="J1052" t="s">
        <v>12331</v>
      </c>
      <c r="K1052" t="s">
        <v>9552</v>
      </c>
    </row>
    <row r="1053" spans="1:26" s="1" customFormat="1" x14ac:dyDescent="0.25">
      <c r="A1053" t="s">
        <v>12332</v>
      </c>
      <c r="B1053" t="s">
        <v>12333</v>
      </c>
      <c r="C1053" s="111"/>
      <c r="D1053" s="128"/>
      <c r="E1053">
        <v>157</v>
      </c>
      <c r="F1053" t="s">
        <v>12335</v>
      </c>
      <c r="G1053" t="s">
        <v>12334</v>
      </c>
      <c r="H1053" t="s">
        <v>8738</v>
      </c>
      <c r="I1053" t="s">
        <v>12333</v>
      </c>
      <c r="J1053" t="s">
        <v>12335</v>
      </c>
      <c r="K1053" t="s">
        <v>13251</v>
      </c>
    </row>
    <row r="1054" spans="1:26" s="1" customFormat="1" x14ac:dyDescent="0.25">
      <c r="A1054" t="s">
        <v>12336</v>
      </c>
      <c r="B1054" t="s">
        <v>12337</v>
      </c>
      <c r="C1054" s="111"/>
      <c r="D1054" s="128"/>
      <c r="E1054">
        <v>1636</v>
      </c>
      <c r="F1054" t="s">
        <v>12338</v>
      </c>
      <c r="G1054" t="s">
        <v>12337</v>
      </c>
      <c r="H1054" t="s">
        <v>8738</v>
      </c>
      <c r="I1054" t="s">
        <v>12337</v>
      </c>
      <c r="J1054" t="s">
        <v>12338</v>
      </c>
      <c r="K1054" t="s">
        <v>13255</v>
      </c>
    </row>
    <row r="1055" spans="1:26" s="1" customFormat="1" x14ac:dyDescent="0.25">
      <c r="A1055" t="s">
        <v>12339</v>
      </c>
      <c r="B1055" t="s">
        <v>8984</v>
      </c>
      <c r="C1055" s="111"/>
      <c r="D1055" s="128"/>
      <c r="E1055">
        <v>560</v>
      </c>
      <c r="F1055" t="s">
        <v>12340</v>
      </c>
      <c r="G1055" t="s">
        <v>8984</v>
      </c>
      <c r="H1055" t="s">
        <v>8738</v>
      </c>
      <c r="I1055" t="s">
        <v>8984</v>
      </c>
      <c r="J1055" t="s">
        <v>12340</v>
      </c>
      <c r="K1055" t="s">
        <v>13252</v>
      </c>
    </row>
    <row r="1056" spans="1:26" s="1" customFormat="1" x14ac:dyDescent="0.25">
      <c r="A1056" t="s">
        <v>12341</v>
      </c>
      <c r="B1056" t="s">
        <v>12342</v>
      </c>
      <c r="C1056" s="111"/>
      <c r="D1056" s="128"/>
      <c r="E1056">
        <v>180</v>
      </c>
      <c r="F1056" t="s">
        <v>12343</v>
      </c>
      <c r="G1056" t="s">
        <v>12342</v>
      </c>
      <c r="H1056" t="s">
        <v>8738</v>
      </c>
      <c r="I1056" t="s">
        <v>12342</v>
      </c>
      <c r="J1056" t="s">
        <v>12343</v>
      </c>
      <c r="K1056" t="s">
        <v>7965</v>
      </c>
    </row>
    <row r="1057" spans="1:11" s="1" customFormat="1" x14ac:dyDescent="0.25">
      <c r="A1057" t="s">
        <v>12344</v>
      </c>
      <c r="B1057" t="s">
        <v>12345</v>
      </c>
      <c r="C1057" s="111"/>
      <c r="D1057" s="128"/>
      <c r="E1057">
        <v>304</v>
      </c>
      <c r="F1057" t="s">
        <v>12346</v>
      </c>
      <c r="G1057" t="s">
        <v>12345</v>
      </c>
      <c r="H1057" t="s">
        <v>8738</v>
      </c>
      <c r="I1057" t="s">
        <v>12345</v>
      </c>
      <c r="J1057" t="s">
        <v>12346</v>
      </c>
      <c r="K1057" t="s">
        <v>8155</v>
      </c>
    </row>
    <row r="1058" spans="1:11" s="1" customFormat="1" x14ac:dyDescent="0.25">
      <c r="A1058" t="s">
        <v>12347</v>
      </c>
      <c r="B1058" t="s">
        <v>12348</v>
      </c>
      <c r="C1058" s="111"/>
      <c r="D1058" s="128"/>
      <c r="E1058">
        <v>100</v>
      </c>
      <c r="F1058" t="s">
        <v>12349</v>
      </c>
      <c r="G1058" t="s">
        <v>12348</v>
      </c>
      <c r="H1058" t="s">
        <v>8738</v>
      </c>
      <c r="I1058" t="s">
        <v>12348</v>
      </c>
      <c r="J1058" t="s">
        <v>12349</v>
      </c>
      <c r="K1058" t="s">
        <v>12489</v>
      </c>
    </row>
    <row r="1059" spans="1:11" s="1" customFormat="1" x14ac:dyDescent="0.25">
      <c r="A1059" t="s">
        <v>12350</v>
      </c>
      <c r="B1059" t="s">
        <v>12351</v>
      </c>
      <c r="C1059" s="111"/>
      <c r="D1059" s="128"/>
      <c r="E1059">
        <v>1198</v>
      </c>
      <c r="F1059" t="s">
        <v>12352</v>
      </c>
      <c r="G1059" t="s">
        <v>12351</v>
      </c>
      <c r="H1059" t="s">
        <v>8738</v>
      </c>
      <c r="I1059" t="s">
        <v>12351</v>
      </c>
      <c r="J1059" t="s">
        <v>12352</v>
      </c>
      <c r="K1059" t="s">
        <v>13250</v>
      </c>
    </row>
    <row r="1060" spans="1:11" s="1" customFormat="1" x14ac:dyDescent="0.25">
      <c r="A1060" t="s">
        <v>12353</v>
      </c>
      <c r="B1060" t="s">
        <v>12354</v>
      </c>
      <c r="C1060" s="111"/>
      <c r="D1060" s="128"/>
      <c r="E1060">
        <v>834</v>
      </c>
      <c r="F1060" t="s">
        <v>12355</v>
      </c>
      <c r="G1060" t="s">
        <v>12354</v>
      </c>
      <c r="H1060" t="s">
        <v>8738</v>
      </c>
      <c r="I1060" t="s">
        <v>12354</v>
      </c>
      <c r="J1060" t="s">
        <v>12355</v>
      </c>
      <c r="K1060" t="s">
        <v>13253</v>
      </c>
    </row>
    <row r="1061" spans="1:11" s="1" customFormat="1" x14ac:dyDescent="0.25">
      <c r="A1061" t="s">
        <v>12356</v>
      </c>
      <c r="B1061" t="s">
        <v>12357</v>
      </c>
      <c r="C1061" s="111"/>
      <c r="D1061" s="128"/>
      <c r="E1061">
        <v>1</v>
      </c>
      <c r="F1061" t="s">
        <v>12358</v>
      </c>
      <c r="G1061" t="s">
        <v>12357</v>
      </c>
      <c r="H1061" t="s">
        <v>8738</v>
      </c>
      <c r="I1061" t="s">
        <v>12357</v>
      </c>
      <c r="J1061" t="s">
        <v>12358</v>
      </c>
      <c r="K1061" t="s">
        <v>13251</v>
      </c>
    </row>
    <row r="1062" spans="1:11" s="1" customFormat="1" x14ac:dyDescent="0.25">
      <c r="A1062" t="s">
        <v>12359</v>
      </c>
      <c r="B1062" t="s">
        <v>12360</v>
      </c>
      <c r="C1062" s="111"/>
      <c r="D1062" s="128"/>
      <c r="E1062">
        <v>307</v>
      </c>
      <c r="F1062" t="s">
        <v>12361</v>
      </c>
      <c r="G1062" t="s">
        <v>12360</v>
      </c>
      <c r="H1062" t="s">
        <v>8738</v>
      </c>
      <c r="I1062" t="s">
        <v>12360</v>
      </c>
      <c r="J1062" t="s">
        <v>12361</v>
      </c>
      <c r="K1062" t="s">
        <v>13250</v>
      </c>
    </row>
    <row r="1063" spans="1:11" s="1" customFormat="1" x14ac:dyDescent="0.25">
      <c r="A1063" t="s">
        <v>12362</v>
      </c>
      <c r="B1063" t="s">
        <v>12363</v>
      </c>
      <c r="C1063" s="111"/>
      <c r="D1063" s="128"/>
      <c r="E1063">
        <v>1454</v>
      </c>
      <c r="F1063" t="s">
        <v>12364</v>
      </c>
      <c r="G1063" t="s">
        <v>12363</v>
      </c>
      <c r="H1063" t="s">
        <v>8738</v>
      </c>
      <c r="I1063" t="s">
        <v>12363</v>
      </c>
      <c r="J1063" t="s">
        <v>12364</v>
      </c>
      <c r="K1063" t="s">
        <v>13252</v>
      </c>
    </row>
    <row r="1064" spans="1:11" s="1" customFormat="1" x14ac:dyDescent="0.25">
      <c r="A1064" t="s">
        <v>12365</v>
      </c>
      <c r="B1064" t="s">
        <v>12366</v>
      </c>
      <c r="C1064" s="111"/>
      <c r="D1064" s="128"/>
      <c r="E1064">
        <v>360</v>
      </c>
      <c r="F1064" t="s">
        <v>12367</v>
      </c>
      <c r="G1064" t="s">
        <v>12366</v>
      </c>
      <c r="H1064" t="s">
        <v>8738</v>
      </c>
      <c r="I1064" t="s">
        <v>12366</v>
      </c>
      <c r="J1064" t="s">
        <v>12367</v>
      </c>
      <c r="K1064" t="s">
        <v>7965</v>
      </c>
    </row>
    <row r="1065" spans="1:11" s="1" customFormat="1" x14ac:dyDescent="0.25">
      <c r="A1065" t="s">
        <v>12368</v>
      </c>
      <c r="B1065" t="s">
        <v>12369</v>
      </c>
      <c r="C1065" s="111"/>
      <c r="D1065" s="128"/>
      <c r="E1065">
        <v>420</v>
      </c>
      <c r="F1065" t="s">
        <v>12370</v>
      </c>
      <c r="G1065" t="s">
        <v>12369</v>
      </c>
      <c r="H1065" t="s">
        <v>8738</v>
      </c>
      <c r="I1065" t="s">
        <v>12369</v>
      </c>
      <c r="J1065" t="s">
        <v>12370</v>
      </c>
      <c r="K1065" t="s">
        <v>7965</v>
      </c>
    </row>
    <row r="1066" spans="1:11" s="1" customFormat="1" x14ac:dyDescent="0.25">
      <c r="A1066" t="s">
        <v>12371</v>
      </c>
      <c r="B1066" t="s">
        <v>12372</v>
      </c>
      <c r="C1066" s="111"/>
      <c r="D1066" s="128"/>
      <c r="E1066">
        <v>762</v>
      </c>
      <c r="F1066" t="s">
        <v>12373</v>
      </c>
      <c r="G1066" t="s">
        <v>12372</v>
      </c>
      <c r="H1066" t="s">
        <v>8738</v>
      </c>
      <c r="I1066" t="s">
        <v>12372</v>
      </c>
      <c r="J1066" t="s">
        <v>12373</v>
      </c>
      <c r="K1066" t="s">
        <v>13252</v>
      </c>
    </row>
    <row r="1067" spans="1:11" s="1" customFormat="1" x14ac:dyDescent="0.25">
      <c r="A1067" t="s">
        <v>12374</v>
      </c>
      <c r="B1067" t="s">
        <v>12375</v>
      </c>
      <c r="C1067" s="111"/>
      <c r="D1067" s="128"/>
      <c r="E1067">
        <v>902</v>
      </c>
      <c r="F1067" t="s">
        <v>12376</v>
      </c>
      <c r="G1067" t="s">
        <v>12375</v>
      </c>
      <c r="H1067" t="s">
        <v>8738</v>
      </c>
      <c r="I1067" t="s">
        <v>12375</v>
      </c>
      <c r="J1067" t="s">
        <v>12376</v>
      </c>
      <c r="K1067" t="s">
        <v>13253</v>
      </c>
    </row>
    <row r="1068" spans="1:11" s="1" customFormat="1" x14ac:dyDescent="0.25">
      <c r="A1068" t="s">
        <v>12377</v>
      </c>
      <c r="B1068" t="s">
        <v>12378</v>
      </c>
      <c r="C1068" s="111"/>
      <c r="D1068" s="128"/>
      <c r="E1068">
        <v>396</v>
      </c>
      <c r="F1068" t="s">
        <v>12379</v>
      </c>
      <c r="G1068" t="s">
        <v>12378</v>
      </c>
      <c r="H1068" t="s">
        <v>8738</v>
      </c>
      <c r="I1068" t="s">
        <v>12378</v>
      </c>
      <c r="J1068" t="s">
        <v>12379</v>
      </c>
      <c r="K1068" t="s">
        <v>8155</v>
      </c>
    </row>
    <row r="1069" spans="1:11" s="1" customFormat="1" x14ac:dyDescent="0.25">
      <c r="A1069" t="s">
        <v>12380</v>
      </c>
      <c r="B1069" t="s">
        <v>12381</v>
      </c>
      <c r="C1069" s="111"/>
      <c r="D1069" s="128"/>
      <c r="E1069">
        <v>0</v>
      </c>
      <c r="F1069" t="s">
        <v>12382</v>
      </c>
      <c r="G1069" t="s">
        <v>12381</v>
      </c>
      <c r="H1069" t="s">
        <v>8738</v>
      </c>
      <c r="I1069" t="s">
        <v>12381</v>
      </c>
      <c r="J1069" t="s">
        <v>12382</v>
      </c>
      <c r="K1069" t="s">
        <v>12489</v>
      </c>
    </row>
    <row r="1070" spans="1:11" s="1" customFormat="1" x14ac:dyDescent="0.25">
      <c r="A1070" t="s">
        <v>12383</v>
      </c>
      <c r="B1070" t="s">
        <v>12384</v>
      </c>
      <c r="C1070" s="111"/>
      <c r="D1070" s="128"/>
      <c r="E1070">
        <v>247</v>
      </c>
      <c r="F1070" t="s">
        <v>12385</v>
      </c>
      <c r="G1070" t="s">
        <v>12384</v>
      </c>
      <c r="H1070" t="s">
        <v>8738</v>
      </c>
      <c r="I1070" t="s">
        <v>12384</v>
      </c>
      <c r="J1070" t="s">
        <v>12385</v>
      </c>
      <c r="K1070" t="s">
        <v>13251</v>
      </c>
    </row>
    <row r="1071" spans="1:11" s="1" customFormat="1" x14ac:dyDescent="0.25">
      <c r="A1071" t="s">
        <v>12386</v>
      </c>
      <c r="B1071" t="s">
        <v>12387</v>
      </c>
      <c r="C1071" s="111"/>
      <c r="D1071" s="128"/>
      <c r="E1071">
        <v>162</v>
      </c>
      <c r="F1071" t="s">
        <v>12388</v>
      </c>
      <c r="G1071" t="s">
        <v>12387</v>
      </c>
      <c r="H1071" t="s">
        <v>8738</v>
      </c>
      <c r="I1071" t="s">
        <v>12387</v>
      </c>
      <c r="J1071" t="s">
        <v>12388</v>
      </c>
      <c r="K1071" t="s">
        <v>9552</v>
      </c>
    </row>
    <row r="1072" spans="1:11" s="1" customFormat="1" x14ac:dyDescent="0.25">
      <c r="A1072" t="s">
        <v>12389</v>
      </c>
      <c r="B1072" t="s">
        <v>12390</v>
      </c>
      <c r="C1072" s="111"/>
      <c r="D1072" s="128"/>
      <c r="E1072">
        <v>897</v>
      </c>
      <c r="F1072" t="s">
        <v>12391</v>
      </c>
      <c r="G1072" t="s">
        <v>12390</v>
      </c>
      <c r="H1072" t="s">
        <v>8738</v>
      </c>
      <c r="I1072" t="s">
        <v>12390</v>
      </c>
      <c r="J1072" t="s">
        <v>12391</v>
      </c>
      <c r="K1072" t="s">
        <v>7965</v>
      </c>
    </row>
    <row r="1073" spans="1:11" s="1" customFormat="1" x14ac:dyDescent="0.25">
      <c r="A1073" t="s">
        <v>12392</v>
      </c>
      <c r="B1073" t="s">
        <v>12393</v>
      </c>
      <c r="C1073" s="111"/>
      <c r="D1073" s="128"/>
      <c r="E1073">
        <v>428</v>
      </c>
      <c r="F1073" t="s">
        <v>12394</v>
      </c>
      <c r="G1073" t="s">
        <v>12393</v>
      </c>
      <c r="H1073" t="s">
        <v>8738</v>
      </c>
      <c r="I1073" t="s">
        <v>12393</v>
      </c>
      <c r="J1073" t="s">
        <v>12394</v>
      </c>
      <c r="K1073" t="s">
        <v>13252</v>
      </c>
    </row>
    <row r="1074" spans="1:11" s="1" customFormat="1" x14ac:dyDescent="0.25">
      <c r="A1074" t="s">
        <v>12395</v>
      </c>
      <c r="B1074" t="s">
        <v>12396</v>
      </c>
      <c r="C1074" s="111"/>
      <c r="D1074" s="128"/>
      <c r="E1074">
        <v>396</v>
      </c>
      <c r="F1074" t="s">
        <v>12397</v>
      </c>
      <c r="G1074" t="s">
        <v>12396</v>
      </c>
      <c r="H1074" t="s">
        <v>8738</v>
      </c>
      <c r="I1074" t="s">
        <v>12396</v>
      </c>
      <c r="J1074" t="s">
        <v>12397</v>
      </c>
      <c r="K1074" t="s">
        <v>13250</v>
      </c>
    </row>
    <row r="1075" spans="1:11" s="1" customFormat="1" x14ac:dyDescent="0.25">
      <c r="A1075" t="s">
        <v>12398</v>
      </c>
      <c r="B1075" t="s">
        <v>12399</v>
      </c>
      <c r="C1075" s="111"/>
      <c r="D1075" s="129"/>
      <c r="E1075">
        <v>1007</v>
      </c>
      <c r="F1075" t="s">
        <v>12400</v>
      </c>
      <c r="G1075" t="s">
        <v>12399</v>
      </c>
      <c r="H1075" t="s">
        <v>8738</v>
      </c>
      <c r="I1075" t="s">
        <v>12399</v>
      </c>
      <c r="J1075" t="s">
        <v>12400</v>
      </c>
      <c r="K1075" t="s">
        <v>7965</v>
      </c>
    </row>
    <row r="1076" spans="1:11" s="1" customFormat="1" x14ac:dyDescent="0.25">
      <c r="A1076" t="s">
        <v>12401</v>
      </c>
      <c r="B1076" t="s">
        <v>8901</v>
      </c>
      <c r="C1076" s="111"/>
      <c r="D1076" s="128"/>
      <c r="E1076">
        <v>1552</v>
      </c>
      <c r="F1076" t="s">
        <v>12402</v>
      </c>
      <c r="G1076" t="s">
        <v>8901</v>
      </c>
      <c r="H1076" t="s">
        <v>8738</v>
      </c>
      <c r="I1076" t="s">
        <v>8901</v>
      </c>
      <c r="J1076" t="s">
        <v>12402</v>
      </c>
      <c r="K1076" t="s">
        <v>13255</v>
      </c>
    </row>
    <row r="1077" spans="1:11" s="1" customFormat="1" x14ac:dyDescent="0.25">
      <c r="A1077" t="s">
        <v>12403</v>
      </c>
      <c r="B1077" t="s">
        <v>12404</v>
      </c>
      <c r="C1077" s="111"/>
      <c r="D1077" s="128"/>
      <c r="E1077">
        <v>0</v>
      </c>
      <c r="F1077" t="s">
        <v>12405</v>
      </c>
      <c r="G1077" t="s">
        <v>12404</v>
      </c>
      <c r="H1077" t="s">
        <v>8738</v>
      </c>
      <c r="I1077" t="s">
        <v>12404</v>
      </c>
      <c r="J1077" t="s">
        <v>12405</v>
      </c>
      <c r="K1077" t="s">
        <v>13255</v>
      </c>
    </row>
    <row r="1078" spans="1:11" s="1" customFormat="1" x14ac:dyDescent="0.25">
      <c r="A1078" t="s">
        <v>12406</v>
      </c>
      <c r="B1078" t="s">
        <v>12407</v>
      </c>
      <c r="C1078" s="111"/>
      <c r="D1078" s="128"/>
      <c r="E1078">
        <v>50</v>
      </c>
      <c r="F1078" t="s">
        <v>12409</v>
      </c>
      <c r="G1078" t="s">
        <v>12408</v>
      </c>
      <c r="H1078" t="s">
        <v>8738</v>
      </c>
      <c r="I1078" t="s">
        <v>12407</v>
      </c>
      <c r="J1078" t="s">
        <v>12409</v>
      </c>
      <c r="K1078" t="s">
        <v>13251</v>
      </c>
    </row>
    <row r="1079" spans="1:11" s="1" customFormat="1" x14ac:dyDescent="0.25">
      <c r="A1079" t="s">
        <v>12410</v>
      </c>
      <c r="B1079" t="s">
        <v>9794</v>
      </c>
      <c r="C1079" s="111"/>
      <c r="D1079" s="128"/>
      <c r="E1079">
        <v>1155</v>
      </c>
      <c r="F1079" t="s">
        <v>12411</v>
      </c>
      <c r="G1079" t="s">
        <v>9794</v>
      </c>
      <c r="H1079" t="s">
        <v>8738</v>
      </c>
      <c r="I1079" t="s">
        <v>9794</v>
      </c>
      <c r="J1079" t="s">
        <v>12411</v>
      </c>
      <c r="K1079" t="s">
        <v>13250</v>
      </c>
    </row>
    <row r="1080" spans="1:11" s="1" customFormat="1" x14ac:dyDescent="0.25">
      <c r="A1080" t="s">
        <v>12412</v>
      </c>
      <c r="B1080" t="s">
        <v>12413</v>
      </c>
      <c r="C1080" s="111"/>
      <c r="D1080" s="128"/>
      <c r="E1080">
        <v>104</v>
      </c>
      <c r="F1080" t="s">
        <v>12414</v>
      </c>
      <c r="G1080" t="s">
        <v>12413</v>
      </c>
      <c r="H1080" t="s">
        <v>8738</v>
      </c>
      <c r="I1080" t="s">
        <v>12413</v>
      </c>
      <c r="J1080" t="s">
        <v>12414</v>
      </c>
      <c r="K1080" t="s">
        <v>13251</v>
      </c>
    </row>
    <row r="1081" spans="1:11" s="1" customFormat="1" x14ac:dyDescent="0.25">
      <c r="A1081" t="s">
        <v>12415</v>
      </c>
      <c r="B1081" t="s">
        <v>11124</v>
      </c>
      <c r="C1081" s="111"/>
      <c r="D1081" s="128"/>
      <c r="E1081">
        <v>745</v>
      </c>
      <c r="F1081" t="s">
        <v>12416</v>
      </c>
      <c r="G1081" t="s">
        <v>11124</v>
      </c>
      <c r="H1081" t="s">
        <v>8738</v>
      </c>
      <c r="I1081" t="s">
        <v>11124</v>
      </c>
      <c r="J1081" t="s">
        <v>12416</v>
      </c>
      <c r="K1081" t="s">
        <v>13253</v>
      </c>
    </row>
    <row r="1082" spans="1:11" s="1" customFormat="1" x14ac:dyDescent="0.25">
      <c r="A1082" t="s">
        <v>12417</v>
      </c>
      <c r="B1082" t="s">
        <v>12418</v>
      </c>
      <c r="C1082" s="111"/>
      <c r="D1082" s="128"/>
      <c r="E1082">
        <v>996</v>
      </c>
      <c r="F1082" t="s">
        <v>12419</v>
      </c>
      <c r="G1082" t="s">
        <v>12418</v>
      </c>
      <c r="H1082" t="s">
        <v>8738</v>
      </c>
      <c r="I1082" t="s">
        <v>12418</v>
      </c>
      <c r="J1082" t="s">
        <v>12419</v>
      </c>
      <c r="K1082" t="s">
        <v>11642</v>
      </c>
    </row>
    <row r="1083" spans="1:11" s="1" customFormat="1" x14ac:dyDescent="0.25">
      <c r="A1083" t="s">
        <v>12420</v>
      </c>
      <c r="B1083" t="s">
        <v>12421</v>
      </c>
      <c r="C1083" s="111"/>
      <c r="D1083" s="128"/>
      <c r="E1083">
        <v>163</v>
      </c>
      <c r="F1083" t="s">
        <v>12423</v>
      </c>
      <c r="G1083" t="s">
        <v>12422</v>
      </c>
      <c r="H1083" t="s">
        <v>8738</v>
      </c>
      <c r="I1083" t="s">
        <v>12421</v>
      </c>
      <c r="J1083" t="s">
        <v>12423</v>
      </c>
      <c r="K1083" t="s">
        <v>13255</v>
      </c>
    </row>
    <row r="1084" spans="1:11" s="1" customFormat="1" x14ac:dyDescent="0.25">
      <c r="A1084" t="s">
        <v>12424</v>
      </c>
      <c r="B1084" t="s">
        <v>12425</v>
      </c>
      <c r="C1084" s="111"/>
      <c r="D1084" s="128"/>
      <c r="E1084">
        <v>550</v>
      </c>
      <c r="F1084" t="s">
        <v>12426</v>
      </c>
      <c r="G1084" t="s">
        <v>12425</v>
      </c>
      <c r="H1084" t="s">
        <v>8738</v>
      </c>
      <c r="I1084" t="s">
        <v>12425</v>
      </c>
      <c r="J1084" t="s">
        <v>12426</v>
      </c>
      <c r="K1084" t="s">
        <v>13255</v>
      </c>
    </row>
    <row r="1085" spans="1:11" s="1" customFormat="1" x14ac:dyDescent="0.25">
      <c r="A1085" t="s">
        <v>12427</v>
      </c>
      <c r="B1085" t="s">
        <v>12428</v>
      </c>
      <c r="C1085" s="111"/>
      <c r="D1085" s="128"/>
      <c r="E1085">
        <v>624</v>
      </c>
      <c r="F1085" t="s">
        <v>12429</v>
      </c>
      <c r="G1085" t="s">
        <v>12428</v>
      </c>
      <c r="H1085" t="s">
        <v>8738</v>
      </c>
      <c r="I1085" t="s">
        <v>12428</v>
      </c>
      <c r="J1085" t="s">
        <v>12429</v>
      </c>
      <c r="K1085" t="s">
        <v>13255</v>
      </c>
    </row>
    <row r="1086" spans="1:11" s="1" customFormat="1" x14ac:dyDescent="0.25">
      <c r="A1086" t="s">
        <v>12430</v>
      </c>
      <c r="B1086" t="s">
        <v>9552</v>
      </c>
      <c r="C1086" s="111"/>
      <c r="D1086" s="128"/>
      <c r="E1086">
        <v>915</v>
      </c>
      <c r="F1086" t="s">
        <v>12431</v>
      </c>
      <c r="G1086" t="s">
        <v>9552</v>
      </c>
      <c r="H1086" t="s">
        <v>8738</v>
      </c>
      <c r="I1086" t="s">
        <v>9552</v>
      </c>
      <c r="J1086" t="s">
        <v>12431</v>
      </c>
      <c r="K1086" t="s">
        <v>9552</v>
      </c>
    </row>
    <row r="1087" spans="1:11" s="1" customFormat="1" x14ac:dyDescent="0.25">
      <c r="A1087" t="s">
        <v>12432</v>
      </c>
      <c r="B1087" t="s">
        <v>12433</v>
      </c>
      <c r="C1087" s="111"/>
      <c r="D1087" s="128"/>
      <c r="E1087"/>
      <c r="F1087" t="s">
        <v>12434</v>
      </c>
      <c r="G1087" t="s">
        <v>12433</v>
      </c>
      <c r="H1087" t="s">
        <v>8738</v>
      </c>
      <c r="I1087" t="s">
        <v>12433</v>
      </c>
      <c r="J1087" t="s">
        <v>12434</v>
      </c>
      <c r="K1087" t="s">
        <v>9567</v>
      </c>
    </row>
    <row r="1088" spans="1:11" s="1" customFormat="1" x14ac:dyDescent="0.25">
      <c r="A1088" t="s">
        <v>12435</v>
      </c>
      <c r="B1088" t="s">
        <v>11642</v>
      </c>
      <c r="C1088" s="111"/>
      <c r="D1088" s="128"/>
      <c r="E1088">
        <v>1839</v>
      </c>
      <c r="F1088" t="s">
        <v>12436</v>
      </c>
      <c r="G1088" t="s">
        <v>11642</v>
      </c>
      <c r="H1088" t="s">
        <v>8738</v>
      </c>
      <c r="I1088" t="s">
        <v>11642</v>
      </c>
      <c r="J1088" t="s">
        <v>12436</v>
      </c>
      <c r="K1088" t="s">
        <v>11642</v>
      </c>
    </row>
    <row r="1089" spans="1:11" s="1" customFormat="1" x14ac:dyDescent="0.25">
      <c r="A1089" t="s">
        <v>12437</v>
      </c>
      <c r="B1089" t="s">
        <v>12438</v>
      </c>
      <c r="C1089" s="111"/>
      <c r="D1089" s="128"/>
      <c r="E1089">
        <v>577</v>
      </c>
      <c r="F1089" t="s">
        <v>12439</v>
      </c>
      <c r="G1089" t="s">
        <v>12438</v>
      </c>
      <c r="H1089" t="s">
        <v>8738</v>
      </c>
      <c r="I1089" t="s">
        <v>12438</v>
      </c>
      <c r="J1089" t="s">
        <v>12439</v>
      </c>
      <c r="K1089" t="s">
        <v>13255</v>
      </c>
    </row>
    <row r="1090" spans="1:11" s="1" customFormat="1" x14ac:dyDescent="0.25">
      <c r="A1090" t="s">
        <v>12440</v>
      </c>
      <c r="B1090" t="s">
        <v>12441</v>
      </c>
      <c r="C1090" s="111"/>
      <c r="D1090" s="128"/>
      <c r="E1090">
        <v>1298</v>
      </c>
      <c r="F1090" t="s">
        <v>12442</v>
      </c>
      <c r="G1090" t="s">
        <v>12441</v>
      </c>
      <c r="H1090" t="s">
        <v>8738</v>
      </c>
      <c r="I1090" t="s">
        <v>12441</v>
      </c>
      <c r="J1090" t="s">
        <v>12442</v>
      </c>
      <c r="K1090" t="s">
        <v>7965</v>
      </c>
    </row>
    <row r="1091" spans="1:11" s="1" customFormat="1" x14ac:dyDescent="0.25">
      <c r="A1091" t="s">
        <v>12443</v>
      </c>
      <c r="B1091" t="s">
        <v>12444</v>
      </c>
      <c r="C1091" s="111"/>
      <c r="D1091" s="128"/>
      <c r="E1091">
        <v>1401</v>
      </c>
      <c r="F1091" t="s">
        <v>12445</v>
      </c>
      <c r="G1091" t="s">
        <v>12444</v>
      </c>
      <c r="H1091" t="s">
        <v>8738</v>
      </c>
      <c r="I1091" t="s">
        <v>12444</v>
      </c>
      <c r="J1091" t="s">
        <v>12445</v>
      </c>
      <c r="K1091" t="s">
        <v>13250</v>
      </c>
    </row>
    <row r="1092" spans="1:11" s="1" customFormat="1" x14ac:dyDescent="0.25">
      <c r="A1092" t="s">
        <v>12446</v>
      </c>
      <c r="B1092" t="s">
        <v>8155</v>
      </c>
      <c r="C1092" s="111"/>
      <c r="D1092" s="128"/>
      <c r="E1092">
        <v>2340</v>
      </c>
      <c r="F1092" t="s">
        <v>12447</v>
      </c>
      <c r="G1092" t="s">
        <v>8155</v>
      </c>
      <c r="H1092" t="s">
        <v>8738</v>
      </c>
      <c r="I1092" t="s">
        <v>8155</v>
      </c>
      <c r="J1092" t="s">
        <v>12447</v>
      </c>
      <c r="K1092" t="s">
        <v>8155</v>
      </c>
    </row>
    <row r="1093" spans="1:11" s="1" customFormat="1" x14ac:dyDescent="0.25">
      <c r="A1093" t="s">
        <v>12448</v>
      </c>
      <c r="B1093" t="s">
        <v>12449</v>
      </c>
      <c r="C1093" s="111"/>
      <c r="D1093" s="128"/>
      <c r="E1093">
        <v>785</v>
      </c>
      <c r="F1093" t="s">
        <v>12450</v>
      </c>
      <c r="G1093" t="s">
        <v>12449</v>
      </c>
      <c r="H1093" t="s">
        <v>8738</v>
      </c>
      <c r="I1093" t="s">
        <v>12449</v>
      </c>
      <c r="J1093" t="s">
        <v>12450</v>
      </c>
      <c r="K1093" t="s">
        <v>7965</v>
      </c>
    </row>
    <row r="1094" spans="1:11" s="1" customFormat="1" x14ac:dyDescent="0.25">
      <c r="A1094" t="s">
        <v>12451</v>
      </c>
      <c r="B1094" t="s">
        <v>9357</v>
      </c>
      <c r="C1094" s="111"/>
      <c r="D1094" s="128"/>
      <c r="E1094">
        <v>144</v>
      </c>
      <c r="F1094" t="s">
        <v>12452</v>
      </c>
      <c r="G1094" t="s">
        <v>9357</v>
      </c>
      <c r="H1094" t="s">
        <v>8738</v>
      </c>
      <c r="I1094" t="s">
        <v>9357</v>
      </c>
      <c r="J1094" t="s">
        <v>12452</v>
      </c>
      <c r="K1094" t="s">
        <v>13251</v>
      </c>
    </row>
    <row r="1095" spans="1:11" s="1" customFormat="1" x14ac:dyDescent="0.25">
      <c r="A1095" t="s">
        <v>12453</v>
      </c>
      <c r="B1095" t="s">
        <v>12454</v>
      </c>
      <c r="C1095" s="111"/>
      <c r="D1095" s="128"/>
      <c r="E1095">
        <v>645</v>
      </c>
      <c r="F1095" t="s">
        <v>12456</v>
      </c>
      <c r="G1095" t="s">
        <v>12455</v>
      </c>
      <c r="H1095" t="s">
        <v>8738</v>
      </c>
      <c r="I1095" t="s">
        <v>12454</v>
      </c>
      <c r="J1095" t="s">
        <v>12456</v>
      </c>
      <c r="K1095" t="s">
        <v>13255</v>
      </c>
    </row>
    <row r="1096" spans="1:11" s="1" customFormat="1" x14ac:dyDescent="0.25">
      <c r="A1096" t="s">
        <v>12457</v>
      </c>
      <c r="B1096" t="s">
        <v>12458</v>
      </c>
      <c r="C1096" s="111"/>
      <c r="D1096" s="128"/>
      <c r="E1096">
        <v>88</v>
      </c>
      <c r="F1096" t="s">
        <v>12459</v>
      </c>
      <c r="G1096" t="s">
        <v>12458</v>
      </c>
      <c r="H1096" t="s">
        <v>8738</v>
      </c>
      <c r="I1096" t="s">
        <v>12458</v>
      </c>
      <c r="J1096" t="s">
        <v>12459</v>
      </c>
      <c r="K1096" t="s">
        <v>13251</v>
      </c>
    </row>
    <row r="1097" spans="1:11" s="1" customFormat="1" x14ac:dyDescent="0.25">
      <c r="A1097" t="s">
        <v>12460</v>
      </c>
      <c r="B1097" t="s">
        <v>9806</v>
      </c>
      <c r="C1097" s="111"/>
      <c r="D1097" s="128"/>
      <c r="E1097">
        <v>331</v>
      </c>
      <c r="F1097" t="s">
        <v>12462</v>
      </c>
      <c r="G1097" t="s">
        <v>12461</v>
      </c>
      <c r="H1097" t="s">
        <v>8738</v>
      </c>
      <c r="I1097" t="s">
        <v>9806</v>
      </c>
      <c r="J1097" t="s">
        <v>12462</v>
      </c>
      <c r="K1097" t="s">
        <v>13254</v>
      </c>
    </row>
    <row r="1098" spans="1:11" s="1" customFormat="1" x14ac:dyDescent="0.25">
      <c r="A1098" t="s">
        <v>12463</v>
      </c>
      <c r="B1098" t="s">
        <v>10794</v>
      </c>
      <c r="C1098" s="111"/>
      <c r="D1098" s="128"/>
      <c r="E1098">
        <v>2517</v>
      </c>
      <c r="F1098" t="s">
        <v>12464</v>
      </c>
      <c r="G1098" t="s">
        <v>10794</v>
      </c>
      <c r="H1098" t="s">
        <v>8738</v>
      </c>
      <c r="I1098" t="s">
        <v>10794</v>
      </c>
      <c r="J1098" t="s">
        <v>12464</v>
      </c>
      <c r="K1098" t="s">
        <v>13250</v>
      </c>
    </row>
    <row r="1099" spans="1:11" s="1" customFormat="1" x14ac:dyDescent="0.25">
      <c r="A1099" t="s">
        <v>12465</v>
      </c>
      <c r="B1099" t="s">
        <v>8242</v>
      </c>
      <c r="C1099" s="111"/>
      <c r="D1099" s="128"/>
      <c r="E1099">
        <v>1287</v>
      </c>
      <c r="F1099" t="s">
        <v>12466</v>
      </c>
      <c r="G1099" t="s">
        <v>8242</v>
      </c>
      <c r="H1099" t="s">
        <v>8738</v>
      </c>
      <c r="I1099" t="s">
        <v>8242</v>
      </c>
      <c r="J1099" t="s">
        <v>12466</v>
      </c>
      <c r="K1099" t="s">
        <v>13255</v>
      </c>
    </row>
    <row r="1100" spans="1:11" s="1" customFormat="1" x14ac:dyDescent="0.25">
      <c r="A1100" t="s">
        <v>12467</v>
      </c>
      <c r="B1100" t="s">
        <v>12468</v>
      </c>
      <c r="C1100" s="111"/>
      <c r="D1100" s="128"/>
      <c r="E1100">
        <v>1635</v>
      </c>
      <c r="F1100" t="s">
        <v>12469</v>
      </c>
      <c r="G1100" t="s">
        <v>12468</v>
      </c>
      <c r="H1100" t="s">
        <v>8738</v>
      </c>
      <c r="I1100" t="s">
        <v>12468</v>
      </c>
      <c r="J1100" t="s">
        <v>12469</v>
      </c>
      <c r="K1100" t="s">
        <v>7965</v>
      </c>
    </row>
    <row r="1101" spans="1:11" s="1" customFormat="1" x14ac:dyDescent="0.25">
      <c r="A1101" t="s">
        <v>12470</v>
      </c>
      <c r="B1101" t="s">
        <v>12471</v>
      </c>
      <c r="C1101" s="111"/>
      <c r="D1101" s="128"/>
      <c r="E1101">
        <v>598</v>
      </c>
      <c r="F1101" t="s">
        <v>12472</v>
      </c>
      <c r="G1101" t="s">
        <v>12471</v>
      </c>
      <c r="H1101" t="s">
        <v>8738</v>
      </c>
      <c r="I1101" t="s">
        <v>12471</v>
      </c>
      <c r="J1101" t="s">
        <v>12472</v>
      </c>
      <c r="K1101" t="s">
        <v>9552</v>
      </c>
    </row>
    <row r="1102" spans="1:11" s="1" customFormat="1" x14ac:dyDescent="0.25">
      <c r="A1102" t="s">
        <v>12473</v>
      </c>
      <c r="B1102" t="s">
        <v>12474</v>
      </c>
      <c r="C1102" s="111"/>
      <c r="D1102" s="128"/>
      <c r="E1102">
        <v>192</v>
      </c>
      <c r="F1102" t="s">
        <v>12475</v>
      </c>
      <c r="G1102" t="s">
        <v>12474</v>
      </c>
      <c r="H1102" t="s">
        <v>8738</v>
      </c>
      <c r="I1102" t="s">
        <v>12474</v>
      </c>
      <c r="J1102" t="s">
        <v>12475</v>
      </c>
      <c r="K1102" t="s">
        <v>13251</v>
      </c>
    </row>
    <row r="1103" spans="1:11" s="1" customFormat="1" x14ac:dyDescent="0.25">
      <c r="A1103" t="s">
        <v>12476</v>
      </c>
      <c r="B1103" t="s">
        <v>12477</v>
      </c>
      <c r="C1103" s="111"/>
      <c r="D1103" s="128"/>
      <c r="E1103">
        <v>1498</v>
      </c>
      <c r="F1103" t="s">
        <v>12478</v>
      </c>
      <c r="G1103" t="s">
        <v>12477</v>
      </c>
      <c r="H1103" t="s">
        <v>8738</v>
      </c>
      <c r="I1103" t="s">
        <v>12477</v>
      </c>
      <c r="J1103" t="s">
        <v>12478</v>
      </c>
      <c r="K1103" t="s">
        <v>13252</v>
      </c>
    </row>
    <row r="1104" spans="1:11" s="1" customFormat="1" x14ac:dyDescent="0.25">
      <c r="A1104" t="s">
        <v>12479</v>
      </c>
      <c r="B1104" t="s">
        <v>12480</v>
      </c>
      <c r="C1104" s="111"/>
      <c r="D1104" s="128"/>
      <c r="E1104">
        <v>777</v>
      </c>
      <c r="F1104" t="s">
        <v>12481</v>
      </c>
      <c r="G1104" t="s">
        <v>12480</v>
      </c>
      <c r="H1104" t="s">
        <v>8738</v>
      </c>
      <c r="I1104" t="s">
        <v>12480</v>
      </c>
      <c r="J1104" t="s">
        <v>12481</v>
      </c>
      <c r="K1104" t="s">
        <v>13252</v>
      </c>
    </row>
    <row r="1105" spans="1:11" s="1" customFormat="1" x14ac:dyDescent="0.25">
      <c r="A1105" t="s">
        <v>12482</v>
      </c>
      <c r="B1105" t="s">
        <v>12483</v>
      </c>
      <c r="C1105" s="111"/>
      <c r="D1105" s="128"/>
      <c r="E1105">
        <v>512</v>
      </c>
      <c r="F1105" t="s">
        <v>12484</v>
      </c>
      <c r="G1105" t="s">
        <v>12483</v>
      </c>
      <c r="H1105" t="s">
        <v>8738</v>
      </c>
      <c r="I1105" t="s">
        <v>12483</v>
      </c>
      <c r="J1105" t="s">
        <v>12484</v>
      </c>
      <c r="K1105" t="s">
        <v>13251</v>
      </c>
    </row>
    <row r="1106" spans="1:11" s="1" customFormat="1" x14ac:dyDescent="0.25">
      <c r="A1106" t="s">
        <v>12485</v>
      </c>
      <c r="B1106" t="s">
        <v>12486</v>
      </c>
      <c r="C1106" s="111"/>
      <c r="D1106" s="128"/>
      <c r="E1106">
        <v>1118</v>
      </c>
      <c r="F1106" t="s">
        <v>12487</v>
      </c>
      <c r="G1106" t="s">
        <v>12486</v>
      </c>
      <c r="H1106" t="s">
        <v>8738</v>
      </c>
      <c r="I1106" t="s">
        <v>12486</v>
      </c>
      <c r="J1106" t="s">
        <v>12487</v>
      </c>
      <c r="K1106" t="s">
        <v>8011</v>
      </c>
    </row>
    <row r="1107" spans="1:11" s="1" customFormat="1" x14ac:dyDescent="0.25">
      <c r="A1107" t="s">
        <v>12488</v>
      </c>
      <c r="B1107" t="s">
        <v>12489</v>
      </c>
      <c r="C1107" s="111"/>
      <c r="D1107" s="128"/>
      <c r="E1107">
        <v>1905</v>
      </c>
      <c r="F1107" t="s">
        <v>12490</v>
      </c>
      <c r="G1107" t="s">
        <v>12489</v>
      </c>
      <c r="H1107" t="s">
        <v>8738</v>
      </c>
      <c r="I1107" t="s">
        <v>12489</v>
      </c>
      <c r="J1107" t="s">
        <v>12490</v>
      </c>
      <c r="K1107" t="s">
        <v>12489</v>
      </c>
    </row>
    <row r="1108" spans="1:11" s="1" customFormat="1" x14ac:dyDescent="0.25">
      <c r="A1108" t="s">
        <v>12491</v>
      </c>
      <c r="B1108" t="s">
        <v>12492</v>
      </c>
      <c r="C1108" s="111"/>
      <c r="D1108" s="128"/>
      <c r="E1108"/>
      <c r="F1108" t="s">
        <v>12493</v>
      </c>
      <c r="G1108" t="s">
        <v>12492</v>
      </c>
      <c r="H1108" t="s">
        <v>8738</v>
      </c>
      <c r="I1108" t="s">
        <v>12492</v>
      </c>
      <c r="J1108" t="s">
        <v>12493</v>
      </c>
      <c r="K1108" t="s">
        <v>8155</v>
      </c>
    </row>
    <row r="1109" spans="1:11" s="1" customFormat="1" x14ac:dyDescent="0.25">
      <c r="A1109" t="s">
        <v>12494</v>
      </c>
      <c r="B1109" t="s">
        <v>12495</v>
      </c>
      <c r="C1109" s="111"/>
      <c r="D1109" s="128"/>
      <c r="E1109">
        <v>602</v>
      </c>
      <c r="F1109" t="s">
        <v>12496</v>
      </c>
      <c r="G1109" t="s">
        <v>12495</v>
      </c>
      <c r="H1109" t="s">
        <v>8738</v>
      </c>
      <c r="I1109" t="s">
        <v>12495</v>
      </c>
      <c r="J1109" t="s">
        <v>12496</v>
      </c>
      <c r="K1109" t="s">
        <v>8155</v>
      </c>
    </row>
    <row r="1110" spans="1:11" s="1" customFormat="1" x14ac:dyDescent="0.25">
      <c r="A1110" t="s">
        <v>12497</v>
      </c>
      <c r="B1110" t="s">
        <v>12498</v>
      </c>
      <c r="C1110" s="111"/>
      <c r="D1110" s="128"/>
      <c r="E1110">
        <v>100</v>
      </c>
      <c r="F1110" t="s">
        <v>12499</v>
      </c>
      <c r="G1110" t="s">
        <v>12498</v>
      </c>
      <c r="H1110" t="s">
        <v>8738</v>
      </c>
      <c r="I1110" t="s">
        <v>12498</v>
      </c>
      <c r="J1110" t="s">
        <v>12499</v>
      </c>
      <c r="K1110" t="s">
        <v>13251</v>
      </c>
    </row>
    <row r="1111" spans="1:11" s="1" customFormat="1" x14ac:dyDescent="0.25">
      <c r="A1111" t="s">
        <v>12500</v>
      </c>
      <c r="B1111" t="s">
        <v>12501</v>
      </c>
      <c r="C1111" s="111"/>
      <c r="D1111" s="128"/>
      <c r="E1111">
        <v>200</v>
      </c>
      <c r="F1111" t="s">
        <v>12502</v>
      </c>
      <c r="G1111" t="s">
        <v>12501</v>
      </c>
      <c r="H1111" t="s">
        <v>8738</v>
      </c>
      <c r="I1111" t="s">
        <v>12501</v>
      </c>
      <c r="J1111" t="s">
        <v>12502</v>
      </c>
      <c r="K1111" t="s">
        <v>13253</v>
      </c>
    </row>
    <row r="1112" spans="1:11" s="1" customFormat="1" x14ac:dyDescent="0.25">
      <c r="A1112" t="s">
        <v>12503</v>
      </c>
      <c r="B1112" t="s">
        <v>12504</v>
      </c>
      <c r="C1112" s="111"/>
      <c r="D1112" s="128"/>
      <c r="E1112">
        <v>0</v>
      </c>
      <c r="F1112" t="s">
        <v>12505</v>
      </c>
      <c r="G1112" t="s">
        <v>12504</v>
      </c>
      <c r="H1112" t="s">
        <v>8738</v>
      </c>
      <c r="I1112" t="s">
        <v>12504</v>
      </c>
      <c r="J1112" t="s">
        <v>12505</v>
      </c>
      <c r="K1112" t="s">
        <v>13253</v>
      </c>
    </row>
    <row r="1113" spans="1:11" s="1" customFormat="1" x14ac:dyDescent="0.25">
      <c r="A1113" t="s">
        <v>12506</v>
      </c>
      <c r="B1113" t="s">
        <v>12507</v>
      </c>
      <c r="C1113" s="111"/>
      <c r="D1113" s="128"/>
      <c r="E1113">
        <v>1290</v>
      </c>
      <c r="F1113" t="s">
        <v>12508</v>
      </c>
      <c r="G1113" t="s">
        <v>12507</v>
      </c>
      <c r="H1113" t="s">
        <v>8738</v>
      </c>
      <c r="I1113" t="s">
        <v>12507</v>
      </c>
      <c r="J1113" t="s">
        <v>12508</v>
      </c>
      <c r="K1113" t="s">
        <v>13253</v>
      </c>
    </row>
    <row r="1114" spans="1:11" s="1" customFormat="1" x14ac:dyDescent="0.25">
      <c r="A1114" t="s">
        <v>12509</v>
      </c>
      <c r="B1114" t="s">
        <v>12510</v>
      </c>
      <c r="C1114" s="111"/>
      <c r="D1114" s="128"/>
      <c r="E1114">
        <v>362</v>
      </c>
      <c r="F1114" t="s">
        <v>12511</v>
      </c>
      <c r="G1114" t="s">
        <v>12510</v>
      </c>
      <c r="H1114" t="s">
        <v>8738</v>
      </c>
      <c r="I1114" t="s">
        <v>12510</v>
      </c>
      <c r="J1114" t="s">
        <v>12511</v>
      </c>
      <c r="K1114" t="s">
        <v>9552</v>
      </c>
    </row>
    <row r="1115" spans="1:11" s="1" customFormat="1" x14ac:dyDescent="0.25">
      <c r="A1115" t="s">
        <v>12512</v>
      </c>
      <c r="B1115" t="s">
        <v>12513</v>
      </c>
      <c r="C1115" s="111"/>
      <c r="D1115" s="128"/>
      <c r="E1115">
        <v>735</v>
      </c>
      <c r="F1115" t="s">
        <v>12514</v>
      </c>
      <c r="G1115" t="s">
        <v>12513</v>
      </c>
      <c r="H1115" t="s">
        <v>8738</v>
      </c>
      <c r="I1115" t="s">
        <v>12513</v>
      </c>
      <c r="J1115" t="s">
        <v>12514</v>
      </c>
      <c r="K1115" t="s">
        <v>8011</v>
      </c>
    </row>
    <row r="1116" spans="1:11" s="1" customFormat="1" x14ac:dyDescent="0.25">
      <c r="A1116" t="s">
        <v>12515</v>
      </c>
      <c r="B1116" t="s">
        <v>12516</v>
      </c>
      <c r="C1116" s="111"/>
      <c r="D1116" s="128"/>
      <c r="E1116">
        <v>755</v>
      </c>
      <c r="F1116" t="s">
        <v>12517</v>
      </c>
      <c r="G1116" t="s">
        <v>12516</v>
      </c>
      <c r="H1116" t="s">
        <v>8738</v>
      </c>
      <c r="I1116" t="s">
        <v>12516</v>
      </c>
      <c r="J1116" t="s">
        <v>12517</v>
      </c>
      <c r="K1116" t="s">
        <v>13251</v>
      </c>
    </row>
    <row r="1117" spans="1:11" s="1" customFormat="1" x14ac:dyDescent="0.25">
      <c r="A1117" t="s">
        <v>12518</v>
      </c>
      <c r="B1117" t="s">
        <v>12519</v>
      </c>
      <c r="C1117" s="111"/>
      <c r="D1117" s="128"/>
      <c r="E1117">
        <v>2558</v>
      </c>
      <c r="F1117" t="s">
        <v>12520</v>
      </c>
      <c r="G1117" t="s">
        <v>8738</v>
      </c>
      <c r="H1117" t="s">
        <v>8738</v>
      </c>
      <c r="I1117" t="s">
        <v>12519</v>
      </c>
      <c r="J1117" t="s">
        <v>12520</v>
      </c>
      <c r="K1117" t="s">
        <v>13250</v>
      </c>
    </row>
    <row r="1118" spans="1:11" s="1" customFormat="1" x14ac:dyDescent="0.25">
      <c r="A1118" t="s">
        <v>12521</v>
      </c>
      <c r="B1118" t="s">
        <v>12522</v>
      </c>
      <c r="C1118" s="111"/>
      <c r="D1118" s="128"/>
      <c r="E1118">
        <v>721</v>
      </c>
      <c r="F1118" t="s">
        <v>12523</v>
      </c>
      <c r="G1118" t="s">
        <v>12264</v>
      </c>
      <c r="H1118" t="s">
        <v>8738</v>
      </c>
      <c r="I1118" t="s">
        <v>12522</v>
      </c>
      <c r="J1118" t="s">
        <v>12523</v>
      </c>
      <c r="K1118" t="s">
        <v>12264</v>
      </c>
    </row>
    <row r="1119" spans="1:11" s="1" customFormat="1" x14ac:dyDescent="0.25">
      <c r="A1119" t="s">
        <v>12524</v>
      </c>
      <c r="B1119" t="s">
        <v>12525</v>
      </c>
      <c r="C1119" s="111"/>
      <c r="D1119" s="128"/>
      <c r="E1119">
        <v>1755</v>
      </c>
      <c r="F1119" t="s">
        <v>12526</v>
      </c>
      <c r="G1119" t="s">
        <v>12264</v>
      </c>
      <c r="H1119" t="s">
        <v>8738</v>
      </c>
      <c r="I1119" t="s">
        <v>12525</v>
      </c>
      <c r="J1119" t="s">
        <v>12526</v>
      </c>
      <c r="K1119" t="s">
        <v>12264</v>
      </c>
    </row>
    <row r="1120" spans="1:11" s="1" customFormat="1" x14ac:dyDescent="0.25">
      <c r="A1120" t="s">
        <v>12527</v>
      </c>
      <c r="B1120" t="s">
        <v>12528</v>
      </c>
      <c r="C1120" s="111"/>
      <c r="D1120" s="128"/>
      <c r="E1120">
        <v>2401</v>
      </c>
      <c r="F1120" t="s">
        <v>12529</v>
      </c>
      <c r="G1120" t="s">
        <v>12264</v>
      </c>
      <c r="H1120" t="s">
        <v>8738</v>
      </c>
      <c r="I1120" t="s">
        <v>12528</v>
      </c>
      <c r="J1120" t="s">
        <v>12529</v>
      </c>
      <c r="K1120" t="s">
        <v>12264</v>
      </c>
    </row>
    <row r="1121" spans="1:11" s="1" customFormat="1" x14ac:dyDescent="0.25">
      <c r="A1121" t="s">
        <v>12530</v>
      </c>
      <c r="B1121" t="s">
        <v>12531</v>
      </c>
      <c r="C1121" s="111"/>
      <c r="D1121" s="128"/>
      <c r="E1121">
        <v>1676</v>
      </c>
      <c r="F1121" t="s">
        <v>12532</v>
      </c>
      <c r="G1121" t="s">
        <v>12264</v>
      </c>
      <c r="H1121" t="s">
        <v>8738</v>
      </c>
      <c r="I1121" t="s">
        <v>12531</v>
      </c>
      <c r="J1121" t="s">
        <v>12532</v>
      </c>
      <c r="K1121" t="s">
        <v>12264</v>
      </c>
    </row>
    <row r="1122" spans="1:11" s="1" customFormat="1" x14ac:dyDescent="0.25">
      <c r="A1122" t="s">
        <v>12533</v>
      </c>
      <c r="B1122" t="s">
        <v>12534</v>
      </c>
      <c r="C1122" s="111"/>
      <c r="D1122" s="128"/>
      <c r="E1122">
        <v>182</v>
      </c>
      <c r="F1122" t="s">
        <v>12535</v>
      </c>
      <c r="G1122" t="s">
        <v>12264</v>
      </c>
      <c r="H1122" t="s">
        <v>8738</v>
      </c>
      <c r="I1122" t="s">
        <v>12534</v>
      </c>
      <c r="J1122" t="s">
        <v>12535</v>
      </c>
      <c r="K1122" t="s">
        <v>12264</v>
      </c>
    </row>
    <row r="1123" spans="1:11" s="1" customFormat="1" x14ac:dyDescent="0.25">
      <c r="A1123" t="s">
        <v>12536</v>
      </c>
      <c r="B1123" t="s">
        <v>12537</v>
      </c>
      <c r="C1123" s="111"/>
      <c r="D1123" s="128"/>
      <c r="E1123">
        <v>1199</v>
      </c>
      <c r="F1123" t="s">
        <v>12538</v>
      </c>
      <c r="G1123" t="s">
        <v>12264</v>
      </c>
      <c r="H1123" t="s">
        <v>8738</v>
      </c>
      <c r="I1123" t="s">
        <v>12537</v>
      </c>
      <c r="J1123" t="s">
        <v>12538</v>
      </c>
      <c r="K1123" t="s">
        <v>12264</v>
      </c>
    </row>
    <row r="1124" spans="1:11" s="1" customFormat="1" x14ac:dyDescent="0.25">
      <c r="A1124" t="s">
        <v>12539</v>
      </c>
      <c r="B1124" t="s">
        <v>12540</v>
      </c>
      <c r="C1124" s="111"/>
      <c r="D1124" s="128"/>
      <c r="E1124">
        <v>967</v>
      </c>
      <c r="F1124" t="s">
        <v>12541</v>
      </c>
      <c r="G1124" t="s">
        <v>12264</v>
      </c>
      <c r="H1124" t="s">
        <v>8738</v>
      </c>
      <c r="I1124" t="s">
        <v>12540</v>
      </c>
      <c r="J1124" t="s">
        <v>12541</v>
      </c>
      <c r="K1124" t="s">
        <v>12264</v>
      </c>
    </row>
    <row r="1125" spans="1:11" s="1" customFormat="1" x14ac:dyDescent="0.25">
      <c r="A1125" t="s">
        <v>12542</v>
      </c>
      <c r="B1125" t="s">
        <v>12543</v>
      </c>
      <c r="C1125" s="111"/>
      <c r="D1125" s="128"/>
      <c r="E1125">
        <v>1144</v>
      </c>
      <c r="F1125" t="s">
        <v>12544</v>
      </c>
      <c r="G1125" t="s">
        <v>12264</v>
      </c>
      <c r="H1125" t="s">
        <v>8738</v>
      </c>
      <c r="I1125" t="s">
        <v>12543</v>
      </c>
      <c r="J1125" t="s">
        <v>12544</v>
      </c>
      <c r="K1125" t="s">
        <v>12264</v>
      </c>
    </row>
    <row r="1126" spans="1:11" s="1" customFormat="1" x14ac:dyDescent="0.25">
      <c r="A1126" t="s">
        <v>12545</v>
      </c>
      <c r="B1126" t="s">
        <v>12546</v>
      </c>
      <c r="C1126" s="111"/>
      <c r="D1126" s="128"/>
      <c r="E1126">
        <v>5516</v>
      </c>
      <c r="F1126" t="s">
        <v>12547</v>
      </c>
      <c r="G1126" t="s">
        <v>12264</v>
      </c>
      <c r="H1126" t="s">
        <v>8738</v>
      </c>
      <c r="I1126" t="s">
        <v>12546</v>
      </c>
      <c r="J1126" t="s">
        <v>12547</v>
      </c>
      <c r="K1126" t="s">
        <v>12264</v>
      </c>
    </row>
    <row r="1127" spans="1:11" s="1" customFormat="1" x14ac:dyDescent="0.25">
      <c r="A1127" t="s">
        <v>12548</v>
      </c>
      <c r="B1127" t="s">
        <v>12549</v>
      </c>
      <c r="C1127" s="111"/>
      <c r="D1127" s="128"/>
      <c r="E1127">
        <v>6365</v>
      </c>
      <c r="F1127" t="s">
        <v>12550</v>
      </c>
      <c r="G1127" t="s">
        <v>12264</v>
      </c>
      <c r="H1127" t="s">
        <v>8738</v>
      </c>
      <c r="I1127" t="s">
        <v>12549</v>
      </c>
      <c r="J1127" t="s">
        <v>12550</v>
      </c>
      <c r="K1127" t="s">
        <v>12264</v>
      </c>
    </row>
    <row r="1128" spans="1:11" s="1" customFormat="1" x14ac:dyDescent="0.25">
      <c r="A1128" t="s">
        <v>12551</v>
      </c>
      <c r="B1128" t="s">
        <v>12552</v>
      </c>
      <c r="C1128" s="111"/>
      <c r="D1128" s="128"/>
      <c r="E1128">
        <v>1702</v>
      </c>
      <c r="F1128" t="s">
        <v>12553</v>
      </c>
      <c r="G1128" t="s">
        <v>12264</v>
      </c>
      <c r="H1128" t="s">
        <v>8738</v>
      </c>
      <c r="I1128" t="s">
        <v>12552</v>
      </c>
      <c r="J1128" t="s">
        <v>12553</v>
      </c>
      <c r="K1128" t="s">
        <v>12264</v>
      </c>
    </row>
    <row r="1129" spans="1:11" s="1" customFormat="1" x14ac:dyDescent="0.25">
      <c r="A1129" t="s">
        <v>12554</v>
      </c>
      <c r="B1129" t="s">
        <v>12555</v>
      </c>
      <c r="C1129" s="111"/>
      <c r="D1129" s="128"/>
      <c r="E1129">
        <v>4588</v>
      </c>
      <c r="F1129" t="s">
        <v>12556</v>
      </c>
      <c r="G1129" t="s">
        <v>12264</v>
      </c>
      <c r="H1129" t="s">
        <v>8738</v>
      </c>
      <c r="I1129" t="s">
        <v>12555</v>
      </c>
      <c r="J1129" t="s">
        <v>12556</v>
      </c>
      <c r="K1129" t="s">
        <v>12264</v>
      </c>
    </row>
    <row r="1130" spans="1:11" s="1" customFormat="1" x14ac:dyDescent="0.25">
      <c r="A1130" t="s">
        <v>12557</v>
      </c>
      <c r="B1130" t="s">
        <v>12558</v>
      </c>
      <c r="C1130" s="111"/>
      <c r="D1130" s="128"/>
      <c r="E1130">
        <v>1651</v>
      </c>
      <c r="F1130" t="s">
        <v>12559</v>
      </c>
      <c r="G1130" t="s">
        <v>12264</v>
      </c>
      <c r="H1130" t="s">
        <v>8738</v>
      </c>
      <c r="I1130" t="s">
        <v>12558</v>
      </c>
      <c r="J1130" t="s">
        <v>12559</v>
      </c>
      <c r="K1130" t="s">
        <v>12264</v>
      </c>
    </row>
    <row r="1131" spans="1:11" s="1" customFormat="1" x14ac:dyDescent="0.25">
      <c r="A1131" t="s">
        <v>12560</v>
      </c>
      <c r="B1131" t="s">
        <v>12561</v>
      </c>
      <c r="C1131" s="111"/>
      <c r="D1131" s="128"/>
      <c r="E1131">
        <v>3502</v>
      </c>
      <c r="F1131" t="s">
        <v>12562</v>
      </c>
      <c r="G1131" t="s">
        <v>12264</v>
      </c>
      <c r="H1131" t="s">
        <v>8738</v>
      </c>
      <c r="I1131" t="s">
        <v>12561</v>
      </c>
      <c r="J1131" t="s">
        <v>12562</v>
      </c>
      <c r="K1131" t="s">
        <v>12264</v>
      </c>
    </row>
    <row r="1132" spans="1:11" s="1" customFormat="1" x14ac:dyDescent="0.25">
      <c r="A1132" t="s">
        <v>12563</v>
      </c>
      <c r="B1132" t="s">
        <v>12564</v>
      </c>
      <c r="C1132" s="111"/>
      <c r="D1132" s="128"/>
      <c r="E1132">
        <v>818</v>
      </c>
      <c r="F1132" t="s">
        <v>12565</v>
      </c>
      <c r="G1132" t="s">
        <v>12264</v>
      </c>
      <c r="H1132" t="s">
        <v>8738</v>
      </c>
      <c r="I1132" t="s">
        <v>12564</v>
      </c>
      <c r="J1132" t="s">
        <v>12565</v>
      </c>
      <c r="K1132" t="s">
        <v>12264</v>
      </c>
    </row>
    <row r="1133" spans="1:11" s="1" customFormat="1" x14ac:dyDescent="0.25">
      <c r="A1133" t="s">
        <v>12566</v>
      </c>
      <c r="B1133" t="s">
        <v>12567</v>
      </c>
      <c r="C1133" s="111"/>
      <c r="D1133" s="128"/>
      <c r="E1133">
        <v>2215</v>
      </c>
      <c r="F1133" t="s">
        <v>12568</v>
      </c>
      <c r="G1133" t="s">
        <v>12264</v>
      </c>
      <c r="H1133" t="s">
        <v>8738</v>
      </c>
      <c r="I1133" t="s">
        <v>12567</v>
      </c>
      <c r="J1133" t="s">
        <v>12568</v>
      </c>
      <c r="K1133" t="s">
        <v>12264</v>
      </c>
    </row>
    <row r="1134" spans="1:11" s="1" customFormat="1" x14ac:dyDescent="0.25">
      <c r="A1134" t="s">
        <v>12569</v>
      </c>
      <c r="B1134" t="s">
        <v>12570</v>
      </c>
      <c r="C1134" s="111"/>
      <c r="D1134" s="128"/>
      <c r="E1134">
        <v>7003</v>
      </c>
      <c r="F1134" t="s">
        <v>12571</v>
      </c>
      <c r="G1134" t="s">
        <v>12264</v>
      </c>
      <c r="H1134" t="s">
        <v>8738</v>
      </c>
      <c r="I1134" t="s">
        <v>12570</v>
      </c>
      <c r="J1134" t="s">
        <v>12571</v>
      </c>
      <c r="K1134" t="s">
        <v>12264</v>
      </c>
    </row>
    <row r="1135" spans="1:11" s="1" customFormat="1" x14ac:dyDescent="0.25">
      <c r="A1135" t="s">
        <v>12572</v>
      </c>
      <c r="B1135" t="s">
        <v>12573</v>
      </c>
      <c r="C1135" s="111"/>
      <c r="D1135" s="128"/>
      <c r="E1135">
        <v>5501</v>
      </c>
      <c r="F1135" t="s">
        <v>12574</v>
      </c>
      <c r="G1135" t="s">
        <v>12264</v>
      </c>
      <c r="H1135" t="s">
        <v>8738</v>
      </c>
      <c r="I1135" t="s">
        <v>12573</v>
      </c>
      <c r="J1135" t="s">
        <v>12574</v>
      </c>
      <c r="K1135" t="s">
        <v>12264</v>
      </c>
    </row>
    <row r="1136" spans="1:11" s="1" customFormat="1" x14ac:dyDescent="0.25">
      <c r="A1136" t="s">
        <v>12575</v>
      </c>
      <c r="B1136" t="s">
        <v>12576</v>
      </c>
      <c r="C1136" s="111"/>
      <c r="D1136" s="128"/>
      <c r="E1136">
        <v>447</v>
      </c>
      <c r="F1136" t="s">
        <v>12577</v>
      </c>
      <c r="G1136" t="s">
        <v>12576</v>
      </c>
      <c r="H1136" t="s">
        <v>8738</v>
      </c>
      <c r="I1136" t="s">
        <v>12576</v>
      </c>
      <c r="J1136" t="s">
        <v>12577</v>
      </c>
      <c r="K1136" t="s">
        <v>12264</v>
      </c>
    </row>
    <row r="1137" spans="1:11" s="1" customFormat="1" x14ac:dyDescent="0.25">
      <c r="A1137" t="s">
        <v>12578</v>
      </c>
      <c r="B1137" t="s">
        <v>12579</v>
      </c>
      <c r="C1137" s="111"/>
      <c r="D1137" s="128"/>
      <c r="E1137">
        <v>963</v>
      </c>
      <c r="F1137" t="s">
        <v>12580</v>
      </c>
      <c r="G1137" t="s">
        <v>12579</v>
      </c>
      <c r="H1137" t="s">
        <v>8738</v>
      </c>
      <c r="I1137" t="s">
        <v>12579</v>
      </c>
      <c r="J1137" t="s">
        <v>12580</v>
      </c>
      <c r="K1137" t="s">
        <v>8043</v>
      </c>
    </row>
    <row r="1138" spans="1:11" s="1" customFormat="1" x14ac:dyDescent="0.25">
      <c r="A1138" t="s">
        <v>12581</v>
      </c>
      <c r="B1138" t="s">
        <v>12582</v>
      </c>
      <c r="C1138" s="111"/>
      <c r="D1138" s="128"/>
      <c r="E1138">
        <v>421</v>
      </c>
      <c r="F1138" t="s">
        <v>12583</v>
      </c>
      <c r="G1138" t="s">
        <v>12582</v>
      </c>
      <c r="H1138" t="s">
        <v>8738</v>
      </c>
      <c r="I1138" t="s">
        <v>12582</v>
      </c>
      <c r="J1138" t="s">
        <v>12583</v>
      </c>
      <c r="K1138" t="s">
        <v>12264</v>
      </c>
    </row>
    <row r="1139" spans="1:11" s="1" customFormat="1" x14ac:dyDescent="0.25">
      <c r="A1139" t="s">
        <v>12584</v>
      </c>
      <c r="B1139" t="s">
        <v>12585</v>
      </c>
      <c r="C1139" s="111"/>
      <c r="D1139" s="130"/>
      <c r="E1139">
        <v>200</v>
      </c>
      <c r="F1139" t="s">
        <v>12586</v>
      </c>
      <c r="G1139" t="s">
        <v>12585</v>
      </c>
      <c r="H1139" t="s">
        <v>8738</v>
      </c>
      <c r="I1139" t="s">
        <v>12585</v>
      </c>
      <c r="J1139" t="s">
        <v>12586</v>
      </c>
      <c r="K1139" t="s">
        <v>13256</v>
      </c>
    </row>
    <row r="1140" spans="1:11" s="1" customFormat="1" x14ac:dyDescent="0.25">
      <c r="A1140" t="s">
        <v>12587</v>
      </c>
      <c r="B1140" t="s">
        <v>12588</v>
      </c>
      <c r="C1140" s="111"/>
      <c r="D1140" s="128"/>
      <c r="E1140"/>
      <c r="F1140" t="s">
        <v>12589</v>
      </c>
      <c r="G1140" t="s">
        <v>12588</v>
      </c>
      <c r="H1140" t="s">
        <v>8738</v>
      </c>
      <c r="I1140" t="s">
        <v>12588</v>
      </c>
      <c r="J1140" t="s">
        <v>12589</v>
      </c>
      <c r="K1140" t="s">
        <v>8283</v>
      </c>
    </row>
    <row r="1141" spans="1:11" s="1" customFormat="1" x14ac:dyDescent="0.25">
      <c r="A1141" t="s">
        <v>12590</v>
      </c>
      <c r="B1141" t="s">
        <v>12591</v>
      </c>
      <c r="C1141" s="111"/>
      <c r="D1141" s="128"/>
      <c r="E1141">
        <v>1531</v>
      </c>
      <c r="F1141" t="s">
        <v>12592</v>
      </c>
      <c r="G1141" t="s">
        <v>12591</v>
      </c>
      <c r="H1141" t="s">
        <v>8738</v>
      </c>
      <c r="I1141" t="s">
        <v>12591</v>
      </c>
      <c r="J1141" t="s">
        <v>12592</v>
      </c>
      <c r="K1141" t="s">
        <v>9567</v>
      </c>
    </row>
    <row r="1142" spans="1:11" s="1" customFormat="1" x14ac:dyDescent="0.25">
      <c r="A1142" t="s">
        <v>12593</v>
      </c>
      <c r="B1142" t="s">
        <v>12594</v>
      </c>
      <c r="C1142" s="111"/>
      <c r="D1142" s="128"/>
      <c r="E1142">
        <v>530</v>
      </c>
      <c r="F1142" t="s">
        <v>12595</v>
      </c>
      <c r="G1142" t="s">
        <v>12594</v>
      </c>
      <c r="H1142" t="s">
        <v>8738</v>
      </c>
      <c r="I1142" t="s">
        <v>12594</v>
      </c>
      <c r="J1142" t="s">
        <v>12595</v>
      </c>
      <c r="K1142" t="s">
        <v>12264</v>
      </c>
    </row>
    <row r="1143" spans="1:11" s="1" customFormat="1" x14ac:dyDescent="0.25">
      <c r="A1143" t="s">
        <v>12596</v>
      </c>
      <c r="B1143" t="s">
        <v>12597</v>
      </c>
      <c r="C1143" s="111"/>
      <c r="D1143" s="128"/>
      <c r="E1143">
        <v>47</v>
      </c>
      <c r="F1143" t="s">
        <v>12598</v>
      </c>
      <c r="G1143" t="s">
        <v>12597</v>
      </c>
      <c r="H1143" t="s">
        <v>8738</v>
      </c>
      <c r="I1143" t="s">
        <v>12597</v>
      </c>
      <c r="J1143" t="s">
        <v>12598</v>
      </c>
      <c r="K1143" t="s">
        <v>8283</v>
      </c>
    </row>
    <row r="1144" spans="1:11" s="1" customFormat="1" x14ac:dyDescent="0.25">
      <c r="A1144" t="s">
        <v>12599</v>
      </c>
      <c r="B1144" t="s">
        <v>12600</v>
      </c>
      <c r="C1144" s="111"/>
      <c r="D1144" s="128"/>
      <c r="E1144">
        <v>660</v>
      </c>
      <c r="F1144" t="s">
        <v>12601</v>
      </c>
      <c r="G1144" t="s">
        <v>12600</v>
      </c>
      <c r="H1144" t="s">
        <v>8738</v>
      </c>
      <c r="I1144" t="s">
        <v>12600</v>
      </c>
      <c r="J1144" t="s">
        <v>12601</v>
      </c>
      <c r="K1144" t="s">
        <v>8283</v>
      </c>
    </row>
    <row r="1145" spans="1:11" s="1" customFormat="1" x14ac:dyDescent="0.25">
      <c r="A1145" t="s">
        <v>12602</v>
      </c>
      <c r="B1145" t="s">
        <v>12603</v>
      </c>
      <c r="C1145" s="111"/>
      <c r="D1145" s="128"/>
      <c r="E1145">
        <v>201</v>
      </c>
      <c r="F1145" t="s">
        <v>12604</v>
      </c>
      <c r="G1145" t="s">
        <v>12603</v>
      </c>
      <c r="H1145" t="s">
        <v>8738</v>
      </c>
      <c r="I1145" t="s">
        <v>12603</v>
      </c>
      <c r="J1145" t="s">
        <v>12604</v>
      </c>
      <c r="K1145" t="s">
        <v>8283</v>
      </c>
    </row>
    <row r="1146" spans="1:11" s="1" customFormat="1" x14ac:dyDescent="0.25">
      <c r="A1146" t="s">
        <v>12605</v>
      </c>
      <c r="B1146" t="s">
        <v>12606</v>
      </c>
      <c r="C1146" s="111"/>
      <c r="D1146" s="128"/>
      <c r="E1146">
        <v>100</v>
      </c>
      <c r="F1146" t="s">
        <v>12607</v>
      </c>
      <c r="G1146" t="s">
        <v>12606</v>
      </c>
      <c r="H1146" t="s">
        <v>8738</v>
      </c>
      <c r="I1146" t="s">
        <v>12606</v>
      </c>
      <c r="J1146" t="s">
        <v>12607</v>
      </c>
      <c r="K1146" t="s">
        <v>8043</v>
      </c>
    </row>
    <row r="1147" spans="1:11" s="1" customFormat="1" x14ac:dyDescent="0.25">
      <c r="A1147" t="s">
        <v>12608</v>
      </c>
      <c r="B1147" t="s">
        <v>12609</v>
      </c>
      <c r="C1147" s="111"/>
      <c r="D1147" s="128"/>
      <c r="E1147">
        <v>90</v>
      </c>
      <c r="F1147" t="s">
        <v>12610</v>
      </c>
      <c r="G1147" t="s">
        <v>12609</v>
      </c>
      <c r="H1147" t="s">
        <v>8738</v>
      </c>
      <c r="I1147" t="s">
        <v>12609</v>
      </c>
      <c r="J1147" t="s">
        <v>12610</v>
      </c>
      <c r="K1147" t="s">
        <v>9567</v>
      </c>
    </row>
    <row r="1148" spans="1:11" s="1" customFormat="1" x14ac:dyDescent="0.25">
      <c r="A1148" t="s">
        <v>12611</v>
      </c>
      <c r="B1148" t="s">
        <v>13955</v>
      </c>
      <c r="C1148" s="111"/>
      <c r="D1148" s="128"/>
      <c r="E1148">
        <v>96</v>
      </c>
      <c r="F1148" t="s">
        <v>12612</v>
      </c>
      <c r="G1148" t="s">
        <v>13955</v>
      </c>
      <c r="H1148" t="s">
        <v>8738</v>
      </c>
      <c r="I1148" t="s">
        <v>13955</v>
      </c>
      <c r="J1148" t="s">
        <v>12612</v>
      </c>
      <c r="K1148" t="s">
        <v>13257</v>
      </c>
    </row>
    <row r="1149" spans="1:11" s="1" customFormat="1" x14ac:dyDescent="0.25">
      <c r="A1149" t="s">
        <v>12613</v>
      </c>
      <c r="B1149" t="s">
        <v>13956</v>
      </c>
      <c r="C1149" s="111"/>
      <c r="D1149" s="128"/>
      <c r="E1149">
        <v>558</v>
      </c>
      <c r="F1149" t="s">
        <v>12614</v>
      </c>
      <c r="G1149" t="s">
        <v>13956</v>
      </c>
      <c r="H1149" t="s">
        <v>8738</v>
      </c>
      <c r="I1149" t="s">
        <v>13956</v>
      </c>
      <c r="J1149" t="s">
        <v>12614</v>
      </c>
      <c r="K1149" t="s">
        <v>13256</v>
      </c>
    </row>
    <row r="1150" spans="1:11" s="1" customFormat="1" x14ac:dyDescent="0.25">
      <c r="A1150" t="s">
        <v>12615</v>
      </c>
      <c r="B1150" t="s">
        <v>12616</v>
      </c>
      <c r="C1150" s="111"/>
      <c r="D1150" s="128"/>
      <c r="E1150">
        <v>679</v>
      </c>
      <c r="F1150" t="s">
        <v>12617</v>
      </c>
      <c r="G1150" t="s">
        <v>12616</v>
      </c>
      <c r="H1150" t="s">
        <v>8738</v>
      </c>
      <c r="I1150" t="s">
        <v>12616</v>
      </c>
      <c r="J1150" t="s">
        <v>12617</v>
      </c>
      <c r="K1150" t="s">
        <v>13256</v>
      </c>
    </row>
    <row r="1151" spans="1:11" s="1" customFormat="1" x14ac:dyDescent="0.25">
      <c r="A1151" t="s">
        <v>12618</v>
      </c>
      <c r="B1151" t="s">
        <v>12619</v>
      </c>
      <c r="C1151" s="111"/>
      <c r="D1151" s="128"/>
      <c r="E1151">
        <v>855</v>
      </c>
      <c r="F1151" t="s">
        <v>12620</v>
      </c>
      <c r="G1151" t="s">
        <v>12619</v>
      </c>
      <c r="H1151" t="s">
        <v>8738</v>
      </c>
      <c r="I1151" t="s">
        <v>12619</v>
      </c>
      <c r="J1151" t="s">
        <v>12620</v>
      </c>
      <c r="K1151" t="s">
        <v>10760</v>
      </c>
    </row>
    <row r="1152" spans="1:11" s="1" customFormat="1" x14ac:dyDescent="0.25">
      <c r="A1152" t="s">
        <v>12621</v>
      </c>
      <c r="B1152" t="s">
        <v>13957</v>
      </c>
      <c r="C1152" s="111"/>
      <c r="D1152" s="128"/>
      <c r="E1152">
        <v>413</v>
      </c>
      <c r="F1152" t="s">
        <v>12622</v>
      </c>
      <c r="G1152" t="s">
        <v>13957</v>
      </c>
      <c r="H1152" t="s">
        <v>8738</v>
      </c>
      <c r="I1152" t="s">
        <v>13957</v>
      </c>
      <c r="J1152" t="s">
        <v>12622</v>
      </c>
      <c r="K1152" t="s">
        <v>10760</v>
      </c>
    </row>
    <row r="1153" spans="1:11" s="1" customFormat="1" x14ac:dyDescent="0.25">
      <c r="A1153" t="s">
        <v>12623</v>
      </c>
      <c r="B1153" t="s">
        <v>12624</v>
      </c>
      <c r="C1153" s="111"/>
      <c r="D1153" s="128"/>
      <c r="E1153">
        <v>473</v>
      </c>
      <c r="F1153" t="s">
        <v>12625</v>
      </c>
      <c r="G1153" t="s">
        <v>12624</v>
      </c>
      <c r="H1153" t="s">
        <v>8738</v>
      </c>
      <c r="I1153" t="s">
        <v>12624</v>
      </c>
      <c r="J1153" t="s">
        <v>12625</v>
      </c>
      <c r="K1153" t="s">
        <v>13256</v>
      </c>
    </row>
    <row r="1154" spans="1:11" s="1" customFormat="1" x14ac:dyDescent="0.25">
      <c r="A1154" t="s">
        <v>12626</v>
      </c>
      <c r="B1154" t="s">
        <v>12627</v>
      </c>
      <c r="C1154" s="111"/>
      <c r="D1154" s="128"/>
      <c r="E1154">
        <v>791</v>
      </c>
      <c r="F1154" t="s">
        <v>12628</v>
      </c>
      <c r="G1154" t="s">
        <v>12627</v>
      </c>
      <c r="H1154" t="s">
        <v>8738</v>
      </c>
      <c r="I1154" t="s">
        <v>12627</v>
      </c>
      <c r="J1154" t="s">
        <v>12628</v>
      </c>
      <c r="K1154" t="s">
        <v>13256</v>
      </c>
    </row>
    <row r="1155" spans="1:11" s="1" customFormat="1" x14ac:dyDescent="0.25">
      <c r="A1155" t="s">
        <v>12629</v>
      </c>
      <c r="B1155" t="s">
        <v>12630</v>
      </c>
      <c r="C1155" s="111"/>
      <c r="D1155" s="128"/>
      <c r="E1155">
        <v>2371</v>
      </c>
      <c r="F1155" t="s">
        <v>12631</v>
      </c>
      <c r="G1155" t="s">
        <v>12630</v>
      </c>
      <c r="H1155" t="s">
        <v>8738</v>
      </c>
      <c r="I1155" t="s">
        <v>12630</v>
      </c>
      <c r="J1155" t="s">
        <v>12631</v>
      </c>
      <c r="K1155" t="s">
        <v>8283</v>
      </c>
    </row>
    <row r="1156" spans="1:11" s="1" customFormat="1" x14ac:dyDescent="0.25">
      <c r="A1156" t="s">
        <v>12632</v>
      </c>
      <c r="B1156" t="s">
        <v>13958</v>
      </c>
      <c r="C1156" s="111"/>
      <c r="D1156" s="128"/>
      <c r="E1156">
        <v>735</v>
      </c>
      <c r="F1156" t="s">
        <v>12633</v>
      </c>
      <c r="G1156" t="s">
        <v>13958</v>
      </c>
      <c r="H1156" t="s">
        <v>8738</v>
      </c>
      <c r="I1156" t="s">
        <v>13958</v>
      </c>
      <c r="J1156" t="s">
        <v>12633</v>
      </c>
      <c r="K1156" t="s">
        <v>8283</v>
      </c>
    </row>
    <row r="1157" spans="1:11" s="1" customFormat="1" x14ac:dyDescent="0.25">
      <c r="A1157" t="s">
        <v>12634</v>
      </c>
      <c r="B1157" t="s">
        <v>12635</v>
      </c>
      <c r="C1157" s="111"/>
      <c r="D1157" s="128"/>
      <c r="E1157">
        <v>1743</v>
      </c>
      <c r="F1157" t="s">
        <v>12636</v>
      </c>
      <c r="G1157" t="s">
        <v>12635</v>
      </c>
      <c r="H1157" t="s">
        <v>8738</v>
      </c>
      <c r="I1157" t="s">
        <v>12635</v>
      </c>
      <c r="J1157" t="s">
        <v>12636</v>
      </c>
      <c r="K1157" t="s">
        <v>8283</v>
      </c>
    </row>
    <row r="1158" spans="1:11" s="1" customFormat="1" x14ac:dyDescent="0.25">
      <c r="A1158" t="s">
        <v>12637</v>
      </c>
      <c r="B1158" t="s">
        <v>12638</v>
      </c>
      <c r="C1158" s="111"/>
      <c r="D1158" s="128"/>
      <c r="E1158">
        <v>570</v>
      </c>
      <c r="F1158" t="s">
        <v>12639</v>
      </c>
      <c r="G1158" t="s">
        <v>12638</v>
      </c>
      <c r="H1158" t="s">
        <v>8738</v>
      </c>
      <c r="I1158" t="s">
        <v>12638</v>
      </c>
      <c r="J1158" t="s">
        <v>12639</v>
      </c>
      <c r="K1158" t="s">
        <v>13256</v>
      </c>
    </row>
    <row r="1159" spans="1:11" s="1" customFormat="1" x14ac:dyDescent="0.25">
      <c r="A1159" t="s">
        <v>12640</v>
      </c>
      <c r="B1159" t="s">
        <v>12641</v>
      </c>
      <c r="C1159" s="111"/>
      <c r="D1159" s="128"/>
      <c r="E1159">
        <v>253</v>
      </c>
      <c r="F1159" t="s">
        <v>12642</v>
      </c>
      <c r="G1159" t="s">
        <v>12641</v>
      </c>
      <c r="H1159" t="s">
        <v>8738</v>
      </c>
      <c r="I1159" t="s">
        <v>12641</v>
      </c>
      <c r="J1159" t="s">
        <v>12642</v>
      </c>
      <c r="K1159" t="s">
        <v>12264</v>
      </c>
    </row>
    <row r="1160" spans="1:11" s="1" customFormat="1" x14ac:dyDescent="0.25">
      <c r="A1160" t="s">
        <v>12643</v>
      </c>
      <c r="B1160" t="s">
        <v>12644</v>
      </c>
      <c r="C1160" s="111"/>
      <c r="D1160" s="128"/>
      <c r="E1160">
        <v>765</v>
      </c>
      <c r="F1160" t="s">
        <v>12645</v>
      </c>
      <c r="G1160" t="s">
        <v>12644</v>
      </c>
      <c r="H1160" t="s">
        <v>8738</v>
      </c>
      <c r="I1160" t="s">
        <v>12644</v>
      </c>
      <c r="J1160" t="s">
        <v>12645</v>
      </c>
      <c r="K1160" t="s">
        <v>13257</v>
      </c>
    </row>
    <row r="1161" spans="1:11" s="1" customFormat="1" x14ac:dyDescent="0.25">
      <c r="A1161" t="s">
        <v>12646</v>
      </c>
      <c r="B1161" t="s">
        <v>12647</v>
      </c>
      <c r="C1161" s="111"/>
      <c r="D1161" s="128"/>
      <c r="E1161">
        <v>100</v>
      </c>
      <c r="F1161" t="s">
        <v>12648</v>
      </c>
      <c r="G1161" t="s">
        <v>12647</v>
      </c>
      <c r="H1161" t="s">
        <v>8738</v>
      </c>
      <c r="I1161" t="s">
        <v>12647</v>
      </c>
      <c r="J1161" t="s">
        <v>12648</v>
      </c>
      <c r="K1161" t="s">
        <v>13256</v>
      </c>
    </row>
    <row r="1162" spans="1:11" s="1" customFormat="1" x14ac:dyDescent="0.25">
      <c r="A1162" t="s">
        <v>12649</v>
      </c>
      <c r="B1162" t="s">
        <v>12650</v>
      </c>
      <c r="C1162" s="111"/>
      <c r="D1162" s="128"/>
      <c r="E1162">
        <v>688</v>
      </c>
      <c r="F1162" t="s">
        <v>12651</v>
      </c>
      <c r="G1162" t="s">
        <v>12650</v>
      </c>
      <c r="H1162" t="s">
        <v>8738</v>
      </c>
      <c r="I1162" t="s">
        <v>12650</v>
      </c>
      <c r="J1162" t="s">
        <v>12651</v>
      </c>
      <c r="K1162" t="s">
        <v>13256</v>
      </c>
    </row>
    <row r="1163" spans="1:11" s="1" customFormat="1" x14ac:dyDescent="0.25">
      <c r="A1163" t="s">
        <v>12652</v>
      </c>
      <c r="B1163" t="s">
        <v>12653</v>
      </c>
      <c r="C1163" s="111"/>
      <c r="D1163" s="128"/>
      <c r="E1163">
        <v>195</v>
      </c>
      <c r="F1163" t="s">
        <v>12655</v>
      </c>
      <c r="G1163" t="s">
        <v>12654</v>
      </c>
      <c r="H1163" t="s">
        <v>8738</v>
      </c>
      <c r="I1163" t="s">
        <v>12653</v>
      </c>
      <c r="J1163" t="s">
        <v>12655</v>
      </c>
      <c r="K1163" t="s">
        <v>8043</v>
      </c>
    </row>
    <row r="1164" spans="1:11" s="1" customFormat="1" x14ac:dyDescent="0.25">
      <c r="A1164" t="s">
        <v>12656</v>
      </c>
      <c r="B1164" t="s">
        <v>12657</v>
      </c>
      <c r="C1164" s="111"/>
      <c r="D1164" s="128"/>
      <c r="E1164">
        <v>642</v>
      </c>
      <c r="F1164" t="s">
        <v>12658</v>
      </c>
      <c r="G1164" t="s">
        <v>12657</v>
      </c>
      <c r="H1164" t="s">
        <v>8738</v>
      </c>
      <c r="I1164" t="s">
        <v>12657</v>
      </c>
      <c r="J1164" t="s">
        <v>12658</v>
      </c>
      <c r="K1164" t="s">
        <v>12264</v>
      </c>
    </row>
    <row r="1165" spans="1:11" s="1" customFormat="1" x14ac:dyDescent="0.25">
      <c r="A1165" t="s">
        <v>12659</v>
      </c>
      <c r="B1165" t="s">
        <v>12660</v>
      </c>
      <c r="C1165" s="111"/>
      <c r="D1165" s="128"/>
      <c r="E1165">
        <v>1235</v>
      </c>
      <c r="F1165" t="s">
        <v>12661</v>
      </c>
      <c r="G1165" t="s">
        <v>12660</v>
      </c>
      <c r="H1165" t="s">
        <v>8738</v>
      </c>
      <c r="I1165" t="s">
        <v>12660</v>
      </c>
      <c r="J1165" t="s">
        <v>12661</v>
      </c>
      <c r="K1165" t="s">
        <v>13256</v>
      </c>
    </row>
    <row r="1166" spans="1:11" s="1" customFormat="1" x14ac:dyDescent="0.25">
      <c r="A1166" t="s">
        <v>12662</v>
      </c>
      <c r="B1166" t="s">
        <v>12663</v>
      </c>
      <c r="C1166" s="111"/>
      <c r="D1166" s="128"/>
      <c r="E1166">
        <v>145</v>
      </c>
      <c r="F1166" t="s">
        <v>12664</v>
      </c>
      <c r="G1166" t="s">
        <v>11429</v>
      </c>
      <c r="H1166" t="s">
        <v>8738</v>
      </c>
      <c r="I1166" t="s">
        <v>12663</v>
      </c>
      <c r="J1166" t="s">
        <v>12664</v>
      </c>
      <c r="K1166" t="s">
        <v>10760</v>
      </c>
    </row>
    <row r="1167" spans="1:11" s="1" customFormat="1" x14ac:dyDescent="0.25">
      <c r="A1167" t="s">
        <v>12665</v>
      </c>
      <c r="B1167" t="s">
        <v>12666</v>
      </c>
      <c r="C1167" s="111"/>
      <c r="D1167" s="128"/>
      <c r="E1167">
        <v>645</v>
      </c>
      <c r="F1167" t="s">
        <v>12667</v>
      </c>
      <c r="G1167" t="s">
        <v>12666</v>
      </c>
      <c r="H1167" t="s">
        <v>8738</v>
      </c>
      <c r="I1167" t="s">
        <v>12666</v>
      </c>
      <c r="J1167" t="s">
        <v>12667</v>
      </c>
      <c r="K1167" t="s">
        <v>10760</v>
      </c>
    </row>
    <row r="1168" spans="1:11" s="1" customFormat="1" x14ac:dyDescent="0.25">
      <c r="A1168" t="s">
        <v>12668</v>
      </c>
      <c r="B1168" t="s">
        <v>12669</v>
      </c>
      <c r="C1168" s="111"/>
      <c r="D1168" s="128"/>
      <c r="E1168">
        <v>1454</v>
      </c>
      <c r="F1168" t="s">
        <v>12670</v>
      </c>
      <c r="G1168" t="s">
        <v>12669</v>
      </c>
      <c r="H1168" t="s">
        <v>8738</v>
      </c>
      <c r="I1168" t="s">
        <v>12669</v>
      </c>
      <c r="J1168" t="s">
        <v>12670</v>
      </c>
      <c r="K1168" t="s">
        <v>12264</v>
      </c>
    </row>
    <row r="1169" spans="1:11" s="1" customFormat="1" x14ac:dyDescent="0.25">
      <c r="A1169" t="s">
        <v>12671</v>
      </c>
      <c r="B1169" t="s">
        <v>12672</v>
      </c>
      <c r="C1169" s="111"/>
      <c r="D1169" s="128"/>
      <c r="E1169">
        <v>705</v>
      </c>
      <c r="F1169" t="s">
        <v>12673</v>
      </c>
      <c r="G1169" t="s">
        <v>12672</v>
      </c>
      <c r="H1169" t="s">
        <v>8738</v>
      </c>
      <c r="I1169" t="s">
        <v>12672</v>
      </c>
      <c r="J1169" t="s">
        <v>12673</v>
      </c>
      <c r="K1169" t="s">
        <v>8283</v>
      </c>
    </row>
    <row r="1170" spans="1:11" s="1" customFormat="1" x14ac:dyDescent="0.25">
      <c r="A1170" t="s">
        <v>12674</v>
      </c>
      <c r="B1170" t="s">
        <v>12675</v>
      </c>
      <c r="C1170" s="111"/>
      <c r="D1170" s="128"/>
      <c r="E1170">
        <v>159</v>
      </c>
      <c r="F1170" t="s">
        <v>12676</v>
      </c>
      <c r="G1170" t="s">
        <v>12675</v>
      </c>
      <c r="H1170" t="s">
        <v>8738</v>
      </c>
      <c r="I1170" t="s">
        <v>12675</v>
      </c>
      <c r="J1170" t="s">
        <v>12676</v>
      </c>
      <c r="K1170" t="s">
        <v>8043</v>
      </c>
    </row>
    <row r="1171" spans="1:11" s="1" customFormat="1" x14ac:dyDescent="0.25">
      <c r="A1171" t="s">
        <v>12677</v>
      </c>
      <c r="B1171" t="s">
        <v>12678</v>
      </c>
      <c r="C1171" s="111"/>
      <c r="D1171" s="128"/>
      <c r="E1171">
        <v>1096</v>
      </c>
      <c r="F1171" t="s">
        <v>12679</v>
      </c>
      <c r="G1171" t="s">
        <v>12678</v>
      </c>
      <c r="H1171" t="s">
        <v>8738</v>
      </c>
      <c r="I1171" t="s">
        <v>12678</v>
      </c>
      <c r="J1171" t="s">
        <v>12679</v>
      </c>
      <c r="K1171" t="s">
        <v>12264</v>
      </c>
    </row>
    <row r="1172" spans="1:11" s="1" customFormat="1" x14ac:dyDescent="0.25">
      <c r="A1172" t="s">
        <v>12680</v>
      </c>
      <c r="B1172" t="s">
        <v>12681</v>
      </c>
      <c r="C1172" s="111"/>
      <c r="D1172" s="128"/>
      <c r="E1172">
        <v>234</v>
      </c>
      <c r="F1172" t="s">
        <v>12682</v>
      </c>
      <c r="G1172" t="s">
        <v>12681</v>
      </c>
      <c r="H1172" t="s">
        <v>8738</v>
      </c>
      <c r="I1172" t="s">
        <v>12681</v>
      </c>
      <c r="J1172" t="s">
        <v>12682</v>
      </c>
      <c r="K1172" t="s">
        <v>13256</v>
      </c>
    </row>
    <row r="1173" spans="1:11" s="1" customFormat="1" x14ac:dyDescent="0.25">
      <c r="A1173" t="s">
        <v>12683</v>
      </c>
      <c r="B1173" t="s">
        <v>12684</v>
      </c>
      <c r="C1173" s="111"/>
      <c r="D1173" s="128"/>
      <c r="E1173">
        <v>302</v>
      </c>
      <c r="F1173" t="s">
        <v>12686</v>
      </c>
      <c r="G1173" t="s">
        <v>12685</v>
      </c>
      <c r="H1173" t="s">
        <v>8738</v>
      </c>
      <c r="I1173" t="s">
        <v>12684</v>
      </c>
      <c r="J1173" t="s">
        <v>12686</v>
      </c>
      <c r="K1173" t="s">
        <v>8043</v>
      </c>
    </row>
    <row r="1174" spans="1:11" s="1" customFormat="1" x14ac:dyDescent="0.25">
      <c r="A1174" t="s">
        <v>12687</v>
      </c>
      <c r="B1174" t="s">
        <v>12688</v>
      </c>
      <c r="C1174" s="111"/>
      <c r="D1174" s="128"/>
      <c r="E1174">
        <v>254</v>
      </c>
      <c r="F1174" t="s">
        <v>12689</v>
      </c>
      <c r="G1174" t="s">
        <v>12688</v>
      </c>
      <c r="H1174" t="s">
        <v>8738</v>
      </c>
      <c r="I1174" t="s">
        <v>12688</v>
      </c>
      <c r="J1174" t="s">
        <v>12689</v>
      </c>
      <c r="K1174" t="s">
        <v>8043</v>
      </c>
    </row>
    <row r="1175" spans="1:11" s="1" customFormat="1" x14ac:dyDescent="0.25">
      <c r="A1175" t="s">
        <v>12690</v>
      </c>
      <c r="B1175" t="s">
        <v>12691</v>
      </c>
      <c r="C1175" s="111"/>
      <c r="D1175" s="128"/>
      <c r="E1175">
        <v>485</v>
      </c>
      <c r="F1175" t="s">
        <v>12692</v>
      </c>
      <c r="G1175" t="s">
        <v>12691</v>
      </c>
      <c r="H1175" t="s">
        <v>8738</v>
      </c>
      <c r="I1175" t="s">
        <v>12691</v>
      </c>
      <c r="J1175" t="s">
        <v>12692</v>
      </c>
      <c r="K1175" t="s">
        <v>13256</v>
      </c>
    </row>
    <row r="1176" spans="1:11" s="1" customFormat="1" x14ac:dyDescent="0.25">
      <c r="A1176" t="s">
        <v>12693</v>
      </c>
      <c r="B1176" t="s">
        <v>12694</v>
      </c>
      <c r="C1176" s="111"/>
      <c r="D1176" s="128"/>
      <c r="E1176">
        <v>856</v>
      </c>
      <c r="F1176" t="s">
        <v>12695</v>
      </c>
      <c r="G1176" t="s">
        <v>12694</v>
      </c>
      <c r="H1176" t="s">
        <v>8738</v>
      </c>
      <c r="I1176" t="s">
        <v>12694</v>
      </c>
      <c r="J1176" t="s">
        <v>12695</v>
      </c>
      <c r="K1176" t="s">
        <v>9567</v>
      </c>
    </row>
    <row r="1177" spans="1:11" s="1" customFormat="1" x14ac:dyDescent="0.25">
      <c r="A1177" t="s">
        <v>12696</v>
      </c>
      <c r="B1177" t="s">
        <v>12697</v>
      </c>
      <c r="C1177" s="111"/>
      <c r="D1177" s="128"/>
      <c r="E1177">
        <v>459</v>
      </c>
      <c r="F1177" t="s">
        <v>12698</v>
      </c>
      <c r="G1177" t="s">
        <v>12697</v>
      </c>
      <c r="H1177" t="s">
        <v>8738</v>
      </c>
      <c r="I1177" t="s">
        <v>12697</v>
      </c>
      <c r="J1177" t="s">
        <v>12698</v>
      </c>
      <c r="K1177" t="s">
        <v>9567</v>
      </c>
    </row>
    <row r="1178" spans="1:11" s="1" customFormat="1" x14ac:dyDescent="0.25">
      <c r="A1178" t="s">
        <v>12699</v>
      </c>
      <c r="B1178" t="s">
        <v>12700</v>
      </c>
      <c r="C1178" s="111"/>
      <c r="D1178" s="128"/>
      <c r="E1178">
        <v>626</v>
      </c>
      <c r="F1178" t="s">
        <v>12701</v>
      </c>
      <c r="G1178" t="s">
        <v>12700</v>
      </c>
      <c r="H1178" t="s">
        <v>8738</v>
      </c>
      <c r="I1178" t="s">
        <v>12700</v>
      </c>
      <c r="J1178" t="s">
        <v>12701</v>
      </c>
      <c r="K1178" t="s">
        <v>8283</v>
      </c>
    </row>
    <row r="1179" spans="1:11" s="1" customFormat="1" x14ac:dyDescent="0.25">
      <c r="A1179" t="s">
        <v>12702</v>
      </c>
      <c r="B1179" t="s">
        <v>12703</v>
      </c>
      <c r="C1179" s="111"/>
      <c r="D1179" s="128"/>
      <c r="E1179">
        <v>554</v>
      </c>
      <c r="F1179" t="s">
        <v>12704</v>
      </c>
      <c r="G1179" t="s">
        <v>12703</v>
      </c>
      <c r="H1179" t="s">
        <v>8738</v>
      </c>
      <c r="I1179" t="s">
        <v>12703</v>
      </c>
      <c r="J1179" t="s">
        <v>12704</v>
      </c>
      <c r="K1179" t="s">
        <v>8283</v>
      </c>
    </row>
    <row r="1180" spans="1:11" s="1" customFormat="1" x14ac:dyDescent="0.25">
      <c r="A1180" t="s">
        <v>12705</v>
      </c>
      <c r="B1180" t="s">
        <v>12706</v>
      </c>
      <c r="C1180" s="111"/>
      <c r="D1180" s="128"/>
      <c r="E1180">
        <v>498</v>
      </c>
      <c r="F1180" t="s">
        <v>12707</v>
      </c>
      <c r="G1180" t="s">
        <v>12706</v>
      </c>
      <c r="H1180" t="s">
        <v>8738</v>
      </c>
      <c r="I1180" t="s">
        <v>12706</v>
      </c>
      <c r="J1180" t="s">
        <v>12707</v>
      </c>
      <c r="K1180" t="s">
        <v>13256</v>
      </c>
    </row>
    <row r="1181" spans="1:11" s="1" customFormat="1" x14ac:dyDescent="0.25">
      <c r="A1181" t="s">
        <v>12708</v>
      </c>
      <c r="B1181" t="s">
        <v>12709</v>
      </c>
      <c r="C1181" s="111"/>
      <c r="D1181" s="128"/>
      <c r="E1181">
        <v>136</v>
      </c>
      <c r="F1181" t="s">
        <v>12710</v>
      </c>
      <c r="G1181" t="s">
        <v>12709</v>
      </c>
      <c r="H1181" t="s">
        <v>8738</v>
      </c>
      <c r="I1181" t="s">
        <v>12709</v>
      </c>
      <c r="J1181" t="s">
        <v>12710</v>
      </c>
      <c r="K1181" t="s">
        <v>13256</v>
      </c>
    </row>
    <row r="1182" spans="1:11" s="1" customFormat="1" x14ac:dyDescent="0.25">
      <c r="A1182" t="s">
        <v>12711</v>
      </c>
      <c r="B1182" t="s">
        <v>12712</v>
      </c>
      <c r="C1182" s="111"/>
      <c r="D1182" s="128"/>
      <c r="E1182">
        <v>385</v>
      </c>
      <c r="F1182" t="s">
        <v>12713</v>
      </c>
      <c r="G1182" t="s">
        <v>12712</v>
      </c>
      <c r="H1182" t="s">
        <v>8738</v>
      </c>
      <c r="I1182" t="s">
        <v>12712</v>
      </c>
      <c r="J1182" t="s">
        <v>12713</v>
      </c>
      <c r="K1182" t="s">
        <v>13256</v>
      </c>
    </row>
    <row r="1183" spans="1:11" s="1" customFormat="1" x14ac:dyDescent="0.25">
      <c r="A1183" t="s">
        <v>12714</v>
      </c>
      <c r="B1183" t="s">
        <v>12715</v>
      </c>
      <c r="C1183" s="111"/>
      <c r="D1183" s="128"/>
      <c r="E1183">
        <v>698</v>
      </c>
      <c r="F1183" t="s">
        <v>12716</v>
      </c>
      <c r="G1183" t="s">
        <v>12715</v>
      </c>
      <c r="H1183" t="s">
        <v>8738</v>
      </c>
      <c r="I1183" t="s">
        <v>12715</v>
      </c>
      <c r="J1183" t="s">
        <v>12716</v>
      </c>
      <c r="K1183" t="s">
        <v>9567</v>
      </c>
    </row>
    <row r="1184" spans="1:11" s="1" customFormat="1" x14ac:dyDescent="0.25">
      <c r="A1184" t="s">
        <v>12717</v>
      </c>
      <c r="B1184" t="s">
        <v>12718</v>
      </c>
      <c r="C1184" s="111"/>
      <c r="D1184" s="128"/>
      <c r="E1184">
        <v>397</v>
      </c>
      <c r="F1184" t="s">
        <v>12719</v>
      </c>
      <c r="G1184" t="s">
        <v>12718</v>
      </c>
      <c r="H1184" t="s">
        <v>8738</v>
      </c>
      <c r="I1184" t="s">
        <v>12718</v>
      </c>
      <c r="J1184" t="s">
        <v>12719</v>
      </c>
      <c r="K1184" t="s">
        <v>13256</v>
      </c>
    </row>
    <row r="1185" spans="1:11" s="1" customFormat="1" x14ac:dyDescent="0.25">
      <c r="A1185" t="s">
        <v>12720</v>
      </c>
      <c r="B1185" t="s">
        <v>12721</v>
      </c>
      <c r="C1185" s="111"/>
      <c r="D1185" s="128"/>
      <c r="E1185">
        <v>217</v>
      </c>
      <c r="F1185" t="s">
        <v>12722</v>
      </c>
      <c r="G1185" t="s">
        <v>12721</v>
      </c>
      <c r="H1185" t="s">
        <v>8738</v>
      </c>
      <c r="I1185" t="s">
        <v>12721</v>
      </c>
      <c r="J1185" t="s">
        <v>12722</v>
      </c>
      <c r="K1185" t="s">
        <v>13257</v>
      </c>
    </row>
    <row r="1186" spans="1:11" s="1" customFormat="1" x14ac:dyDescent="0.25">
      <c r="A1186" t="s">
        <v>12723</v>
      </c>
      <c r="B1186" t="s">
        <v>12724</v>
      </c>
      <c r="C1186" s="111"/>
      <c r="D1186" s="128"/>
      <c r="E1186">
        <v>1178</v>
      </c>
      <c r="F1186" t="s">
        <v>12725</v>
      </c>
      <c r="G1186" t="s">
        <v>12724</v>
      </c>
      <c r="H1186" t="s">
        <v>8738</v>
      </c>
      <c r="I1186" t="s">
        <v>12724</v>
      </c>
      <c r="J1186" t="s">
        <v>12725</v>
      </c>
      <c r="K1186" t="s">
        <v>8043</v>
      </c>
    </row>
    <row r="1187" spans="1:11" s="1" customFormat="1" x14ac:dyDescent="0.25">
      <c r="A1187" t="s">
        <v>12726</v>
      </c>
      <c r="B1187" t="s">
        <v>12727</v>
      </c>
      <c r="C1187" s="111"/>
      <c r="D1187" s="128"/>
      <c r="E1187">
        <v>963</v>
      </c>
      <c r="F1187" t="s">
        <v>12729</v>
      </c>
      <c r="G1187" t="s">
        <v>12728</v>
      </c>
      <c r="H1187" t="s">
        <v>8738</v>
      </c>
      <c r="I1187" t="s">
        <v>12727</v>
      </c>
      <c r="J1187" t="s">
        <v>12729</v>
      </c>
      <c r="K1187" t="s">
        <v>8043</v>
      </c>
    </row>
    <row r="1188" spans="1:11" s="1" customFormat="1" x14ac:dyDescent="0.25">
      <c r="A1188" t="s">
        <v>12730</v>
      </c>
      <c r="B1188" t="s">
        <v>12731</v>
      </c>
      <c r="C1188" s="111"/>
      <c r="D1188" s="128"/>
      <c r="E1188">
        <v>1199</v>
      </c>
      <c r="F1188" t="s">
        <v>12732</v>
      </c>
      <c r="G1188" t="s">
        <v>12731</v>
      </c>
      <c r="H1188" t="s">
        <v>8738</v>
      </c>
      <c r="I1188" t="s">
        <v>12731</v>
      </c>
      <c r="J1188" t="s">
        <v>12732</v>
      </c>
      <c r="K1188" t="s">
        <v>12264</v>
      </c>
    </row>
    <row r="1189" spans="1:11" s="1" customFormat="1" x14ac:dyDescent="0.25">
      <c r="A1189" t="s">
        <v>12733</v>
      </c>
      <c r="B1189" t="s">
        <v>12734</v>
      </c>
      <c r="C1189" s="111"/>
      <c r="D1189" s="128"/>
      <c r="E1189">
        <v>821</v>
      </c>
      <c r="F1189" t="s">
        <v>12735</v>
      </c>
      <c r="G1189" t="s">
        <v>12734</v>
      </c>
      <c r="H1189" t="s">
        <v>8738</v>
      </c>
      <c r="I1189" t="s">
        <v>12734</v>
      </c>
      <c r="J1189" t="s">
        <v>12735</v>
      </c>
      <c r="K1189" t="s">
        <v>8043</v>
      </c>
    </row>
    <row r="1190" spans="1:11" s="1" customFormat="1" x14ac:dyDescent="0.25">
      <c r="A1190" t="s">
        <v>12736</v>
      </c>
      <c r="B1190" t="s">
        <v>12737</v>
      </c>
      <c r="C1190" s="111"/>
      <c r="D1190" s="128"/>
      <c r="E1190">
        <v>884</v>
      </c>
      <c r="F1190" t="s">
        <v>12739</v>
      </c>
      <c r="G1190" t="s">
        <v>12738</v>
      </c>
      <c r="H1190" t="s">
        <v>8738</v>
      </c>
      <c r="I1190" t="s">
        <v>12737</v>
      </c>
      <c r="J1190" t="s">
        <v>12739</v>
      </c>
      <c r="K1190" t="s">
        <v>10760</v>
      </c>
    </row>
    <row r="1191" spans="1:11" s="1" customFormat="1" x14ac:dyDescent="0.25">
      <c r="A1191" t="s">
        <v>12740</v>
      </c>
      <c r="B1191" t="s">
        <v>12741</v>
      </c>
      <c r="C1191" s="111"/>
      <c r="D1191" s="128"/>
      <c r="E1191">
        <v>345</v>
      </c>
      <c r="F1191" t="s">
        <v>12742</v>
      </c>
      <c r="G1191" t="s">
        <v>12741</v>
      </c>
      <c r="H1191" t="s">
        <v>8738</v>
      </c>
      <c r="I1191" t="s">
        <v>12741</v>
      </c>
      <c r="J1191" t="s">
        <v>12742</v>
      </c>
      <c r="K1191" t="s">
        <v>10760</v>
      </c>
    </row>
    <row r="1192" spans="1:11" s="1" customFormat="1" x14ac:dyDescent="0.25">
      <c r="A1192" t="s">
        <v>12743</v>
      </c>
      <c r="B1192" t="s">
        <v>12744</v>
      </c>
      <c r="C1192" s="111"/>
      <c r="D1192" s="128"/>
      <c r="E1192">
        <v>161</v>
      </c>
      <c r="F1192" t="s">
        <v>12745</v>
      </c>
      <c r="G1192" t="s">
        <v>12744</v>
      </c>
      <c r="H1192" t="s">
        <v>8738</v>
      </c>
      <c r="I1192" t="s">
        <v>12744</v>
      </c>
      <c r="J1192" t="s">
        <v>12745</v>
      </c>
      <c r="K1192" t="s">
        <v>10760</v>
      </c>
    </row>
    <row r="1193" spans="1:11" s="1" customFormat="1" x14ac:dyDescent="0.25">
      <c r="A1193" t="s">
        <v>12746</v>
      </c>
      <c r="B1193" t="s">
        <v>12747</v>
      </c>
      <c r="C1193" s="111"/>
      <c r="D1193" s="128"/>
      <c r="E1193">
        <v>530</v>
      </c>
      <c r="F1193" t="s">
        <v>12748</v>
      </c>
      <c r="G1193" t="s">
        <v>12747</v>
      </c>
      <c r="H1193" t="s">
        <v>8738</v>
      </c>
      <c r="I1193" t="s">
        <v>12747</v>
      </c>
      <c r="J1193" t="s">
        <v>12748</v>
      </c>
      <c r="K1193" t="s">
        <v>8043</v>
      </c>
    </row>
    <row r="1194" spans="1:11" s="1" customFormat="1" x14ac:dyDescent="0.25">
      <c r="A1194" t="s">
        <v>12749</v>
      </c>
      <c r="B1194" t="s">
        <v>12750</v>
      </c>
      <c r="C1194" s="111"/>
      <c r="D1194" s="128"/>
      <c r="E1194">
        <v>298</v>
      </c>
      <c r="F1194" t="s">
        <v>12751</v>
      </c>
      <c r="G1194" t="s">
        <v>12750</v>
      </c>
      <c r="H1194" t="s">
        <v>8738</v>
      </c>
      <c r="I1194" t="s">
        <v>12750</v>
      </c>
      <c r="J1194" t="s">
        <v>12751</v>
      </c>
      <c r="K1194" t="s">
        <v>13256</v>
      </c>
    </row>
    <row r="1195" spans="1:11" s="1" customFormat="1" x14ac:dyDescent="0.25">
      <c r="A1195" t="s">
        <v>12752</v>
      </c>
      <c r="B1195" t="s">
        <v>12753</v>
      </c>
      <c r="C1195" s="111"/>
      <c r="D1195" s="128"/>
      <c r="E1195">
        <v>117</v>
      </c>
      <c r="F1195" t="s">
        <v>12754</v>
      </c>
      <c r="G1195" t="s">
        <v>12753</v>
      </c>
      <c r="H1195" t="s">
        <v>8738</v>
      </c>
      <c r="I1195" t="s">
        <v>12753</v>
      </c>
      <c r="J1195" t="s">
        <v>12754</v>
      </c>
      <c r="K1195" t="s">
        <v>13257</v>
      </c>
    </row>
    <row r="1196" spans="1:11" s="1" customFormat="1" x14ac:dyDescent="0.25">
      <c r="A1196" t="s">
        <v>12755</v>
      </c>
      <c r="B1196" t="s">
        <v>12756</v>
      </c>
      <c r="C1196" s="111"/>
      <c r="D1196" s="128"/>
      <c r="E1196">
        <v>344</v>
      </c>
      <c r="F1196" t="s">
        <v>12757</v>
      </c>
      <c r="G1196" t="s">
        <v>12756</v>
      </c>
      <c r="H1196" t="s">
        <v>8738</v>
      </c>
      <c r="I1196" t="s">
        <v>12756</v>
      </c>
      <c r="J1196" t="s">
        <v>12757</v>
      </c>
      <c r="K1196" t="s">
        <v>13256</v>
      </c>
    </row>
    <row r="1197" spans="1:11" s="1" customFormat="1" x14ac:dyDescent="0.25">
      <c r="A1197" t="s">
        <v>12758</v>
      </c>
      <c r="B1197" t="s">
        <v>12759</v>
      </c>
      <c r="C1197" s="111"/>
      <c r="D1197" s="128"/>
      <c r="E1197">
        <v>575</v>
      </c>
      <c r="F1197" t="s">
        <v>12760</v>
      </c>
      <c r="G1197" t="s">
        <v>12759</v>
      </c>
      <c r="H1197" t="s">
        <v>8738</v>
      </c>
      <c r="I1197" t="s">
        <v>12759</v>
      </c>
      <c r="J1197" t="s">
        <v>12760</v>
      </c>
      <c r="K1197" t="s">
        <v>8283</v>
      </c>
    </row>
    <row r="1198" spans="1:11" s="1" customFormat="1" x14ac:dyDescent="0.25">
      <c r="A1198" t="s">
        <v>12761</v>
      </c>
      <c r="B1198" t="s">
        <v>12762</v>
      </c>
      <c r="C1198" s="111"/>
      <c r="D1198" s="128"/>
      <c r="E1198">
        <v>99</v>
      </c>
      <c r="F1198" t="s">
        <v>12763</v>
      </c>
      <c r="G1198" t="s">
        <v>12762</v>
      </c>
      <c r="H1198" t="s">
        <v>8738</v>
      </c>
      <c r="I1198" t="s">
        <v>12762</v>
      </c>
      <c r="J1198" t="s">
        <v>12763</v>
      </c>
      <c r="K1198" t="s">
        <v>13256</v>
      </c>
    </row>
    <row r="1199" spans="1:11" s="1" customFormat="1" x14ac:dyDescent="0.25">
      <c r="A1199" t="s">
        <v>12764</v>
      </c>
      <c r="B1199" t="s">
        <v>12765</v>
      </c>
      <c r="C1199" s="111"/>
      <c r="D1199" s="128"/>
      <c r="E1199">
        <v>416</v>
      </c>
      <c r="F1199" t="s">
        <v>12766</v>
      </c>
      <c r="G1199" t="s">
        <v>12765</v>
      </c>
      <c r="H1199" t="s">
        <v>8738</v>
      </c>
      <c r="I1199" t="s">
        <v>12765</v>
      </c>
      <c r="J1199" t="s">
        <v>12766</v>
      </c>
      <c r="K1199" t="s">
        <v>10760</v>
      </c>
    </row>
    <row r="1200" spans="1:11" s="1" customFormat="1" x14ac:dyDescent="0.25">
      <c r="A1200" t="s">
        <v>12767</v>
      </c>
      <c r="B1200" t="s">
        <v>12768</v>
      </c>
      <c r="C1200" s="111"/>
      <c r="D1200" s="128"/>
      <c r="E1200">
        <v>1081</v>
      </c>
      <c r="F1200" t="s">
        <v>12769</v>
      </c>
      <c r="G1200" t="s">
        <v>12768</v>
      </c>
      <c r="H1200" t="s">
        <v>8738</v>
      </c>
      <c r="I1200" t="s">
        <v>12768</v>
      </c>
      <c r="J1200" t="s">
        <v>12769</v>
      </c>
      <c r="K1200" t="s">
        <v>8283</v>
      </c>
    </row>
    <row r="1201" spans="1:11" s="1" customFormat="1" x14ac:dyDescent="0.25">
      <c r="A1201" t="s">
        <v>12770</v>
      </c>
      <c r="B1201" t="s">
        <v>10760</v>
      </c>
      <c r="C1201" s="111"/>
      <c r="D1201" s="128"/>
      <c r="E1201">
        <v>1202</v>
      </c>
      <c r="F1201" t="s">
        <v>12771</v>
      </c>
      <c r="G1201" t="s">
        <v>10760</v>
      </c>
      <c r="H1201" t="s">
        <v>8738</v>
      </c>
      <c r="I1201" t="s">
        <v>10760</v>
      </c>
      <c r="J1201" t="s">
        <v>12771</v>
      </c>
      <c r="K1201" t="s">
        <v>10760</v>
      </c>
    </row>
    <row r="1202" spans="1:11" s="1" customFormat="1" x14ac:dyDescent="0.25">
      <c r="A1202" t="s">
        <v>12772</v>
      </c>
      <c r="B1202" t="s">
        <v>12773</v>
      </c>
      <c r="C1202" s="111"/>
      <c r="D1202" s="128"/>
      <c r="E1202">
        <v>394</v>
      </c>
      <c r="F1202" t="s">
        <v>12774</v>
      </c>
      <c r="G1202" t="s">
        <v>12773</v>
      </c>
      <c r="H1202" t="s">
        <v>8738</v>
      </c>
      <c r="I1202" t="s">
        <v>12773</v>
      </c>
      <c r="J1202" t="s">
        <v>12774</v>
      </c>
      <c r="K1202" t="s">
        <v>13256</v>
      </c>
    </row>
    <row r="1203" spans="1:11" s="1" customFormat="1" x14ac:dyDescent="0.25">
      <c r="A1203" t="s">
        <v>12775</v>
      </c>
      <c r="B1203" t="s">
        <v>12776</v>
      </c>
      <c r="C1203" s="111"/>
      <c r="D1203" s="128"/>
      <c r="E1203">
        <v>1071</v>
      </c>
      <c r="F1203" t="s">
        <v>12777</v>
      </c>
      <c r="G1203" t="s">
        <v>12776</v>
      </c>
      <c r="H1203" t="s">
        <v>8738</v>
      </c>
      <c r="I1203" t="s">
        <v>12776</v>
      </c>
      <c r="J1203" t="s">
        <v>12777</v>
      </c>
      <c r="K1203" t="s">
        <v>13256</v>
      </c>
    </row>
    <row r="1204" spans="1:11" s="1" customFormat="1" x14ac:dyDescent="0.25">
      <c r="A1204" t="s">
        <v>12778</v>
      </c>
      <c r="B1204" t="s">
        <v>12779</v>
      </c>
      <c r="C1204" s="111"/>
      <c r="D1204" s="128"/>
      <c r="E1204">
        <v>468</v>
      </c>
      <c r="F1204" t="s">
        <v>12780</v>
      </c>
      <c r="G1204" t="s">
        <v>12779</v>
      </c>
      <c r="H1204" t="s">
        <v>8738</v>
      </c>
      <c r="I1204" t="s">
        <v>12779</v>
      </c>
      <c r="J1204" t="s">
        <v>12780</v>
      </c>
      <c r="K1204" t="s">
        <v>8043</v>
      </c>
    </row>
    <row r="1205" spans="1:11" s="1" customFormat="1" x14ac:dyDescent="0.25">
      <c r="A1205" t="s">
        <v>12781</v>
      </c>
      <c r="B1205" t="s">
        <v>12782</v>
      </c>
      <c r="C1205" s="111"/>
      <c r="D1205" s="128"/>
      <c r="E1205">
        <v>560</v>
      </c>
      <c r="F1205" t="s">
        <v>12783</v>
      </c>
      <c r="G1205" t="s">
        <v>12782</v>
      </c>
      <c r="H1205" t="s">
        <v>8738</v>
      </c>
      <c r="I1205" t="s">
        <v>12782</v>
      </c>
      <c r="J1205" t="s">
        <v>12783</v>
      </c>
      <c r="K1205" t="s">
        <v>13257</v>
      </c>
    </row>
    <row r="1206" spans="1:11" s="1" customFormat="1" x14ac:dyDescent="0.25">
      <c r="A1206" t="s">
        <v>12784</v>
      </c>
      <c r="B1206" t="s">
        <v>12785</v>
      </c>
      <c r="C1206" s="111"/>
      <c r="D1206" s="128"/>
      <c r="E1206">
        <v>344</v>
      </c>
      <c r="F1206" t="s">
        <v>12786</v>
      </c>
      <c r="G1206" t="s">
        <v>12785</v>
      </c>
      <c r="H1206" t="s">
        <v>8738</v>
      </c>
      <c r="I1206" t="s">
        <v>12785</v>
      </c>
      <c r="J1206" t="s">
        <v>12786</v>
      </c>
      <c r="K1206" t="s">
        <v>13256</v>
      </c>
    </row>
    <row r="1207" spans="1:11" s="1" customFormat="1" x14ac:dyDescent="0.25">
      <c r="A1207" t="s">
        <v>12787</v>
      </c>
      <c r="B1207" t="s">
        <v>12788</v>
      </c>
      <c r="C1207" s="111"/>
      <c r="D1207" s="128"/>
      <c r="E1207">
        <v>573</v>
      </c>
      <c r="F1207" t="s">
        <v>12789</v>
      </c>
      <c r="G1207" t="s">
        <v>12788</v>
      </c>
      <c r="H1207" t="s">
        <v>8738</v>
      </c>
      <c r="I1207" t="s">
        <v>12788</v>
      </c>
      <c r="J1207" t="s">
        <v>12789</v>
      </c>
      <c r="K1207" t="s">
        <v>10760</v>
      </c>
    </row>
    <row r="1208" spans="1:11" s="1" customFormat="1" x14ac:dyDescent="0.25">
      <c r="A1208" t="s">
        <v>12790</v>
      </c>
      <c r="B1208" t="s">
        <v>12791</v>
      </c>
      <c r="C1208" s="111"/>
      <c r="D1208" s="128"/>
      <c r="E1208">
        <v>180</v>
      </c>
      <c r="F1208" t="s">
        <v>12792</v>
      </c>
      <c r="G1208" t="s">
        <v>12791</v>
      </c>
      <c r="H1208" t="s">
        <v>8738</v>
      </c>
      <c r="I1208" t="s">
        <v>12791</v>
      </c>
      <c r="J1208" t="s">
        <v>12792</v>
      </c>
      <c r="K1208" t="s">
        <v>9567</v>
      </c>
    </row>
    <row r="1209" spans="1:11" s="1" customFormat="1" x14ac:dyDescent="0.25">
      <c r="A1209" t="s">
        <v>12793</v>
      </c>
      <c r="B1209" t="s">
        <v>12794</v>
      </c>
      <c r="C1209" s="111"/>
      <c r="D1209" s="128"/>
      <c r="E1209">
        <v>1096</v>
      </c>
      <c r="F1209" t="s">
        <v>12795</v>
      </c>
      <c r="G1209" t="s">
        <v>12794</v>
      </c>
      <c r="H1209" t="s">
        <v>8738</v>
      </c>
      <c r="I1209" t="s">
        <v>12794</v>
      </c>
      <c r="J1209" t="s">
        <v>12795</v>
      </c>
      <c r="K1209" t="s">
        <v>13257</v>
      </c>
    </row>
    <row r="1210" spans="1:11" s="1" customFormat="1" x14ac:dyDescent="0.25">
      <c r="A1210" t="s">
        <v>12796</v>
      </c>
      <c r="B1210" t="s">
        <v>12797</v>
      </c>
      <c r="C1210" s="111"/>
      <c r="D1210" s="128"/>
      <c r="E1210">
        <v>497</v>
      </c>
      <c r="F1210" t="s">
        <v>12798</v>
      </c>
      <c r="G1210" t="s">
        <v>12797</v>
      </c>
      <c r="H1210" t="s">
        <v>8738</v>
      </c>
      <c r="I1210" t="s">
        <v>12797</v>
      </c>
      <c r="J1210" t="s">
        <v>12798</v>
      </c>
      <c r="K1210" t="s">
        <v>13256</v>
      </c>
    </row>
    <row r="1211" spans="1:11" s="1" customFormat="1" x14ac:dyDescent="0.25">
      <c r="A1211" t="s">
        <v>12799</v>
      </c>
      <c r="B1211" t="s">
        <v>13959</v>
      </c>
      <c r="C1211" s="111"/>
      <c r="D1211" s="128"/>
      <c r="E1211">
        <v>446</v>
      </c>
      <c r="F1211" t="s">
        <v>12800</v>
      </c>
      <c r="G1211" t="s">
        <v>13959</v>
      </c>
      <c r="H1211" t="s">
        <v>8738</v>
      </c>
      <c r="I1211" t="s">
        <v>13959</v>
      </c>
      <c r="J1211" t="s">
        <v>12800</v>
      </c>
      <c r="K1211" t="s">
        <v>13256</v>
      </c>
    </row>
    <row r="1212" spans="1:11" s="1" customFormat="1" x14ac:dyDescent="0.25">
      <c r="A1212" t="s">
        <v>12801</v>
      </c>
      <c r="B1212" t="s">
        <v>12802</v>
      </c>
      <c r="C1212" s="111"/>
      <c r="D1212" s="128"/>
      <c r="E1212">
        <v>802</v>
      </c>
      <c r="F1212" t="s">
        <v>12803</v>
      </c>
      <c r="G1212" t="s">
        <v>12802</v>
      </c>
      <c r="H1212" t="s">
        <v>8738</v>
      </c>
      <c r="I1212" t="s">
        <v>12802</v>
      </c>
      <c r="J1212" t="s">
        <v>12803</v>
      </c>
      <c r="K1212" t="s">
        <v>8043</v>
      </c>
    </row>
    <row r="1213" spans="1:11" s="1" customFormat="1" x14ac:dyDescent="0.25">
      <c r="A1213" t="s">
        <v>12804</v>
      </c>
      <c r="B1213" t="s">
        <v>12805</v>
      </c>
      <c r="C1213" s="111"/>
      <c r="D1213" s="128"/>
      <c r="E1213">
        <v>401</v>
      </c>
      <c r="F1213" t="s">
        <v>12806</v>
      </c>
      <c r="G1213" t="s">
        <v>12805</v>
      </c>
      <c r="H1213" t="s">
        <v>8738</v>
      </c>
      <c r="I1213" t="s">
        <v>12805</v>
      </c>
      <c r="J1213" t="s">
        <v>12806</v>
      </c>
      <c r="K1213" t="s">
        <v>13257</v>
      </c>
    </row>
    <row r="1214" spans="1:11" s="1" customFormat="1" x14ac:dyDescent="0.25">
      <c r="A1214" t="s">
        <v>12807</v>
      </c>
      <c r="B1214" t="s">
        <v>12808</v>
      </c>
      <c r="C1214" s="111"/>
      <c r="D1214" s="128"/>
      <c r="E1214">
        <v>1972</v>
      </c>
      <c r="F1214" t="s">
        <v>12810</v>
      </c>
      <c r="G1214" t="s">
        <v>12809</v>
      </c>
      <c r="H1214" t="s">
        <v>8738</v>
      </c>
      <c r="I1214" t="s">
        <v>12808</v>
      </c>
      <c r="J1214" t="s">
        <v>12810</v>
      </c>
      <c r="K1214" t="s">
        <v>12264</v>
      </c>
    </row>
    <row r="1215" spans="1:11" s="1" customFormat="1" x14ac:dyDescent="0.25">
      <c r="A1215" t="s">
        <v>12811</v>
      </c>
      <c r="B1215" t="s">
        <v>12812</v>
      </c>
      <c r="C1215" s="111"/>
      <c r="D1215" s="128"/>
      <c r="E1215">
        <v>799</v>
      </c>
      <c r="F1215" t="s">
        <v>12813</v>
      </c>
      <c r="G1215" t="s">
        <v>12812</v>
      </c>
      <c r="H1215" t="s">
        <v>8738</v>
      </c>
      <c r="I1215" t="s">
        <v>12812</v>
      </c>
      <c r="J1215" t="s">
        <v>12813</v>
      </c>
      <c r="K1215" t="s">
        <v>10760</v>
      </c>
    </row>
    <row r="1216" spans="1:11" s="1" customFormat="1" x14ac:dyDescent="0.25">
      <c r="A1216" t="s">
        <v>12814</v>
      </c>
      <c r="B1216" t="s">
        <v>12815</v>
      </c>
      <c r="C1216" s="111"/>
      <c r="D1216" s="128"/>
      <c r="E1216">
        <v>680</v>
      </c>
      <c r="F1216" t="s">
        <v>12816</v>
      </c>
      <c r="G1216" t="s">
        <v>12815</v>
      </c>
      <c r="H1216" t="s">
        <v>8738</v>
      </c>
      <c r="I1216" t="s">
        <v>12815</v>
      </c>
      <c r="J1216" t="s">
        <v>12816</v>
      </c>
      <c r="K1216" t="s">
        <v>13256</v>
      </c>
    </row>
    <row r="1217" spans="1:11" s="1" customFormat="1" x14ac:dyDescent="0.25">
      <c r="A1217" t="s">
        <v>12817</v>
      </c>
      <c r="B1217" t="s">
        <v>12818</v>
      </c>
      <c r="C1217" s="111"/>
      <c r="D1217" s="128"/>
      <c r="E1217">
        <v>2124</v>
      </c>
      <c r="F1217" t="s">
        <v>12819</v>
      </c>
      <c r="G1217" t="s">
        <v>12818</v>
      </c>
      <c r="H1217" t="s">
        <v>8738</v>
      </c>
      <c r="I1217" t="s">
        <v>12818</v>
      </c>
      <c r="J1217" t="s">
        <v>12819</v>
      </c>
      <c r="K1217" t="s">
        <v>12264</v>
      </c>
    </row>
    <row r="1218" spans="1:11" s="1" customFormat="1" x14ac:dyDescent="0.25">
      <c r="A1218" t="s">
        <v>12820</v>
      </c>
      <c r="B1218" t="s">
        <v>12821</v>
      </c>
      <c r="C1218" s="111"/>
      <c r="D1218" s="128"/>
      <c r="E1218"/>
      <c r="F1218" t="s">
        <v>12822</v>
      </c>
      <c r="G1218" t="s">
        <v>12821</v>
      </c>
      <c r="H1218" t="s">
        <v>8738</v>
      </c>
      <c r="I1218" t="s">
        <v>12821</v>
      </c>
      <c r="J1218" t="s">
        <v>12822</v>
      </c>
      <c r="K1218" t="s">
        <v>8155</v>
      </c>
    </row>
    <row r="1219" spans="1:11" s="1" customFormat="1" x14ac:dyDescent="0.25">
      <c r="A1219" t="s">
        <v>12823</v>
      </c>
      <c r="B1219" t="s">
        <v>12824</v>
      </c>
      <c r="C1219" s="111"/>
      <c r="D1219" s="128"/>
      <c r="E1219"/>
      <c r="F1219" t="s">
        <v>12825</v>
      </c>
      <c r="G1219" t="s">
        <v>12824</v>
      </c>
      <c r="H1219" t="s">
        <v>8738</v>
      </c>
      <c r="I1219" t="s">
        <v>12824</v>
      </c>
      <c r="J1219" t="s">
        <v>12825</v>
      </c>
      <c r="K1219" t="s">
        <v>8155</v>
      </c>
    </row>
    <row r="1220" spans="1:11" s="1" customFormat="1" x14ac:dyDescent="0.25">
      <c r="A1220" t="s">
        <v>12826</v>
      </c>
      <c r="B1220" t="s">
        <v>12827</v>
      </c>
      <c r="C1220" s="111"/>
      <c r="D1220" s="128"/>
      <c r="E1220"/>
      <c r="F1220" t="s">
        <v>12828</v>
      </c>
      <c r="G1220" t="s">
        <v>12827</v>
      </c>
      <c r="H1220" t="s">
        <v>8738</v>
      </c>
      <c r="I1220" t="s">
        <v>12827</v>
      </c>
      <c r="J1220" t="s">
        <v>12828</v>
      </c>
      <c r="K1220" t="s">
        <v>13255</v>
      </c>
    </row>
    <row r="1221" spans="1:11" s="1" customFormat="1" x14ac:dyDescent="0.25">
      <c r="A1221" t="s">
        <v>12829</v>
      </c>
      <c r="B1221" t="s">
        <v>12830</v>
      </c>
      <c r="C1221" s="111"/>
      <c r="D1221" s="128"/>
      <c r="E1221">
        <v>0</v>
      </c>
      <c r="F1221" t="s">
        <v>12831</v>
      </c>
      <c r="G1221" t="s">
        <v>12830</v>
      </c>
      <c r="H1221" t="s">
        <v>8738</v>
      </c>
      <c r="I1221" t="s">
        <v>12830</v>
      </c>
      <c r="J1221" t="s">
        <v>12831</v>
      </c>
      <c r="K1221" t="s">
        <v>13253</v>
      </c>
    </row>
    <row r="1222" spans="1:11" s="1" customFormat="1" x14ac:dyDescent="0.25">
      <c r="A1222" t="s">
        <v>12832</v>
      </c>
      <c r="B1222" t="s">
        <v>12833</v>
      </c>
      <c r="C1222" s="111"/>
      <c r="D1222" s="128"/>
      <c r="E1222">
        <v>0</v>
      </c>
      <c r="F1222" t="s">
        <v>12834</v>
      </c>
      <c r="G1222" t="s">
        <v>12833</v>
      </c>
      <c r="H1222" t="s">
        <v>8738</v>
      </c>
      <c r="I1222" t="s">
        <v>12833</v>
      </c>
      <c r="J1222" t="s">
        <v>12834</v>
      </c>
      <c r="K1222" t="s">
        <v>13251</v>
      </c>
    </row>
    <row r="1223" spans="1:11" s="1" customFormat="1" x14ac:dyDescent="0.25">
      <c r="A1223" t="s">
        <v>12835</v>
      </c>
      <c r="B1223" t="s">
        <v>12836</v>
      </c>
      <c r="C1223" s="111"/>
      <c r="D1223" s="128"/>
      <c r="E1223">
        <v>1158</v>
      </c>
      <c r="F1223" t="s">
        <v>12837</v>
      </c>
      <c r="G1223" t="s">
        <v>12836</v>
      </c>
      <c r="H1223" t="s">
        <v>8738</v>
      </c>
      <c r="I1223" t="s">
        <v>12836</v>
      </c>
      <c r="J1223" t="s">
        <v>12837</v>
      </c>
      <c r="K1223" t="s">
        <v>13250</v>
      </c>
    </row>
    <row r="1224" spans="1:11" s="1" customFormat="1" x14ac:dyDescent="0.25">
      <c r="A1224" t="s">
        <v>12838</v>
      </c>
      <c r="B1224" t="s">
        <v>12839</v>
      </c>
      <c r="C1224" s="111"/>
      <c r="D1224" s="128"/>
      <c r="E1224">
        <v>829</v>
      </c>
      <c r="F1224" t="s">
        <v>12840</v>
      </c>
      <c r="G1224" t="s">
        <v>12839</v>
      </c>
      <c r="H1224" t="s">
        <v>8738</v>
      </c>
      <c r="I1224" t="s">
        <v>12839</v>
      </c>
      <c r="J1224" t="s">
        <v>12840</v>
      </c>
      <c r="K1224" t="s">
        <v>13257</v>
      </c>
    </row>
    <row r="1225" spans="1:11" s="1" customFormat="1" x14ac:dyDescent="0.25">
      <c r="A1225" t="s">
        <v>12841</v>
      </c>
      <c r="B1225" t="s">
        <v>11019</v>
      </c>
      <c r="C1225" s="111"/>
      <c r="D1225" s="128"/>
      <c r="E1225">
        <v>2622</v>
      </c>
      <c r="F1225" t="s">
        <v>12842</v>
      </c>
      <c r="G1225" t="s">
        <v>8738</v>
      </c>
      <c r="H1225" t="s">
        <v>8738</v>
      </c>
      <c r="I1225" t="s">
        <v>11019</v>
      </c>
      <c r="J1225" t="s">
        <v>12842</v>
      </c>
      <c r="K1225" t="s">
        <v>13250</v>
      </c>
    </row>
    <row r="1226" spans="1:11" s="1" customFormat="1" x14ac:dyDescent="0.25">
      <c r="A1226" t="s">
        <v>12843</v>
      </c>
      <c r="B1226" t="s">
        <v>13988</v>
      </c>
      <c r="C1226" s="111"/>
      <c r="D1226" s="128"/>
      <c r="E1226">
        <v>3320</v>
      </c>
      <c r="F1226" t="s">
        <v>12844</v>
      </c>
      <c r="G1226" t="s">
        <v>8738</v>
      </c>
      <c r="H1226" t="s">
        <v>8738</v>
      </c>
      <c r="I1226" t="s">
        <v>13988</v>
      </c>
      <c r="J1226" t="s">
        <v>12844</v>
      </c>
      <c r="K1226" t="s">
        <v>13250</v>
      </c>
    </row>
    <row r="1227" spans="1:11" s="1" customFormat="1" x14ac:dyDescent="0.25">
      <c r="A1227" t="s">
        <v>12845</v>
      </c>
      <c r="B1227" t="s">
        <v>9451</v>
      </c>
      <c r="C1227" s="111"/>
      <c r="D1227" s="128"/>
      <c r="E1227">
        <v>2761</v>
      </c>
      <c r="F1227" t="s">
        <v>12846</v>
      </c>
      <c r="G1227" t="s">
        <v>8738</v>
      </c>
      <c r="H1227" t="s">
        <v>8738</v>
      </c>
      <c r="I1227" t="s">
        <v>9451</v>
      </c>
      <c r="J1227" t="s">
        <v>12846</v>
      </c>
      <c r="K1227" t="s">
        <v>13250</v>
      </c>
    </row>
    <row r="1228" spans="1:11" s="1" customFormat="1" x14ac:dyDescent="0.25">
      <c r="A1228" t="s">
        <v>12992</v>
      </c>
      <c r="B1228" t="s">
        <v>10181</v>
      </c>
      <c r="C1228" s="111"/>
      <c r="D1228" s="128"/>
      <c r="E1228">
        <v>540</v>
      </c>
      <c r="F1228" t="s">
        <v>12994</v>
      </c>
      <c r="G1228" t="s">
        <v>12993</v>
      </c>
      <c r="H1228" t="s">
        <v>10181</v>
      </c>
      <c r="I1228" t="s">
        <v>10181</v>
      </c>
      <c r="J1228" t="s">
        <v>12994</v>
      </c>
      <c r="K1228" t="s">
        <v>13163</v>
      </c>
    </row>
    <row r="1229" spans="1:11" s="1" customFormat="1" x14ac:dyDescent="0.25">
      <c r="A1229" t="s">
        <v>12995</v>
      </c>
      <c r="B1229" t="s">
        <v>12996</v>
      </c>
      <c r="C1229" s="111"/>
      <c r="D1229" s="128"/>
      <c r="E1229">
        <v>815</v>
      </c>
      <c r="F1229" t="s">
        <v>12997</v>
      </c>
      <c r="G1229" t="s">
        <v>12993</v>
      </c>
      <c r="H1229" t="s">
        <v>10181</v>
      </c>
      <c r="I1229" t="s">
        <v>12996</v>
      </c>
      <c r="J1229" t="s">
        <v>12997</v>
      </c>
      <c r="K1229" t="s">
        <v>13163</v>
      </c>
    </row>
    <row r="1230" spans="1:11" s="1" customFormat="1" x14ac:dyDescent="0.25">
      <c r="A1230" t="s">
        <v>12998</v>
      </c>
      <c r="B1230" t="s">
        <v>12999</v>
      </c>
      <c r="C1230" s="111"/>
      <c r="D1230" s="128"/>
      <c r="E1230">
        <v>340</v>
      </c>
      <c r="F1230" t="s">
        <v>13000</v>
      </c>
      <c r="G1230" t="s">
        <v>12993</v>
      </c>
      <c r="H1230" t="s">
        <v>10181</v>
      </c>
      <c r="I1230" t="s">
        <v>12999</v>
      </c>
      <c r="J1230" t="s">
        <v>13000</v>
      </c>
      <c r="K1230" t="s">
        <v>13163</v>
      </c>
    </row>
    <row r="1231" spans="1:11" s="1" customFormat="1" x14ac:dyDescent="0.25">
      <c r="A1231" t="s">
        <v>13001</v>
      </c>
      <c r="B1231" t="s">
        <v>13002</v>
      </c>
      <c r="C1231" s="111"/>
      <c r="D1231" s="128"/>
      <c r="E1231">
        <v>477</v>
      </c>
      <c r="F1231" t="s">
        <v>13003</v>
      </c>
      <c r="G1231" t="s">
        <v>12993</v>
      </c>
      <c r="H1231" t="s">
        <v>10181</v>
      </c>
      <c r="I1231" t="s">
        <v>13002</v>
      </c>
      <c r="J1231" t="s">
        <v>13003</v>
      </c>
      <c r="K1231" t="s">
        <v>13163</v>
      </c>
    </row>
    <row r="1232" spans="1:11" s="1" customFormat="1" x14ac:dyDescent="0.25">
      <c r="A1232" t="s">
        <v>13004</v>
      </c>
      <c r="B1232" t="s">
        <v>13005</v>
      </c>
      <c r="C1232" s="111"/>
      <c r="D1232" s="128"/>
      <c r="E1232">
        <v>1</v>
      </c>
      <c r="F1232" t="s">
        <v>13006</v>
      </c>
      <c r="G1232" t="s">
        <v>13005</v>
      </c>
      <c r="H1232" t="s">
        <v>10181</v>
      </c>
      <c r="I1232" t="s">
        <v>13005</v>
      </c>
      <c r="J1232" t="s">
        <v>13006</v>
      </c>
      <c r="K1232" t="s">
        <v>13258</v>
      </c>
    </row>
    <row r="1233" spans="1:11" s="1" customFormat="1" x14ac:dyDescent="0.25">
      <c r="A1233" t="s">
        <v>13007</v>
      </c>
      <c r="B1233" t="s">
        <v>13008</v>
      </c>
      <c r="C1233" s="111"/>
      <c r="D1233" s="128"/>
      <c r="E1233">
        <v>930</v>
      </c>
      <c r="F1233" t="s">
        <v>13009</v>
      </c>
      <c r="G1233" t="s">
        <v>13008</v>
      </c>
      <c r="H1233" t="s">
        <v>10181</v>
      </c>
      <c r="I1233" t="s">
        <v>13008</v>
      </c>
      <c r="J1233" t="s">
        <v>13009</v>
      </c>
      <c r="K1233" t="s">
        <v>10431</v>
      </c>
    </row>
    <row r="1234" spans="1:11" s="1" customFormat="1" x14ac:dyDescent="0.25">
      <c r="A1234" t="s">
        <v>13010</v>
      </c>
      <c r="B1234" t="s">
        <v>13011</v>
      </c>
      <c r="C1234" s="111"/>
      <c r="D1234" s="128"/>
      <c r="E1234">
        <v>100</v>
      </c>
      <c r="F1234" t="s">
        <v>13012</v>
      </c>
      <c r="G1234" t="s">
        <v>13011</v>
      </c>
      <c r="H1234" t="s">
        <v>10181</v>
      </c>
      <c r="I1234" t="s">
        <v>13011</v>
      </c>
      <c r="J1234" t="s">
        <v>13012</v>
      </c>
      <c r="K1234" t="s">
        <v>13093</v>
      </c>
    </row>
    <row r="1235" spans="1:11" s="1" customFormat="1" x14ac:dyDescent="0.25">
      <c r="A1235" t="s">
        <v>13013</v>
      </c>
      <c r="B1235" t="s">
        <v>13014</v>
      </c>
      <c r="C1235" s="111"/>
      <c r="D1235" s="128"/>
      <c r="E1235">
        <v>200</v>
      </c>
      <c r="F1235" t="s">
        <v>13016</v>
      </c>
      <c r="G1235" t="s">
        <v>13015</v>
      </c>
      <c r="H1235" t="s">
        <v>10181</v>
      </c>
      <c r="I1235" t="s">
        <v>13014</v>
      </c>
      <c r="J1235" t="s">
        <v>13016</v>
      </c>
      <c r="K1235" t="s">
        <v>10431</v>
      </c>
    </row>
    <row r="1236" spans="1:11" s="1" customFormat="1" x14ac:dyDescent="0.25">
      <c r="A1236" t="s">
        <v>13017</v>
      </c>
      <c r="B1236" t="s">
        <v>8054</v>
      </c>
      <c r="C1236" s="111"/>
      <c r="D1236" s="128"/>
      <c r="E1236">
        <v>398</v>
      </c>
      <c r="F1236" t="s">
        <v>13018</v>
      </c>
      <c r="G1236" t="s">
        <v>8054</v>
      </c>
      <c r="H1236" t="s">
        <v>10181</v>
      </c>
      <c r="I1236" t="s">
        <v>8054</v>
      </c>
      <c r="J1236" t="s">
        <v>13018</v>
      </c>
      <c r="K1236" t="s">
        <v>13055</v>
      </c>
    </row>
    <row r="1237" spans="1:11" s="1" customFormat="1" x14ac:dyDescent="0.25">
      <c r="A1237" t="s">
        <v>13019</v>
      </c>
      <c r="B1237" t="s">
        <v>13020</v>
      </c>
      <c r="C1237" s="111"/>
      <c r="D1237" s="128"/>
      <c r="E1237"/>
      <c r="F1237" t="s">
        <v>13021</v>
      </c>
      <c r="G1237" t="s">
        <v>13020</v>
      </c>
      <c r="H1237" t="s">
        <v>10181</v>
      </c>
      <c r="I1237" t="s">
        <v>13020</v>
      </c>
      <c r="J1237" t="s">
        <v>13021</v>
      </c>
      <c r="K1237" t="s">
        <v>13020</v>
      </c>
    </row>
    <row r="1238" spans="1:11" s="1" customFormat="1" x14ac:dyDescent="0.25">
      <c r="A1238" t="s">
        <v>13022</v>
      </c>
      <c r="B1238" t="s">
        <v>13023</v>
      </c>
      <c r="C1238" s="111"/>
      <c r="D1238" s="128"/>
      <c r="E1238">
        <v>1</v>
      </c>
      <c r="F1238" t="s">
        <v>13025</v>
      </c>
      <c r="G1238" t="s">
        <v>13024</v>
      </c>
      <c r="H1238" t="s">
        <v>10181</v>
      </c>
      <c r="I1238" t="s">
        <v>13023</v>
      </c>
      <c r="J1238" t="s">
        <v>13025</v>
      </c>
      <c r="K1238" t="s">
        <v>13093</v>
      </c>
    </row>
    <row r="1239" spans="1:11" s="1" customFormat="1" x14ac:dyDescent="0.25">
      <c r="A1239" t="s">
        <v>13026</v>
      </c>
      <c r="B1239" t="s">
        <v>10713</v>
      </c>
      <c r="C1239" s="111"/>
      <c r="D1239" s="128"/>
      <c r="E1239">
        <v>305</v>
      </c>
      <c r="F1239" t="s">
        <v>13027</v>
      </c>
      <c r="G1239" t="s">
        <v>10713</v>
      </c>
      <c r="H1239" t="s">
        <v>10181</v>
      </c>
      <c r="I1239" t="s">
        <v>10713</v>
      </c>
      <c r="J1239" t="s">
        <v>13027</v>
      </c>
      <c r="K1239" t="s">
        <v>13259</v>
      </c>
    </row>
    <row r="1240" spans="1:11" s="1" customFormat="1" x14ac:dyDescent="0.25">
      <c r="A1240" t="s">
        <v>13028</v>
      </c>
      <c r="B1240" t="s">
        <v>13029</v>
      </c>
      <c r="C1240" s="111"/>
      <c r="D1240" s="128"/>
      <c r="E1240">
        <v>380</v>
      </c>
      <c r="F1240" t="s">
        <v>13030</v>
      </c>
      <c r="G1240" t="s">
        <v>13029</v>
      </c>
      <c r="H1240" t="s">
        <v>10181</v>
      </c>
      <c r="I1240" t="s">
        <v>13029</v>
      </c>
      <c r="J1240" t="s">
        <v>13030</v>
      </c>
      <c r="K1240" t="s">
        <v>13029</v>
      </c>
    </row>
    <row r="1241" spans="1:11" s="1" customFormat="1" x14ac:dyDescent="0.25">
      <c r="A1241" t="s">
        <v>13031</v>
      </c>
      <c r="B1241" t="s">
        <v>13032</v>
      </c>
      <c r="C1241" s="111"/>
      <c r="D1241" s="128"/>
      <c r="E1241">
        <v>12</v>
      </c>
      <c r="F1241" t="s">
        <v>13033</v>
      </c>
      <c r="G1241" t="s">
        <v>13032</v>
      </c>
      <c r="H1241" t="s">
        <v>10181</v>
      </c>
      <c r="I1241" t="s">
        <v>13032</v>
      </c>
      <c r="J1241" t="s">
        <v>13033</v>
      </c>
      <c r="K1241" t="s">
        <v>13032</v>
      </c>
    </row>
    <row r="1242" spans="1:11" s="1" customFormat="1" x14ac:dyDescent="0.25">
      <c r="A1242" t="s">
        <v>13034</v>
      </c>
      <c r="B1242" t="s">
        <v>13035</v>
      </c>
      <c r="C1242" s="111"/>
      <c r="D1242" s="128"/>
      <c r="E1242">
        <v>0</v>
      </c>
      <c r="F1242" t="s">
        <v>13036</v>
      </c>
      <c r="G1242" t="s">
        <v>11657</v>
      </c>
      <c r="H1242" t="s">
        <v>10181</v>
      </c>
      <c r="I1242" t="s">
        <v>13035</v>
      </c>
      <c r="J1242" t="s">
        <v>13036</v>
      </c>
      <c r="K1242" t="s">
        <v>13258</v>
      </c>
    </row>
    <row r="1243" spans="1:11" s="1" customFormat="1" x14ac:dyDescent="0.25">
      <c r="A1243" t="s">
        <v>13037</v>
      </c>
      <c r="B1243" t="s">
        <v>13038</v>
      </c>
      <c r="C1243" s="111"/>
      <c r="D1243" s="128"/>
      <c r="E1243">
        <v>170</v>
      </c>
      <c r="F1243" t="s">
        <v>13039</v>
      </c>
      <c r="G1243" t="s">
        <v>8929</v>
      </c>
      <c r="H1243" t="s">
        <v>10181</v>
      </c>
      <c r="I1243" t="s">
        <v>13038</v>
      </c>
      <c r="J1243" t="s">
        <v>13039</v>
      </c>
      <c r="K1243" t="s">
        <v>13074</v>
      </c>
    </row>
    <row r="1244" spans="1:11" s="1" customFormat="1" x14ac:dyDescent="0.25">
      <c r="A1244" t="s">
        <v>13040</v>
      </c>
      <c r="B1244" t="s">
        <v>8665</v>
      </c>
      <c r="C1244" s="111"/>
      <c r="D1244" s="128"/>
      <c r="E1244">
        <v>402</v>
      </c>
      <c r="F1244" t="s">
        <v>13041</v>
      </c>
      <c r="G1244" t="s">
        <v>8665</v>
      </c>
      <c r="H1244" t="s">
        <v>10181</v>
      </c>
      <c r="I1244" t="s">
        <v>8665</v>
      </c>
      <c r="J1244" t="s">
        <v>13041</v>
      </c>
      <c r="K1244" t="s">
        <v>8550</v>
      </c>
    </row>
    <row r="1245" spans="1:11" s="1" customFormat="1" x14ac:dyDescent="0.25">
      <c r="A1245" t="s">
        <v>13042</v>
      </c>
      <c r="B1245" t="s">
        <v>13043</v>
      </c>
      <c r="C1245" s="111"/>
      <c r="D1245" s="128"/>
      <c r="E1245">
        <v>142</v>
      </c>
      <c r="F1245" t="s">
        <v>13044</v>
      </c>
      <c r="G1245" t="s">
        <v>13043</v>
      </c>
      <c r="H1245" t="s">
        <v>10181</v>
      </c>
      <c r="I1245" t="s">
        <v>13043</v>
      </c>
      <c r="J1245" t="s">
        <v>13044</v>
      </c>
      <c r="K1245" t="s">
        <v>13043</v>
      </c>
    </row>
    <row r="1246" spans="1:11" s="1" customFormat="1" x14ac:dyDescent="0.25">
      <c r="A1246" t="s">
        <v>13045</v>
      </c>
      <c r="B1246" t="s">
        <v>13046</v>
      </c>
      <c r="C1246" s="111"/>
      <c r="D1246" s="128"/>
      <c r="E1246">
        <v>0</v>
      </c>
      <c r="F1246" t="s">
        <v>13047</v>
      </c>
      <c r="G1246" t="s">
        <v>13046</v>
      </c>
      <c r="H1246" t="s">
        <v>10181</v>
      </c>
      <c r="I1246" t="s">
        <v>13046</v>
      </c>
      <c r="J1246" t="s">
        <v>13047</v>
      </c>
      <c r="K1246" t="s">
        <v>13032</v>
      </c>
    </row>
    <row r="1247" spans="1:11" s="1" customFormat="1" x14ac:dyDescent="0.25">
      <c r="A1247" t="s">
        <v>13048</v>
      </c>
      <c r="B1247" t="s">
        <v>13049</v>
      </c>
      <c r="C1247" s="111"/>
      <c r="D1247" s="128"/>
      <c r="E1247">
        <v>1</v>
      </c>
      <c r="F1247" t="s">
        <v>13050</v>
      </c>
      <c r="G1247" t="s">
        <v>13049</v>
      </c>
      <c r="H1247" t="s">
        <v>10181</v>
      </c>
      <c r="I1247" t="s">
        <v>13049</v>
      </c>
      <c r="J1247" t="s">
        <v>13050</v>
      </c>
      <c r="K1247" t="s">
        <v>13020</v>
      </c>
    </row>
    <row r="1248" spans="1:11" s="1" customFormat="1" x14ac:dyDescent="0.25">
      <c r="A1248" t="s">
        <v>13051</v>
      </c>
      <c r="B1248" t="s">
        <v>13052</v>
      </c>
      <c r="C1248" s="111"/>
      <c r="D1248" s="128"/>
      <c r="E1248">
        <v>1</v>
      </c>
      <c r="F1248" t="s">
        <v>13053</v>
      </c>
      <c r="G1248" t="s">
        <v>13052</v>
      </c>
      <c r="H1248" t="s">
        <v>10181</v>
      </c>
      <c r="I1248" t="s">
        <v>13052</v>
      </c>
      <c r="J1248" t="s">
        <v>13053</v>
      </c>
      <c r="K1248" t="s">
        <v>10431</v>
      </c>
    </row>
    <row r="1249" spans="1:11" s="1" customFormat="1" x14ac:dyDescent="0.25">
      <c r="A1249" t="s">
        <v>13054</v>
      </c>
      <c r="B1249" t="s">
        <v>13055</v>
      </c>
      <c r="C1249" s="3"/>
      <c r="D1249" s="128"/>
      <c r="E1249"/>
      <c r="F1249" t="s">
        <v>13056</v>
      </c>
      <c r="G1249" t="s">
        <v>13055</v>
      </c>
      <c r="H1249" t="s">
        <v>10181</v>
      </c>
      <c r="I1249" t="s">
        <v>13055</v>
      </c>
      <c r="J1249" t="s">
        <v>13056</v>
      </c>
      <c r="K1249" t="s">
        <v>13055</v>
      </c>
    </row>
    <row r="1250" spans="1:11" s="1" customFormat="1" x14ac:dyDescent="0.25">
      <c r="A1250" t="s">
        <v>13057</v>
      </c>
      <c r="B1250" t="s">
        <v>13058</v>
      </c>
      <c r="C1250" s="3"/>
      <c r="D1250" s="128"/>
      <c r="E1250">
        <v>0</v>
      </c>
      <c r="F1250" t="s">
        <v>13059</v>
      </c>
      <c r="G1250" t="s">
        <v>13058</v>
      </c>
      <c r="H1250" t="s">
        <v>10181</v>
      </c>
      <c r="I1250" t="s">
        <v>13058</v>
      </c>
      <c r="J1250" t="s">
        <v>13059</v>
      </c>
      <c r="K1250" t="s">
        <v>10431</v>
      </c>
    </row>
    <row r="1251" spans="1:11" s="1" customFormat="1" x14ac:dyDescent="0.25">
      <c r="A1251" t="s">
        <v>13060</v>
      </c>
      <c r="B1251" t="s">
        <v>13061</v>
      </c>
      <c r="C1251" s="3"/>
      <c r="D1251" s="128"/>
      <c r="E1251">
        <v>125</v>
      </c>
      <c r="F1251" t="s">
        <v>13062</v>
      </c>
      <c r="G1251" t="s">
        <v>13061</v>
      </c>
      <c r="H1251" t="s">
        <v>10181</v>
      </c>
      <c r="I1251" t="s">
        <v>13061</v>
      </c>
      <c r="J1251" t="s">
        <v>13062</v>
      </c>
      <c r="K1251" t="s">
        <v>13061</v>
      </c>
    </row>
    <row r="1252" spans="1:11" s="1" customFormat="1" x14ac:dyDescent="0.25">
      <c r="A1252" t="s">
        <v>13063</v>
      </c>
      <c r="B1252" t="s">
        <v>13064</v>
      </c>
      <c r="C1252" s="3"/>
      <c r="D1252" s="128"/>
      <c r="E1252">
        <v>15</v>
      </c>
      <c r="F1252" t="s">
        <v>13065</v>
      </c>
      <c r="G1252" t="s">
        <v>13064</v>
      </c>
      <c r="H1252" t="s">
        <v>10181</v>
      </c>
      <c r="I1252" t="s">
        <v>13064</v>
      </c>
      <c r="J1252" t="s">
        <v>13065</v>
      </c>
      <c r="K1252" t="s">
        <v>13096</v>
      </c>
    </row>
    <row r="1253" spans="1:11" s="1" customFormat="1" x14ac:dyDescent="0.25">
      <c r="A1253" t="s">
        <v>13066</v>
      </c>
      <c r="B1253" t="s">
        <v>13067</v>
      </c>
      <c r="C1253" s="3"/>
      <c r="D1253" s="128"/>
      <c r="E1253">
        <v>199</v>
      </c>
      <c r="F1253" t="s">
        <v>13069</v>
      </c>
      <c r="G1253" t="s">
        <v>13068</v>
      </c>
      <c r="H1253" t="s">
        <v>10181</v>
      </c>
      <c r="I1253" t="s">
        <v>13067</v>
      </c>
      <c r="J1253" t="s">
        <v>13069</v>
      </c>
      <c r="K1253" t="s">
        <v>13061</v>
      </c>
    </row>
    <row r="1254" spans="1:11" s="1" customFormat="1" x14ac:dyDescent="0.25">
      <c r="A1254" t="s">
        <v>13070</v>
      </c>
      <c r="B1254" t="s">
        <v>13071</v>
      </c>
      <c r="C1254" s="3"/>
      <c r="D1254" s="128"/>
      <c r="E1254">
        <v>1</v>
      </c>
      <c r="F1254" t="s">
        <v>13072</v>
      </c>
      <c r="G1254" t="s">
        <v>13071</v>
      </c>
      <c r="H1254" t="s">
        <v>10181</v>
      </c>
      <c r="I1254" t="s">
        <v>13071</v>
      </c>
      <c r="J1254" t="s">
        <v>13072</v>
      </c>
      <c r="K1254" t="s">
        <v>13087</v>
      </c>
    </row>
    <row r="1255" spans="1:11" s="1" customFormat="1" x14ac:dyDescent="0.25">
      <c r="A1255" t="s">
        <v>13073</v>
      </c>
      <c r="B1255" t="s">
        <v>13074</v>
      </c>
      <c r="C1255" s="3"/>
      <c r="D1255" s="128"/>
      <c r="E1255">
        <v>247</v>
      </c>
      <c r="F1255" t="s">
        <v>13075</v>
      </c>
      <c r="G1255" t="s">
        <v>13074</v>
      </c>
      <c r="H1255" t="s">
        <v>10181</v>
      </c>
      <c r="I1255" t="s">
        <v>13074</v>
      </c>
      <c r="J1255" t="s">
        <v>13075</v>
      </c>
      <c r="K1255" t="s">
        <v>13074</v>
      </c>
    </row>
    <row r="1256" spans="1:11" s="1" customFormat="1" x14ac:dyDescent="0.25">
      <c r="A1256" t="s">
        <v>13076</v>
      </c>
      <c r="B1256" t="s">
        <v>13077</v>
      </c>
      <c r="C1256" s="3"/>
      <c r="D1256" s="128"/>
      <c r="E1256">
        <v>101</v>
      </c>
      <c r="F1256" t="s">
        <v>13078</v>
      </c>
      <c r="G1256" t="s">
        <v>13077</v>
      </c>
      <c r="H1256" t="s">
        <v>10181</v>
      </c>
      <c r="I1256" t="s">
        <v>13077</v>
      </c>
      <c r="J1256" t="s">
        <v>13078</v>
      </c>
      <c r="K1256" t="s">
        <v>10431</v>
      </c>
    </row>
    <row r="1257" spans="1:11" s="1" customFormat="1" x14ac:dyDescent="0.25">
      <c r="A1257" t="s">
        <v>13079</v>
      </c>
      <c r="B1257" t="s">
        <v>13080</v>
      </c>
      <c r="C1257" s="3"/>
      <c r="D1257" s="128"/>
      <c r="E1257">
        <v>240</v>
      </c>
      <c r="F1257" t="s">
        <v>13081</v>
      </c>
      <c r="G1257" t="s">
        <v>13080</v>
      </c>
      <c r="H1257" t="s">
        <v>10181</v>
      </c>
      <c r="I1257" t="s">
        <v>13080</v>
      </c>
      <c r="J1257" t="s">
        <v>13081</v>
      </c>
      <c r="K1257" t="s">
        <v>13061</v>
      </c>
    </row>
    <row r="1258" spans="1:11" s="1" customFormat="1" x14ac:dyDescent="0.25">
      <c r="A1258" t="s">
        <v>13082</v>
      </c>
      <c r="B1258" t="s">
        <v>13083</v>
      </c>
      <c r="C1258" s="3"/>
      <c r="D1258" s="128"/>
      <c r="E1258">
        <v>1</v>
      </c>
      <c r="F1258" t="s">
        <v>13085</v>
      </c>
      <c r="G1258" t="s">
        <v>13084</v>
      </c>
      <c r="H1258" t="s">
        <v>10181</v>
      </c>
      <c r="I1258" t="s">
        <v>13083</v>
      </c>
      <c r="J1258" t="s">
        <v>13085</v>
      </c>
      <c r="K1258" t="s">
        <v>13099</v>
      </c>
    </row>
    <row r="1259" spans="1:11" s="1" customFormat="1" x14ac:dyDescent="0.25">
      <c r="A1259" t="s">
        <v>13086</v>
      </c>
      <c r="B1259" t="s">
        <v>13087</v>
      </c>
      <c r="C1259" s="3"/>
      <c r="D1259" s="128"/>
      <c r="E1259">
        <v>455</v>
      </c>
      <c r="F1259" t="s">
        <v>13088</v>
      </c>
      <c r="G1259" t="s">
        <v>13087</v>
      </c>
      <c r="H1259" t="s">
        <v>10181</v>
      </c>
      <c r="I1259" t="s">
        <v>13087</v>
      </c>
      <c r="J1259" t="s">
        <v>13088</v>
      </c>
      <c r="K1259" t="s">
        <v>13087</v>
      </c>
    </row>
    <row r="1260" spans="1:11" s="1" customFormat="1" x14ac:dyDescent="0.25">
      <c r="A1260" t="s">
        <v>13089</v>
      </c>
      <c r="B1260" t="s">
        <v>13090</v>
      </c>
      <c r="C1260" s="3"/>
      <c r="D1260" s="128"/>
      <c r="E1260">
        <v>99</v>
      </c>
      <c r="F1260" t="s">
        <v>13091</v>
      </c>
      <c r="G1260" t="s">
        <v>13090</v>
      </c>
      <c r="H1260" t="s">
        <v>10181</v>
      </c>
      <c r="I1260" t="s">
        <v>13090</v>
      </c>
      <c r="J1260" t="s">
        <v>13091</v>
      </c>
      <c r="K1260" t="s">
        <v>13032</v>
      </c>
    </row>
    <row r="1261" spans="1:11" s="1" customFormat="1" x14ac:dyDescent="0.25">
      <c r="A1261" t="s">
        <v>13092</v>
      </c>
      <c r="B1261" t="s">
        <v>13093</v>
      </c>
      <c r="C1261" s="3"/>
      <c r="D1261" s="128"/>
      <c r="E1261">
        <v>1</v>
      </c>
      <c r="F1261" t="s">
        <v>13094</v>
      </c>
      <c r="G1261" t="s">
        <v>13093</v>
      </c>
      <c r="H1261" t="s">
        <v>10181</v>
      </c>
      <c r="I1261" t="s">
        <v>13093</v>
      </c>
      <c r="J1261" t="s">
        <v>13094</v>
      </c>
      <c r="K1261" t="s">
        <v>13093</v>
      </c>
    </row>
    <row r="1262" spans="1:11" s="1" customFormat="1" x14ac:dyDescent="0.25">
      <c r="A1262" t="s">
        <v>13095</v>
      </c>
      <c r="B1262" t="s">
        <v>13096</v>
      </c>
      <c r="C1262" s="3"/>
      <c r="D1262" s="128"/>
      <c r="E1262">
        <v>15</v>
      </c>
      <c r="F1262" t="s">
        <v>13097</v>
      </c>
      <c r="G1262" t="s">
        <v>13096</v>
      </c>
      <c r="H1262" t="s">
        <v>10181</v>
      </c>
      <c r="I1262" t="s">
        <v>13096</v>
      </c>
      <c r="J1262" t="s">
        <v>13097</v>
      </c>
      <c r="K1262" t="s">
        <v>13096</v>
      </c>
    </row>
    <row r="1263" spans="1:11" s="1" customFormat="1" x14ac:dyDescent="0.25">
      <c r="A1263" t="s">
        <v>13098</v>
      </c>
      <c r="B1263" t="s">
        <v>13099</v>
      </c>
      <c r="C1263" s="3"/>
      <c r="D1263" s="128"/>
      <c r="E1263"/>
      <c r="F1263" t="s">
        <v>13100</v>
      </c>
      <c r="G1263" t="s">
        <v>13099</v>
      </c>
      <c r="H1263" t="s">
        <v>10181</v>
      </c>
      <c r="I1263" t="s">
        <v>13099</v>
      </c>
      <c r="J1263" t="s">
        <v>13100</v>
      </c>
      <c r="K1263" t="s">
        <v>13099</v>
      </c>
    </row>
    <row r="1264" spans="1:11" s="1" customFormat="1" x14ac:dyDescent="0.25">
      <c r="A1264" t="s">
        <v>13101</v>
      </c>
      <c r="B1264" t="s">
        <v>13102</v>
      </c>
      <c r="C1264" s="3"/>
      <c r="D1264" s="128"/>
      <c r="E1264">
        <v>1</v>
      </c>
      <c r="F1264" t="s">
        <v>13104</v>
      </c>
      <c r="G1264" t="s">
        <v>13103</v>
      </c>
      <c r="H1264" t="s">
        <v>10181</v>
      </c>
      <c r="I1264" t="s">
        <v>13102</v>
      </c>
      <c r="J1264" t="s">
        <v>13104</v>
      </c>
      <c r="K1264" t="s">
        <v>13259</v>
      </c>
    </row>
    <row r="1265" spans="1:11" s="1" customFormat="1" x14ac:dyDescent="0.25">
      <c r="A1265" t="s">
        <v>13105</v>
      </c>
      <c r="B1265" t="s">
        <v>13106</v>
      </c>
      <c r="C1265" s="3"/>
      <c r="D1265" s="128"/>
      <c r="E1265">
        <v>101</v>
      </c>
      <c r="F1265" t="s">
        <v>13108</v>
      </c>
      <c r="G1265" t="s">
        <v>13107</v>
      </c>
      <c r="H1265" t="s">
        <v>10181</v>
      </c>
      <c r="I1265" t="s">
        <v>13106</v>
      </c>
      <c r="J1265" t="s">
        <v>13108</v>
      </c>
      <c r="K1265" t="s">
        <v>13074</v>
      </c>
    </row>
    <row r="1266" spans="1:11" s="1" customFormat="1" x14ac:dyDescent="0.25">
      <c r="A1266" t="s">
        <v>13109</v>
      </c>
      <c r="B1266" t="s">
        <v>13110</v>
      </c>
      <c r="C1266" s="3"/>
      <c r="D1266" s="128"/>
      <c r="E1266">
        <v>2021</v>
      </c>
      <c r="F1266" t="s">
        <v>13111</v>
      </c>
      <c r="G1266" t="s">
        <v>13110</v>
      </c>
      <c r="H1266" t="s">
        <v>10181</v>
      </c>
      <c r="I1266" t="s">
        <v>13110</v>
      </c>
      <c r="J1266" t="s">
        <v>13111</v>
      </c>
      <c r="K1266" t="s">
        <v>13110</v>
      </c>
    </row>
    <row r="1267" spans="1:11" s="1" customFormat="1" x14ac:dyDescent="0.25">
      <c r="A1267" t="s">
        <v>13112</v>
      </c>
      <c r="B1267" t="s">
        <v>13113</v>
      </c>
      <c r="C1267" s="3"/>
      <c r="D1267" s="128"/>
      <c r="E1267">
        <v>64</v>
      </c>
      <c r="F1267" t="s">
        <v>13114</v>
      </c>
      <c r="G1267" t="s">
        <v>13113</v>
      </c>
      <c r="H1267" t="s">
        <v>10181</v>
      </c>
      <c r="I1267" t="s">
        <v>13113</v>
      </c>
      <c r="J1267" t="s">
        <v>13114</v>
      </c>
      <c r="K1267" t="s">
        <v>10431</v>
      </c>
    </row>
    <row r="1268" spans="1:11" s="1" customFormat="1" x14ac:dyDescent="0.25">
      <c r="A1268" t="s">
        <v>13115</v>
      </c>
      <c r="B1268" t="s">
        <v>13116</v>
      </c>
      <c r="C1268" s="3"/>
      <c r="D1268" s="128"/>
      <c r="E1268"/>
      <c r="F1268" t="s">
        <v>13117</v>
      </c>
      <c r="G1268" t="s">
        <v>13116</v>
      </c>
      <c r="H1268" t="s">
        <v>10181</v>
      </c>
      <c r="I1268" t="s">
        <v>13116</v>
      </c>
      <c r="J1268" t="s">
        <v>13117</v>
      </c>
      <c r="K1268" t="s">
        <v>10431</v>
      </c>
    </row>
    <row r="1269" spans="1:11" s="1" customFormat="1" x14ac:dyDescent="0.25">
      <c r="A1269" t="s">
        <v>13118</v>
      </c>
      <c r="B1269" t="s">
        <v>13119</v>
      </c>
      <c r="C1269" s="111"/>
      <c r="D1269" s="128"/>
      <c r="E1269"/>
      <c r="F1269" t="s">
        <v>13120</v>
      </c>
      <c r="G1269" t="s">
        <v>13119</v>
      </c>
      <c r="H1269" t="s">
        <v>10181</v>
      </c>
      <c r="I1269" t="s">
        <v>13119</v>
      </c>
      <c r="J1269" t="s">
        <v>13120</v>
      </c>
      <c r="K1269" t="s">
        <v>13096</v>
      </c>
    </row>
    <row r="1270" spans="1:11" s="1" customFormat="1" x14ac:dyDescent="0.25">
      <c r="A1270" t="s">
        <v>13121</v>
      </c>
      <c r="B1270" t="s">
        <v>13122</v>
      </c>
      <c r="C1270" s="111"/>
      <c r="D1270" s="128"/>
      <c r="E1270"/>
      <c r="F1270" t="s">
        <v>13123</v>
      </c>
      <c r="G1270" t="s">
        <v>13122</v>
      </c>
      <c r="H1270" t="s">
        <v>10181</v>
      </c>
      <c r="I1270" t="s">
        <v>13122</v>
      </c>
      <c r="J1270" t="s">
        <v>13123</v>
      </c>
      <c r="K1270" t="s">
        <v>13087</v>
      </c>
    </row>
    <row r="1271" spans="1:11" s="1" customFormat="1" x14ac:dyDescent="0.25">
      <c r="A1271" t="s">
        <v>13124</v>
      </c>
      <c r="B1271" t="s">
        <v>13125</v>
      </c>
      <c r="C1271" s="111"/>
      <c r="D1271" s="128"/>
      <c r="E1271">
        <v>450</v>
      </c>
      <c r="F1271" t="s">
        <v>13126</v>
      </c>
      <c r="G1271" t="s">
        <v>12993</v>
      </c>
      <c r="H1271" t="s">
        <v>10181</v>
      </c>
      <c r="I1271" t="s">
        <v>13125</v>
      </c>
      <c r="J1271" t="s">
        <v>13126</v>
      </c>
      <c r="K1271" t="s">
        <v>13163</v>
      </c>
    </row>
    <row r="1272" spans="1:11" s="1" customFormat="1" x14ac:dyDescent="0.25">
      <c r="A1272" t="s">
        <v>10032</v>
      </c>
      <c r="B1272" t="s">
        <v>10033</v>
      </c>
      <c r="C1272" s="111"/>
      <c r="D1272" s="128"/>
      <c r="E1272">
        <v>180</v>
      </c>
      <c r="F1272" t="s">
        <v>10035</v>
      </c>
      <c r="G1272" t="s">
        <v>10033</v>
      </c>
      <c r="H1272" t="s">
        <v>10034</v>
      </c>
      <c r="I1272" t="s">
        <v>10033</v>
      </c>
      <c r="J1272" t="s">
        <v>10035</v>
      </c>
      <c r="K1272" t="s">
        <v>13260</v>
      </c>
    </row>
    <row r="1273" spans="1:11" s="1" customFormat="1" x14ac:dyDescent="0.25">
      <c r="A1273" t="s">
        <v>10036</v>
      </c>
      <c r="B1273" t="s">
        <v>10037</v>
      </c>
      <c r="C1273" s="111"/>
      <c r="D1273" s="128"/>
      <c r="E1273">
        <v>490</v>
      </c>
      <c r="F1273" t="s">
        <v>10038</v>
      </c>
      <c r="G1273" t="s">
        <v>10033</v>
      </c>
      <c r="H1273" t="s">
        <v>10034</v>
      </c>
      <c r="I1273" t="s">
        <v>10037</v>
      </c>
      <c r="J1273" t="s">
        <v>10038</v>
      </c>
      <c r="K1273" t="s">
        <v>13260</v>
      </c>
    </row>
    <row r="1274" spans="1:11" s="1" customFormat="1" x14ac:dyDescent="0.25">
      <c r="A1274" t="s">
        <v>10039</v>
      </c>
      <c r="B1274" t="s">
        <v>10040</v>
      </c>
      <c r="C1274" s="111"/>
      <c r="D1274" s="128"/>
      <c r="E1274">
        <v>801</v>
      </c>
      <c r="F1274" t="s">
        <v>10041</v>
      </c>
      <c r="G1274" t="s">
        <v>10033</v>
      </c>
      <c r="H1274" t="s">
        <v>10034</v>
      </c>
      <c r="I1274" t="s">
        <v>10040</v>
      </c>
      <c r="J1274" t="s">
        <v>10041</v>
      </c>
      <c r="K1274" t="s">
        <v>13260</v>
      </c>
    </row>
    <row r="1275" spans="1:11" s="1" customFormat="1" x14ac:dyDescent="0.25">
      <c r="A1275" t="s">
        <v>10042</v>
      </c>
      <c r="B1275" t="s">
        <v>10043</v>
      </c>
      <c r="C1275" s="111"/>
      <c r="D1275" s="128"/>
      <c r="E1275"/>
      <c r="F1275" t="s">
        <v>10044</v>
      </c>
      <c r="G1275" t="s">
        <v>10043</v>
      </c>
      <c r="H1275" t="s">
        <v>10034</v>
      </c>
      <c r="I1275" t="s">
        <v>10043</v>
      </c>
      <c r="J1275" t="s">
        <v>10044</v>
      </c>
      <c r="K1275" t="s">
        <v>13261</v>
      </c>
    </row>
    <row r="1276" spans="1:11" s="1" customFormat="1" x14ac:dyDescent="0.25">
      <c r="A1276" t="s">
        <v>10045</v>
      </c>
      <c r="B1276" t="s">
        <v>10046</v>
      </c>
      <c r="C1276" s="111"/>
      <c r="D1276" s="128"/>
      <c r="E1276">
        <v>0</v>
      </c>
      <c r="F1276" t="s">
        <v>10047</v>
      </c>
      <c r="G1276" t="s">
        <v>10046</v>
      </c>
      <c r="H1276" t="s">
        <v>10034</v>
      </c>
      <c r="I1276" t="s">
        <v>10046</v>
      </c>
      <c r="J1276" t="s">
        <v>10047</v>
      </c>
      <c r="K1276" t="s">
        <v>13261</v>
      </c>
    </row>
    <row r="1277" spans="1:11" s="1" customFormat="1" x14ac:dyDescent="0.25">
      <c r="A1277" t="s">
        <v>10048</v>
      </c>
      <c r="B1277" t="s">
        <v>10049</v>
      </c>
      <c r="C1277" s="111"/>
      <c r="D1277" s="128"/>
      <c r="E1277">
        <v>300</v>
      </c>
      <c r="F1277" t="s">
        <v>10050</v>
      </c>
      <c r="G1277" t="s">
        <v>10049</v>
      </c>
      <c r="H1277" t="s">
        <v>10034</v>
      </c>
      <c r="I1277" t="s">
        <v>10049</v>
      </c>
      <c r="J1277" t="s">
        <v>10050</v>
      </c>
      <c r="K1277" t="s">
        <v>8503</v>
      </c>
    </row>
    <row r="1278" spans="1:11" s="1" customFormat="1" x14ac:dyDescent="0.25">
      <c r="A1278" t="s">
        <v>10051</v>
      </c>
      <c r="B1278" t="s">
        <v>10052</v>
      </c>
      <c r="C1278" s="111"/>
      <c r="D1278" s="128"/>
      <c r="E1278">
        <v>0</v>
      </c>
      <c r="F1278" t="s">
        <v>10053</v>
      </c>
      <c r="G1278" t="s">
        <v>10052</v>
      </c>
      <c r="H1278" t="s">
        <v>10034</v>
      </c>
      <c r="I1278" t="s">
        <v>10052</v>
      </c>
      <c r="J1278" t="s">
        <v>10053</v>
      </c>
      <c r="K1278" t="s">
        <v>13262</v>
      </c>
    </row>
    <row r="1279" spans="1:11" s="1" customFormat="1" x14ac:dyDescent="0.25">
      <c r="A1279" t="s">
        <v>10054</v>
      </c>
      <c r="B1279" t="s">
        <v>10055</v>
      </c>
      <c r="C1279" s="111"/>
      <c r="D1279" s="128"/>
      <c r="E1279">
        <v>347</v>
      </c>
      <c r="F1279" t="s">
        <v>10056</v>
      </c>
      <c r="G1279" t="s">
        <v>10055</v>
      </c>
      <c r="H1279" t="s">
        <v>10034</v>
      </c>
      <c r="I1279" t="s">
        <v>10055</v>
      </c>
      <c r="J1279" t="s">
        <v>10056</v>
      </c>
      <c r="K1279" t="s">
        <v>13263</v>
      </c>
    </row>
    <row r="1280" spans="1:11" s="1" customFormat="1" x14ac:dyDescent="0.25">
      <c r="A1280" t="s">
        <v>10057</v>
      </c>
      <c r="B1280" t="s">
        <v>10058</v>
      </c>
      <c r="C1280" s="111"/>
      <c r="D1280" s="128"/>
      <c r="E1280">
        <v>1</v>
      </c>
      <c r="F1280" t="s">
        <v>10059</v>
      </c>
      <c r="G1280" t="s">
        <v>10058</v>
      </c>
      <c r="H1280" t="s">
        <v>10034</v>
      </c>
      <c r="I1280" t="s">
        <v>10058</v>
      </c>
      <c r="J1280" t="s">
        <v>10059</v>
      </c>
      <c r="K1280" t="s">
        <v>13263</v>
      </c>
    </row>
    <row r="1281" spans="1:11" s="1" customFormat="1" x14ac:dyDescent="0.25">
      <c r="A1281" t="s">
        <v>10060</v>
      </c>
      <c r="B1281" t="s">
        <v>10061</v>
      </c>
      <c r="C1281" s="111"/>
      <c r="D1281" s="128"/>
      <c r="E1281">
        <v>1315</v>
      </c>
      <c r="F1281" t="s">
        <v>10062</v>
      </c>
      <c r="G1281" t="s">
        <v>10061</v>
      </c>
      <c r="H1281" t="s">
        <v>10034</v>
      </c>
      <c r="I1281" t="s">
        <v>10061</v>
      </c>
      <c r="J1281" t="s">
        <v>10062</v>
      </c>
      <c r="K1281" t="s">
        <v>13260</v>
      </c>
    </row>
    <row r="1282" spans="1:11" s="1" customFormat="1" x14ac:dyDescent="0.25">
      <c r="A1282" t="s">
        <v>10063</v>
      </c>
      <c r="B1282" t="s">
        <v>10064</v>
      </c>
      <c r="C1282" s="111"/>
      <c r="D1282" s="128"/>
      <c r="E1282">
        <v>790</v>
      </c>
      <c r="F1282" t="s">
        <v>10065</v>
      </c>
      <c r="G1282" t="s">
        <v>10064</v>
      </c>
      <c r="H1282" t="s">
        <v>10034</v>
      </c>
      <c r="I1282" t="s">
        <v>10064</v>
      </c>
      <c r="J1282" t="s">
        <v>10065</v>
      </c>
      <c r="K1282" t="s">
        <v>13261</v>
      </c>
    </row>
    <row r="1283" spans="1:11" s="1" customFormat="1" x14ac:dyDescent="0.25">
      <c r="A1283" t="s">
        <v>10066</v>
      </c>
      <c r="B1283" t="s">
        <v>10067</v>
      </c>
      <c r="C1283" s="111"/>
      <c r="D1283" s="128"/>
      <c r="E1283">
        <v>240</v>
      </c>
      <c r="F1283" t="s">
        <v>10068</v>
      </c>
      <c r="G1283" t="s">
        <v>10067</v>
      </c>
      <c r="H1283" t="s">
        <v>10034</v>
      </c>
      <c r="I1283" t="s">
        <v>10067</v>
      </c>
      <c r="J1283" t="s">
        <v>10068</v>
      </c>
      <c r="K1283" t="s">
        <v>13263</v>
      </c>
    </row>
    <row r="1284" spans="1:11" s="1" customFormat="1" x14ac:dyDescent="0.25">
      <c r="A1284" t="s">
        <v>10069</v>
      </c>
      <c r="B1284" t="s">
        <v>8242</v>
      </c>
      <c r="C1284" s="111"/>
      <c r="D1284" s="128"/>
      <c r="E1284">
        <v>307</v>
      </c>
      <c r="F1284" t="s">
        <v>10070</v>
      </c>
      <c r="G1284" t="s">
        <v>8242</v>
      </c>
      <c r="H1284" t="s">
        <v>10034</v>
      </c>
      <c r="I1284" t="s">
        <v>8242</v>
      </c>
      <c r="J1284" t="s">
        <v>10070</v>
      </c>
      <c r="K1284" t="s">
        <v>8242</v>
      </c>
    </row>
    <row r="1285" spans="1:11" s="1" customFormat="1" x14ac:dyDescent="0.25">
      <c r="A1285" t="s">
        <v>10071</v>
      </c>
      <c r="B1285" t="s">
        <v>10072</v>
      </c>
      <c r="C1285" s="111"/>
      <c r="D1285" s="128"/>
      <c r="E1285">
        <v>99</v>
      </c>
      <c r="F1285" t="s">
        <v>10073</v>
      </c>
      <c r="G1285" t="s">
        <v>10072</v>
      </c>
      <c r="H1285" t="s">
        <v>10034</v>
      </c>
      <c r="I1285" t="s">
        <v>10072</v>
      </c>
      <c r="J1285" t="s">
        <v>10073</v>
      </c>
      <c r="K1285" t="s">
        <v>13262</v>
      </c>
    </row>
    <row r="1286" spans="1:11" s="1" customFormat="1" x14ac:dyDescent="0.25">
      <c r="A1286" t="s">
        <v>10074</v>
      </c>
      <c r="B1286" t="s">
        <v>10075</v>
      </c>
      <c r="C1286" s="111"/>
      <c r="D1286" s="128"/>
      <c r="E1286">
        <v>315</v>
      </c>
      <c r="F1286" t="s">
        <v>10076</v>
      </c>
      <c r="G1286" t="s">
        <v>10075</v>
      </c>
      <c r="H1286" t="s">
        <v>10034</v>
      </c>
      <c r="I1286" t="s">
        <v>10075</v>
      </c>
      <c r="J1286" t="s">
        <v>10076</v>
      </c>
      <c r="K1286" t="s">
        <v>8757</v>
      </c>
    </row>
    <row r="1287" spans="1:11" s="1" customFormat="1" x14ac:dyDescent="0.25">
      <c r="A1287" t="s">
        <v>10077</v>
      </c>
      <c r="B1287" t="s">
        <v>10078</v>
      </c>
      <c r="C1287" s="111"/>
      <c r="D1287" s="128"/>
      <c r="E1287">
        <v>0</v>
      </c>
      <c r="F1287" t="s">
        <v>10079</v>
      </c>
      <c r="G1287" t="s">
        <v>10078</v>
      </c>
      <c r="H1287" t="s">
        <v>10034</v>
      </c>
      <c r="I1287" t="s">
        <v>10078</v>
      </c>
      <c r="J1287" t="s">
        <v>10079</v>
      </c>
      <c r="K1287" t="s">
        <v>13264</v>
      </c>
    </row>
    <row r="1288" spans="1:11" s="1" customFormat="1" x14ac:dyDescent="0.25">
      <c r="A1288" t="s">
        <v>10080</v>
      </c>
      <c r="B1288" t="s">
        <v>10081</v>
      </c>
      <c r="C1288" s="111"/>
      <c r="D1288" s="128"/>
      <c r="E1288">
        <v>102</v>
      </c>
      <c r="F1288" t="s">
        <v>10082</v>
      </c>
      <c r="G1288" t="s">
        <v>10081</v>
      </c>
      <c r="H1288" t="s">
        <v>10034</v>
      </c>
      <c r="I1288" t="s">
        <v>10081</v>
      </c>
      <c r="J1288" t="s">
        <v>10082</v>
      </c>
      <c r="K1288" t="s">
        <v>10093</v>
      </c>
    </row>
    <row r="1289" spans="1:11" s="1" customFormat="1" x14ac:dyDescent="0.25">
      <c r="A1289" t="s">
        <v>10083</v>
      </c>
      <c r="B1289" t="s">
        <v>10084</v>
      </c>
      <c r="C1289" s="111"/>
      <c r="D1289" s="128"/>
      <c r="E1289">
        <v>801</v>
      </c>
      <c r="F1289" t="s">
        <v>10085</v>
      </c>
      <c r="G1289" t="s">
        <v>10084</v>
      </c>
      <c r="H1289" t="s">
        <v>10034</v>
      </c>
      <c r="I1289" t="s">
        <v>10084</v>
      </c>
      <c r="J1289" t="s">
        <v>10085</v>
      </c>
      <c r="K1289" t="s">
        <v>13264</v>
      </c>
    </row>
    <row r="1290" spans="1:11" s="1" customFormat="1" x14ac:dyDescent="0.25">
      <c r="A1290" t="s">
        <v>10086</v>
      </c>
      <c r="B1290" t="s">
        <v>10087</v>
      </c>
      <c r="C1290" s="111"/>
      <c r="D1290" s="128"/>
      <c r="E1290"/>
      <c r="F1290" t="s">
        <v>10088</v>
      </c>
      <c r="G1290" t="s">
        <v>10087</v>
      </c>
      <c r="H1290" t="s">
        <v>10034</v>
      </c>
      <c r="I1290" t="s">
        <v>10087</v>
      </c>
      <c r="J1290" t="s">
        <v>10088</v>
      </c>
      <c r="K1290" t="s">
        <v>13264</v>
      </c>
    </row>
    <row r="1291" spans="1:11" s="1" customFormat="1" x14ac:dyDescent="0.25">
      <c r="A1291" t="s">
        <v>10089</v>
      </c>
      <c r="B1291" t="s">
        <v>10090</v>
      </c>
      <c r="C1291" s="111"/>
      <c r="D1291" s="128"/>
      <c r="E1291">
        <v>1192</v>
      </c>
      <c r="F1291" t="s">
        <v>10091</v>
      </c>
      <c r="G1291" t="s">
        <v>10090</v>
      </c>
      <c r="H1291" t="s">
        <v>10034</v>
      </c>
      <c r="I1291" t="s">
        <v>10090</v>
      </c>
      <c r="J1291" t="s">
        <v>10091</v>
      </c>
      <c r="K1291" t="s">
        <v>13262</v>
      </c>
    </row>
    <row r="1292" spans="1:11" s="1" customFormat="1" x14ac:dyDescent="0.25">
      <c r="A1292" t="s">
        <v>10092</v>
      </c>
      <c r="B1292" t="s">
        <v>10093</v>
      </c>
      <c r="C1292" s="111"/>
      <c r="D1292" s="128"/>
      <c r="E1292">
        <v>114</v>
      </c>
      <c r="F1292" t="s">
        <v>10094</v>
      </c>
      <c r="G1292" t="s">
        <v>10093</v>
      </c>
      <c r="H1292" t="s">
        <v>10034</v>
      </c>
      <c r="I1292" t="s">
        <v>10093</v>
      </c>
      <c r="J1292" t="s">
        <v>10094</v>
      </c>
      <c r="K1292" t="s">
        <v>10093</v>
      </c>
    </row>
    <row r="1293" spans="1:11" s="1" customFormat="1" x14ac:dyDescent="0.25">
      <c r="A1293" t="s">
        <v>10095</v>
      </c>
      <c r="B1293" t="s">
        <v>10096</v>
      </c>
      <c r="C1293" s="111"/>
      <c r="D1293" s="128"/>
      <c r="E1293">
        <v>0</v>
      </c>
      <c r="F1293" t="s">
        <v>10097</v>
      </c>
      <c r="G1293" t="s">
        <v>10096</v>
      </c>
      <c r="H1293" t="s">
        <v>10034</v>
      </c>
      <c r="I1293" t="s">
        <v>10096</v>
      </c>
      <c r="J1293" t="s">
        <v>10097</v>
      </c>
      <c r="K1293" t="s">
        <v>10096</v>
      </c>
    </row>
    <row r="1294" spans="1:11" s="1" customFormat="1" x14ac:dyDescent="0.25">
      <c r="A1294" t="s">
        <v>10098</v>
      </c>
      <c r="B1294" t="s">
        <v>10099</v>
      </c>
      <c r="C1294" s="111"/>
      <c r="D1294" s="128"/>
      <c r="E1294">
        <v>293</v>
      </c>
      <c r="F1294" t="s">
        <v>10100</v>
      </c>
      <c r="G1294" t="s">
        <v>10099</v>
      </c>
      <c r="H1294" t="s">
        <v>10034</v>
      </c>
      <c r="I1294" t="s">
        <v>10099</v>
      </c>
      <c r="J1294" t="s">
        <v>10100</v>
      </c>
      <c r="K1294" t="s">
        <v>13265</v>
      </c>
    </row>
    <row r="1295" spans="1:11" s="1" customFormat="1" x14ac:dyDescent="0.25">
      <c r="A1295" t="s">
        <v>10101</v>
      </c>
      <c r="B1295" t="s">
        <v>10102</v>
      </c>
      <c r="C1295" s="111"/>
      <c r="D1295" s="128"/>
      <c r="E1295">
        <v>0</v>
      </c>
      <c r="F1295" t="s">
        <v>10103</v>
      </c>
      <c r="G1295" t="s">
        <v>10102</v>
      </c>
      <c r="H1295" t="s">
        <v>10034</v>
      </c>
      <c r="I1295" t="s">
        <v>10102</v>
      </c>
      <c r="J1295" t="s">
        <v>10103</v>
      </c>
      <c r="K1295" t="s">
        <v>13264</v>
      </c>
    </row>
    <row r="1296" spans="1:11" s="1" customFormat="1" x14ac:dyDescent="0.25">
      <c r="A1296" t="s">
        <v>10104</v>
      </c>
      <c r="B1296" t="s">
        <v>8757</v>
      </c>
      <c r="C1296" s="111"/>
      <c r="D1296" s="128"/>
      <c r="E1296">
        <v>22</v>
      </c>
      <c r="F1296" t="s">
        <v>10105</v>
      </c>
      <c r="G1296" t="s">
        <v>8757</v>
      </c>
      <c r="H1296" t="s">
        <v>10034</v>
      </c>
      <c r="I1296" t="s">
        <v>8757</v>
      </c>
      <c r="J1296" t="s">
        <v>10105</v>
      </c>
      <c r="K1296" t="s">
        <v>8757</v>
      </c>
    </row>
    <row r="1297" spans="1:11" s="1" customFormat="1" x14ac:dyDescent="0.25">
      <c r="A1297" t="s">
        <v>10106</v>
      </c>
      <c r="B1297" t="s">
        <v>10107</v>
      </c>
      <c r="C1297" s="111"/>
      <c r="D1297" s="128"/>
      <c r="E1297">
        <v>891</v>
      </c>
      <c r="F1297" t="s">
        <v>10108</v>
      </c>
      <c r="G1297" t="s">
        <v>10107</v>
      </c>
      <c r="H1297" t="s">
        <v>10034</v>
      </c>
      <c r="I1297" t="s">
        <v>10107</v>
      </c>
      <c r="J1297" t="s">
        <v>10108</v>
      </c>
      <c r="K1297" t="s">
        <v>13985</v>
      </c>
    </row>
    <row r="1298" spans="1:11" s="1" customFormat="1" x14ac:dyDescent="0.25">
      <c r="A1298" t="s">
        <v>10109</v>
      </c>
      <c r="B1298" t="s">
        <v>10110</v>
      </c>
      <c r="C1298" s="111"/>
      <c r="D1298" s="128"/>
      <c r="E1298">
        <v>0</v>
      </c>
      <c r="F1298" t="s">
        <v>10111</v>
      </c>
      <c r="G1298" t="s">
        <v>10110</v>
      </c>
      <c r="H1298" t="s">
        <v>10034</v>
      </c>
      <c r="I1298" t="s">
        <v>10110</v>
      </c>
      <c r="J1298" t="s">
        <v>10111</v>
      </c>
      <c r="K1298" t="s">
        <v>10110</v>
      </c>
    </row>
    <row r="1299" spans="1:11" s="1" customFormat="1" x14ac:dyDescent="0.25">
      <c r="A1299" t="s">
        <v>10112</v>
      </c>
      <c r="B1299" t="s">
        <v>10113</v>
      </c>
      <c r="C1299" s="111"/>
      <c r="D1299" s="128"/>
      <c r="E1299">
        <v>0</v>
      </c>
      <c r="F1299" t="s">
        <v>10114</v>
      </c>
      <c r="G1299" t="s">
        <v>10113</v>
      </c>
      <c r="H1299" t="s">
        <v>10034</v>
      </c>
      <c r="I1299" t="s">
        <v>10113</v>
      </c>
      <c r="J1299" t="s">
        <v>10114</v>
      </c>
      <c r="K1299" t="s">
        <v>13264</v>
      </c>
    </row>
    <row r="1300" spans="1:11" s="1" customFormat="1" x14ac:dyDescent="0.25">
      <c r="A1300" t="s">
        <v>12982</v>
      </c>
      <c r="B1300" t="s">
        <v>12983</v>
      </c>
      <c r="C1300" s="111"/>
      <c r="D1300" s="128"/>
      <c r="E1300">
        <v>968</v>
      </c>
      <c r="F1300" t="s">
        <v>12985</v>
      </c>
      <c r="G1300" t="s">
        <v>12983</v>
      </c>
      <c r="H1300" t="s">
        <v>12984</v>
      </c>
      <c r="I1300" t="s">
        <v>12983</v>
      </c>
      <c r="J1300" t="s">
        <v>12985</v>
      </c>
      <c r="K1300" t="s">
        <v>12983</v>
      </c>
    </row>
    <row r="1301" spans="1:11" s="1" customFormat="1" x14ac:dyDescent="0.25">
      <c r="A1301" t="s">
        <v>12986</v>
      </c>
      <c r="B1301" t="s">
        <v>12987</v>
      </c>
      <c r="C1301" s="111"/>
      <c r="D1301" s="128"/>
      <c r="E1301">
        <v>309</v>
      </c>
      <c r="F1301" t="s">
        <v>12988</v>
      </c>
      <c r="G1301" t="s">
        <v>12987</v>
      </c>
      <c r="H1301" t="s">
        <v>12984</v>
      </c>
      <c r="I1301" t="s">
        <v>12987</v>
      </c>
      <c r="J1301" t="s">
        <v>12988</v>
      </c>
      <c r="K1301" t="s">
        <v>12987</v>
      </c>
    </row>
    <row r="1302" spans="1:11" s="1" customFormat="1" x14ac:dyDescent="0.25">
      <c r="A1302" t="s">
        <v>12989</v>
      </c>
      <c r="B1302" t="s">
        <v>12990</v>
      </c>
      <c r="C1302" s="111"/>
      <c r="D1302" s="128"/>
      <c r="E1302">
        <v>360</v>
      </c>
      <c r="F1302" t="s">
        <v>12991</v>
      </c>
      <c r="G1302" t="s">
        <v>12990</v>
      </c>
      <c r="H1302" t="s">
        <v>12984</v>
      </c>
      <c r="I1302" t="s">
        <v>12990</v>
      </c>
      <c r="J1302" t="s">
        <v>12991</v>
      </c>
      <c r="K1302" t="s">
        <v>12983</v>
      </c>
    </row>
    <row r="1303" spans="1:11" s="1" customFormat="1" x14ac:dyDescent="0.25">
      <c r="A1303" t="s">
        <v>10698</v>
      </c>
      <c r="B1303" t="s">
        <v>9417</v>
      </c>
      <c r="C1303" s="111"/>
      <c r="D1303" s="128"/>
      <c r="E1303">
        <v>1098</v>
      </c>
      <c r="F1303" t="s">
        <v>10700</v>
      </c>
      <c r="G1303" t="s">
        <v>9417</v>
      </c>
      <c r="H1303" t="s">
        <v>9417</v>
      </c>
      <c r="I1303" t="s">
        <v>9417</v>
      </c>
      <c r="J1303" t="s">
        <v>10700</v>
      </c>
      <c r="K1303" t="s">
        <v>13163</v>
      </c>
    </row>
    <row r="1304" spans="1:11" s="1" customFormat="1" x14ac:dyDescent="0.25">
      <c r="A1304" t="s">
        <v>10701</v>
      </c>
      <c r="B1304" t="s">
        <v>10702</v>
      </c>
      <c r="C1304" s="111"/>
      <c r="D1304" s="128"/>
      <c r="E1304">
        <v>2295</v>
      </c>
      <c r="F1304" t="s">
        <v>10703</v>
      </c>
      <c r="G1304" t="s">
        <v>9417</v>
      </c>
      <c r="H1304" t="s">
        <v>9417</v>
      </c>
      <c r="I1304" t="s">
        <v>10702</v>
      </c>
      <c r="J1304" t="s">
        <v>10703</v>
      </c>
      <c r="K1304" t="s">
        <v>13163</v>
      </c>
    </row>
    <row r="1305" spans="1:11" s="1" customFormat="1" x14ac:dyDescent="0.25">
      <c r="A1305" t="s">
        <v>10704</v>
      </c>
      <c r="B1305" t="s">
        <v>10705</v>
      </c>
      <c r="C1305" s="111"/>
      <c r="D1305" s="128"/>
      <c r="E1305">
        <v>1890</v>
      </c>
      <c r="F1305" t="s">
        <v>10706</v>
      </c>
      <c r="G1305" t="s">
        <v>9417</v>
      </c>
      <c r="H1305" t="s">
        <v>9417</v>
      </c>
      <c r="I1305" t="s">
        <v>10705</v>
      </c>
      <c r="J1305" t="s">
        <v>10706</v>
      </c>
      <c r="K1305" t="s">
        <v>13163</v>
      </c>
    </row>
    <row r="1306" spans="1:11" s="1" customFormat="1" x14ac:dyDescent="0.25">
      <c r="A1306" t="s">
        <v>10707</v>
      </c>
      <c r="B1306" t="s">
        <v>8054</v>
      </c>
      <c r="C1306" s="111"/>
      <c r="D1306" s="128"/>
      <c r="E1306">
        <v>689</v>
      </c>
      <c r="F1306" t="s">
        <v>10708</v>
      </c>
      <c r="G1306" t="s">
        <v>8054</v>
      </c>
      <c r="H1306" t="s">
        <v>9417</v>
      </c>
      <c r="I1306" t="s">
        <v>8054</v>
      </c>
      <c r="J1306" t="s">
        <v>10708</v>
      </c>
      <c r="K1306" t="s">
        <v>8054</v>
      </c>
    </row>
    <row r="1307" spans="1:11" s="1" customFormat="1" x14ac:dyDescent="0.25">
      <c r="A1307" t="s">
        <v>10709</v>
      </c>
      <c r="B1307" t="s">
        <v>10710</v>
      </c>
      <c r="C1307" s="111"/>
      <c r="D1307" s="128"/>
      <c r="E1307">
        <v>0</v>
      </c>
      <c r="F1307" t="s">
        <v>10711</v>
      </c>
      <c r="G1307" t="s">
        <v>10710</v>
      </c>
      <c r="H1307" t="s">
        <v>9417</v>
      </c>
      <c r="I1307" t="s">
        <v>10710</v>
      </c>
      <c r="J1307" t="s">
        <v>10711</v>
      </c>
      <c r="K1307" t="s">
        <v>10768</v>
      </c>
    </row>
    <row r="1308" spans="1:11" s="1" customFormat="1" x14ac:dyDescent="0.25">
      <c r="A1308" t="s">
        <v>10712</v>
      </c>
      <c r="B1308" t="s">
        <v>10713</v>
      </c>
      <c r="C1308" s="111"/>
      <c r="D1308" s="128"/>
      <c r="E1308">
        <v>555</v>
      </c>
      <c r="F1308" t="s">
        <v>10714</v>
      </c>
      <c r="G1308" t="s">
        <v>10713</v>
      </c>
      <c r="H1308" t="s">
        <v>9417</v>
      </c>
      <c r="I1308" t="s">
        <v>10713</v>
      </c>
      <c r="J1308" t="s">
        <v>10714</v>
      </c>
      <c r="K1308" t="s">
        <v>10713</v>
      </c>
    </row>
    <row r="1309" spans="1:11" s="1" customFormat="1" x14ac:dyDescent="0.25">
      <c r="A1309" t="s">
        <v>10715</v>
      </c>
      <c r="B1309" t="s">
        <v>10716</v>
      </c>
      <c r="C1309" s="111"/>
      <c r="D1309" s="128"/>
      <c r="E1309">
        <v>1184</v>
      </c>
      <c r="F1309" t="s">
        <v>10717</v>
      </c>
      <c r="G1309" t="s">
        <v>10716</v>
      </c>
      <c r="H1309" t="s">
        <v>9417</v>
      </c>
      <c r="I1309" t="s">
        <v>10716</v>
      </c>
      <c r="J1309" t="s">
        <v>10717</v>
      </c>
      <c r="K1309" t="s">
        <v>10716</v>
      </c>
    </row>
    <row r="1310" spans="1:11" s="1" customFormat="1" x14ac:dyDescent="0.25">
      <c r="A1310" t="s">
        <v>10718</v>
      </c>
      <c r="B1310" t="s">
        <v>10719</v>
      </c>
      <c r="C1310" s="111"/>
      <c r="D1310" s="128"/>
      <c r="E1310">
        <v>810</v>
      </c>
      <c r="F1310" t="s">
        <v>10720</v>
      </c>
      <c r="G1310" t="s">
        <v>10719</v>
      </c>
      <c r="H1310" t="s">
        <v>9417</v>
      </c>
      <c r="I1310" t="s">
        <v>10719</v>
      </c>
      <c r="J1310" t="s">
        <v>10720</v>
      </c>
      <c r="K1310" t="s">
        <v>10719</v>
      </c>
    </row>
    <row r="1311" spans="1:11" s="1" customFormat="1" x14ac:dyDescent="0.25">
      <c r="A1311" t="s">
        <v>10721</v>
      </c>
      <c r="B1311" t="s">
        <v>13960</v>
      </c>
      <c r="C1311" s="111"/>
      <c r="D1311" s="128"/>
      <c r="E1311">
        <v>115</v>
      </c>
      <c r="F1311" t="s">
        <v>10723</v>
      </c>
      <c r="G1311" t="s">
        <v>10722</v>
      </c>
      <c r="H1311" t="s">
        <v>9417</v>
      </c>
      <c r="I1311" t="s">
        <v>13960</v>
      </c>
      <c r="J1311" t="s">
        <v>10723</v>
      </c>
      <c r="K1311" t="s">
        <v>13185</v>
      </c>
    </row>
    <row r="1312" spans="1:11" s="1" customFormat="1" x14ac:dyDescent="0.25">
      <c r="A1312" t="s">
        <v>10724</v>
      </c>
      <c r="B1312" t="s">
        <v>10725</v>
      </c>
      <c r="C1312" s="111"/>
      <c r="D1312" s="128"/>
      <c r="E1312">
        <v>942</v>
      </c>
      <c r="F1312" t="s">
        <v>10726</v>
      </c>
      <c r="G1312" t="s">
        <v>10725</v>
      </c>
      <c r="H1312" t="s">
        <v>9417</v>
      </c>
      <c r="I1312" t="s">
        <v>10725</v>
      </c>
      <c r="J1312" t="s">
        <v>10726</v>
      </c>
      <c r="K1312" t="s">
        <v>10725</v>
      </c>
    </row>
    <row r="1313" spans="1:11" s="1" customFormat="1" x14ac:dyDescent="0.25">
      <c r="A1313" t="s">
        <v>10727</v>
      </c>
      <c r="B1313" t="s">
        <v>10728</v>
      </c>
      <c r="C1313" s="111"/>
      <c r="D1313" s="128"/>
      <c r="E1313">
        <v>100</v>
      </c>
      <c r="F1313" t="s">
        <v>10729</v>
      </c>
      <c r="G1313" t="s">
        <v>10728</v>
      </c>
      <c r="H1313" t="s">
        <v>9417</v>
      </c>
      <c r="I1313" t="s">
        <v>10728</v>
      </c>
      <c r="J1313" t="s">
        <v>10729</v>
      </c>
      <c r="K1313" t="s">
        <v>13185</v>
      </c>
    </row>
    <row r="1314" spans="1:11" s="1" customFormat="1" x14ac:dyDescent="0.25">
      <c r="A1314" t="s">
        <v>10730</v>
      </c>
      <c r="B1314" t="s">
        <v>10731</v>
      </c>
      <c r="C1314" s="111"/>
      <c r="D1314" s="128"/>
      <c r="E1314">
        <v>0</v>
      </c>
      <c r="F1314" t="s">
        <v>10732</v>
      </c>
      <c r="G1314" t="s">
        <v>10731</v>
      </c>
      <c r="H1314" t="s">
        <v>9417</v>
      </c>
      <c r="I1314" t="s">
        <v>10731</v>
      </c>
      <c r="J1314" t="s">
        <v>10732</v>
      </c>
      <c r="K1314" t="s">
        <v>10731</v>
      </c>
    </row>
    <row r="1315" spans="1:11" s="1" customFormat="1" x14ac:dyDescent="0.25">
      <c r="A1315" t="s">
        <v>10733</v>
      </c>
      <c r="B1315" t="s">
        <v>8095</v>
      </c>
      <c r="C1315" s="111"/>
      <c r="D1315" s="128"/>
      <c r="E1315">
        <v>1801</v>
      </c>
      <c r="F1315" t="s">
        <v>10734</v>
      </c>
      <c r="G1315" t="s">
        <v>8095</v>
      </c>
      <c r="H1315" t="s">
        <v>9417</v>
      </c>
      <c r="I1315" t="s">
        <v>8095</v>
      </c>
      <c r="J1315" t="s">
        <v>10734</v>
      </c>
      <c r="K1315" t="s">
        <v>8095</v>
      </c>
    </row>
    <row r="1316" spans="1:11" s="1" customFormat="1" x14ac:dyDescent="0.25">
      <c r="A1316" t="s">
        <v>10735</v>
      </c>
      <c r="B1316" t="s">
        <v>10736</v>
      </c>
      <c r="C1316" s="111"/>
      <c r="D1316" s="128"/>
      <c r="E1316">
        <v>0</v>
      </c>
      <c r="F1316" t="s">
        <v>10737</v>
      </c>
      <c r="G1316" t="s">
        <v>10736</v>
      </c>
      <c r="H1316" t="s">
        <v>9417</v>
      </c>
      <c r="I1316" t="s">
        <v>10736</v>
      </c>
      <c r="J1316" t="s">
        <v>10737</v>
      </c>
      <c r="K1316" t="s">
        <v>8050</v>
      </c>
    </row>
    <row r="1317" spans="1:11" s="1" customFormat="1" x14ac:dyDescent="0.25">
      <c r="A1317" t="s">
        <v>10738</v>
      </c>
      <c r="B1317" t="s">
        <v>10739</v>
      </c>
      <c r="C1317" s="111"/>
      <c r="D1317" s="128"/>
      <c r="E1317">
        <v>0</v>
      </c>
      <c r="F1317" t="s">
        <v>10741</v>
      </c>
      <c r="G1317" t="s">
        <v>10740</v>
      </c>
      <c r="H1317" t="s">
        <v>9417</v>
      </c>
      <c r="I1317" t="s">
        <v>10739</v>
      </c>
      <c r="J1317" t="s">
        <v>10741</v>
      </c>
      <c r="K1317" t="s">
        <v>10768</v>
      </c>
    </row>
    <row r="1318" spans="1:11" s="1" customFormat="1" x14ac:dyDescent="0.25">
      <c r="A1318" t="s">
        <v>10742</v>
      </c>
      <c r="B1318" t="s">
        <v>10743</v>
      </c>
      <c r="C1318" s="111"/>
      <c r="D1318" s="128"/>
      <c r="E1318">
        <v>984</v>
      </c>
      <c r="F1318" t="s">
        <v>10744</v>
      </c>
      <c r="G1318" t="s">
        <v>10743</v>
      </c>
      <c r="H1318" t="s">
        <v>9417</v>
      </c>
      <c r="I1318" t="s">
        <v>10743</v>
      </c>
      <c r="J1318" t="s">
        <v>10744</v>
      </c>
      <c r="K1318" t="s">
        <v>10743</v>
      </c>
    </row>
    <row r="1319" spans="1:11" s="1" customFormat="1" x14ac:dyDescent="0.25">
      <c r="A1319" t="s">
        <v>10745</v>
      </c>
      <c r="B1319" t="s">
        <v>8490</v>
      </c>
      <c r="C1319" s="111"/>
      <c r="D1319" s="128"/>
      <c r="E1319">
        <v>599</v>
      </c>
      <c r="F1319" t="s">
        <v>10746</v>
      </c>
      <c r="G1319" t="s">
        <v>8490</v>
      </c>
      <c r="H1319" t="s">
        <v>9417</v>
      </c>
      <c r="I1319" t="s">
        <v>8490</v>
      </c>
      <c r="J1319" t="s">
        <v>10746</v>
      </c>
      <c r="K1319" t="s">
        <v>8490</v>
      </c>
    </row>
    <row r="1320" spans="1:11" s="1" customFormat="1" x14ac:dyDescent="0.25">
      <c r="A1320" t="s">
        <v>10747</v>
      </c>
      <c r="B1320" t="s">
        <v>10748</v>
      </c>
      <c r="C1320" s="111"/>
      <c r="D1320" s="128"/>
      <c r="E1320">
        <v>642</v>
      </c>
      <c r="F1320" t="s">
        <v>10749</v>
      </c>
      <c r="G1320" t="s">
        <v>10748</v>
      </c>
      <c r="H1320" t="s">
        <v>9417</v>
      </c>
      <c r="I1320" t="s">
        <v>10748</v>
      </c>
      <c r="J1320" t="s">
        <v>10749</v>
      </c>
      <c r="K1320" t="s">
        <v>10757</v>
      </c>
    </row>
    <row r="1321" spans="1:11" s="1" customFormat="1" x14ac:dyDescent="0.25">
      <c r="A1321" t="s">
        <v>10750</v>
      </c>
      <c r="B1321" t="s">
        <v>10751</v>
      </c>
      <c r="C1321" s="111"/>
      <c r="D1321" s="128"/>
      <c r="E1321">
        <v>0</v>
      </c>
      <c r="F1321" t="s">
        <v>10752</v>
      </c>
      <c r="G1321" t="s">
        <v>10751</v>
      </c>
      <c r="H1321" t="s">
        <v>9417</v>
      </c>
      <c r="I1321" t="s">
        <v>10751</v>
      </c>
      <c r="J1321" t="s">
        <v>10752</v>
      </c>
      <c r="K1321" t="s">
        <v>10802</v>
      </c>
    </row>
    <row r="1322" spans="1:11" s="1" customFormat="1" x14ac:dyDescent="0.25">
      <c r="A1322" t="s">
        <v>10753</v>
      </c>
      <c r="B1322" t="s">
        <v>10754</v>
      </c>
      <c r="C1322" s="111"/>
      <c r="D1322" s="128"/>
      <c r="E1322">
        <v>605</v>
      </c>
      <c r="F1322" t="s">
        <v>10755</v>
      </c>
      <c r="G1322" t="s">
        <v>10754</v>
      </c>
      <c r="H1322" t="s">
        <v>9417</v>
      </c>
      <c r="I1322" t="s">
        <v>10754</v>
      </c>
      <c r="J1322" t="s">
        <v>10755</v>
      </c>
      <c r="K1322" t="s">
        <v>10754</v>
      </c>
    </row>
    <row r="1323" spans="1:11" s="1" customFormat="1" x14ac:dyDescent="0.25">
      <c r="A1323" t="s">
        <v>10756</v>
      </c>
      <c r="B1323" t="s">
        <v>10757</v>
      </c>
      <c r="C1323" s="111"/>
      <c r="D1323" s="128"/>
      <c r="E1323">
        <v>0</v>
      </c>
      <c r="F1323" t="s">
        <v>10758</v>
      </c>
      <c r="G1323" t="s">
        <v>10757</v>
      </c>
      <c r="H1323" t="s">
        <v>9417</v>
      </c>
      <c r="I1323" t="s">
        <v>10757</v>
      </c>
      <c r="J1323" t="s">
        <v>10758</v>
      </c>
      <c r="K1323" t="s">
        <v>10757</v>
      </c>
    </row>
    <row r="1324" spans="1:11" s="1" customFormat="1" x14ac:dyDescent="0.25">
      <c r="A1324" t="s">
        <v>10759</v>
      </c>
      <c r="B1324" t="s">
        <v>10760</v>
      </c>
      <c r="C1324" s="111"/>
      <c r="D1324" s="128"/>
      <c r="E1324">
        <v>0</v>
      </c>
      <c r="F1324" t="s">
        <v>10761</v>
      </c>
      <c r="G1324" t="s">
        <v>10760</v>
      </c>
      <c r="H1324" t="s">
        <v>9417</v>
      </c>
      <c r="I1324" t="s">
        <v>10760</v>
      </c>
      <c r="J1324" t="s">
        <v>10761</v>
      </c>
      <c r="K1324" t="s">
        <v>10754</v>
      </c>
    </row>
    <row r="1325" spans="1:11" s="1" customFormat="1" x14ac:dyDescent="0.25">
      <c r="A1325" t="s">
        <v>10762</v>
      </c>
      <c r="B1325" t="s">
        <v>10763</v>
      </c>
      <c r="C1325" s="111"/>
      <c r="D1325" s="128"/>
      <c r="E1325">
        <v>687</v>
      </c>
      <c r="F1325" t="s">
        <v>10764</v>
      </c>
      <c r="G1325" t="s">
        <v>10763</v>
      </c>
      <c r="H1325" t="s">
        <v>9417</v>
      </c>
      <c r="I1325" t="s">
        <v>10763</v>
      </c>
      <c r="J1325" t="s">
        <v>10764</v>
      </c>
      <c r="K1325" t="s">
        <v>10763</v>
      </c>
    </row>
    <row r="1326" spans="1:11" s="1" customFormat="1" x14ac:dyDescent="0.25">
      <c r="A1326" t="s">
        <v>10765</v>
      </c>
      <c r="B1326" t="s">
        <v>8050</v>
      </c>
      <c r="C1326" s="111"/>
      <c r="D1326" s="128"/>
      <c r="E1326">
        <v>895</v>
      </c>
      <c r="F1326" t="s">
        <v>10766</v>
      </c>
      <c r="G1326" t="s">
        <v>8050</v>
      </c>
      <c r="H1326" t="s">
        <v>9417</v>
      </c>
      <c r="I1326" t="s">
        <v>8050</v>
      </c>
      <c r="J1326" t="s">
        <v>10766</v>
      </c>
      <c r="K1326" t="s">
        <v>8050</v>
      </c>
    </row>
    <row r="1327" spans="1:11" s="1" customFormat="1" x14ac:dyDescent="0.25">
      <c r="A1327" t="s">
        <v>10767</v>
      </c>
      <c r="B1327" t="s">
        <v>10768</v>
      </c>
      <c r="C1327" s="111"/>
      <c r="D1327" s="128"/>
      <c r="E1327">
        <v>850</v>
      </c>
      <c r="F1327" t="s">
        <v>10769</v>
      </c>
      <c r="G1327" t="s">
        <v>10768</v>
      </c>
      <c r="H1327" t="s">
        <v>9417</v>
      </c>
      <c r="I1327" t="s">
        <v>10768</v>
      </c>
      <c r="J1327" t="s">
        <v>10769</v>
      </c>
      <c r="K1327" t="s">
        <v>10768</v>
      </c>
    </row>
    <row r="1328" spans="1:11" s="1" customFormat="1" x14ac:dyDescent="0.25">
      <c r="A1328" t="s">
        <v>10770</v>
      </c>
      <c r="B1328" t="s">
        <v>8929</v>
      </c>
      <c r="C1328" s="111"/>
      <c r="D1328" s="128"/>
      <c r="E1328">
        <v>204</v>
      </c>
      <c r="F1328" t="s">
        <v>10771</v>
      </c>
      <c r="G1328" t="s">
        <v>8929</v>
      </c>
      <c r="H1328" t="s">
        <v>9417</v>
      </c>
      <c r="I1328" t="s">
        <v>8929</v>
      </c>
      <c r="J1328" t="s">
        <v>10771</v>
      </c>
      <c r="K1328" t="s">
        <v>9767</v>
      </c>
    </row>
    <row r="1329" spans="1:11" s="1" customFormat="1" x14ac:dyDescent="0.25">
      <c r="A1329" t="s">
        <v>10772</v>
      </c>
      <c r="B1329" t="s">
        <v>10773</v>
      </c>
      <c r="C1329" s="111"/>
      <c r="D1329" s="128"/>
      <c r="E1329"/>
      <c r="F1329" t="s">
        <v>10775</v>
      </c>
      <c r="G1329" t="s">
        <v>10774</v>
      </c>
      <c r="H1329" t="s">
        <v>9417</v>
      </c>
      <c r="I1329" t="s">
        <v>10773</v>
      </c>
      <c r="J1329" t="s">
        <v>10775</v>
      </c>
      <c r="K1329" t="s">
        <v>8490</v>
      </c>
    </row>
    <row r="1330" spans="1:11" s="1" customFormat="1" x14ac:dyDescent="0.25">
      <c r="A1330" t="s">
        <v>10776</v>
      </c>
      <c r="B1330" t="s">
        <v>10777</v>
      </c>
      <c r="C1330" s="111"/>
      <c r="D1330" s="128"/>
      <c r="E1330">
        <v>595</v>
      </c>
      <c r="F1330" t="s">
        <v>10778</v>
      </c>
      <c r="G1330" t="s">
        <v>10777</v>
      </c>
      <c r="H1330" t="s">
        <v>9417</v>
      </c>
      <c r="I1330" t="s">
        <v>10777</v>
      </c>
      <c r="J1330" t="s">
        <v>10778</v>
      </c>
      <c r="K1330" t="s">
        <v>8424</v>
      </c>
    </row>
    <row r="1331" spans="1:11" s="1" customFormat="1" x14ac:dyDescent="0.25">
      <c r="A1331" t="s">
        <v>10779</v>
      </c>
      <c r="B1331" t="s">
        <v>10780</v>
      </c>
      <c r="C1331" s="111"/>
      <c r="D1331" s="128"/>
      <c r="E1331">
        <v>1</v>
      </c>
      <c r="F1331" t="s">
        <v>10781</v>
      </c>
      <c r="G1331" t="s">
        <v>10780</v>
      </c>
      <c r="H1331" t="s">
        <v>9417</v>
      </c>
      <c r="I1331" t="s">
        <v>10780</v>
      </c>
      <c r="J1331" t="s">
        <v>10781</v>
      </c>
      <c r="K1331" t="s">
        <v>8095</v>
      </c>
    </row>
    <row r="1332" spans="1:11" s="1" customFormat="1" x14ac:dyDescent="0.25">
      <c r="A1332" t="s">
        <v>10782</v>
      </c>
      <c r="B1332" t="s">
        <v>10783</v>
      </c>
      <c r="C1332" s="111"/>
      <c r="D1332" s="128"/>
      <c r="E1332">
        <v>0</v>
      </c>
      <c r="F1332" t="s">
        <v>10784</v>
      </c>
      <c r="G1332" t="s">
        <v>10783</v>
      </c>
      <c r="H1332" t="s">
        <v>9417</v>
      </c>
      <c r="I1332" t="s">
        <v>10783</v>
      </c>
      <c r="J1332" t="s">
        <v>10784</v>
      </c>
      <c r="K1332" t="s">
        <v>10794</v>
      </c>
    </row>
    <row r="1333" spans="1:11" s="1" customFormat="1" x14ac:dyDescent="0.25">
      <c r="A1333" t="s">
        <v>10785</v>
      </c>
      <c r="B1333" t="s">
        <v>10786</v>
      </c>
      <c r="C1333" s="111"/>
      <c r="D1333" s="128"/>
      <c r="E1333">
        <v>2113</v>
      </c>
      <c r="F1333" t="s">
        <v>10788</v>
      </c>
      <c r="G1333" t="s">
        <v>10787</v>
      </c>
      <c r="H1333" t="s">
        <v>9417</v>
      </c>
      <c r="I1333" t="s">
        <v>10786</v>
      </c>
      <c r="J1333" t="s">
        <v>10788</v>
      </c>
      <c r="K1333" t="s">
        <v>10794</v>
      </c>
    </row>
    <row r="1334" spans="1:11" s="1" customFormat="1" x14ac:dyDescent="0.25">
      <c r="A1334" t="s">
        <v>10789</v>
      </c>
      <c r="B1334" t="s">
        <v>10504</v>
      </c>
      <c r="C1334" s="111"/>
      <c r="D1334" s="128"/>
      <c r="E1334">
        <v>798</v>
      </c>
      <c r="F1334" t="s">
        <v>10790</v>
      </c>
      <c r="G1334" t="s">
        <v>10504</v>
      </c>
      <c r="H1334" t="s">
        <v>9417</v>
      </c>
      <c r="I1334" t="s">
        <v>10504</v>
      </c>
      <c r="J1334" t="s">
        <v>10790</v>
      </c>
      <c r="K1334" t="s">
        <v>7965</v>
      </c>
    </row>
    <row r="1335" spans="1:11" s="1" customFormat="1" x14ac:dyDescent="0.25">
      <c r="A1335" t="s">
        <v>10791</v>
      </c>
      <c r="B1335" t="s">
        <v>10302</v>
      </c>
      <c r="C1335" s="111"/>
      <c r="D1335" s="128"/>
      <c r="E1335">
        <v>0</v>
      </c>
      <c r="F1335" t="s">
        <v>10792</v>
      </c>
      <c r="G1335" t="s">
        <v>10302</v>
      </c>
      <c r="H1335" t="s">
        <v>9417</v>
      </c>
      <c r="I1335" t="s">
        <v>10302</v>
      </c>
      <c r="J1335" t="s">
        <v>10792</v>
      </c>
      <c r="K1335" t="s">
        <v>8095</v>
      </c>
    </row>
    <row r="1336" spans="1:11" s="1" customFormat="1" x14ac:dyDescent="0.25">
      <c r="A1336" t="s">
        <v>10793</v>
      </c>
      <c r="B1336" t="s">
        <v>10794</v>
      </c>
      <c r="C1336" s="111"/>
      <c r="D1336" s="128"/>
      <c r="E1336">
        <v>805</v>
      </c>
      <c r="F1336" t="s">
        <v>10795</v>
      </c>
      <c r="G1336" t="s">
        <v>10794</v>
      </c>
      <c r="H1336" t="s">
        <v>9417</v>
      </c>
      <c r="I1336" t="s">
        <v>10794</v>
      </c>
      <c r="J1336" t="s">
        <v>10795</v>
      </c>
      <c r="K1336" t="s">
        <v>10794</v>
      </c>
    </row>
    <row r="1337" spans="1:11" s="1" customFormat="1" x14ac:dyDescent="0.25">
      <c r="A1337" t="s">
        <v>10796</v>
      </c>
      <c r="B1337" t="s">
        <v>8817</v>
      </c>
      <c r="C1337" s="111"/>
      <c r="D1337" s="128"/>
      <c r="E1337">
        <v>302</v>
      </c>
      <c r="F1337" t="s">
        <v>10797</v>
      </c>
      <c r="G1337" t="s">
        <v>8817</v>
      </c>
      <c r="H1337" t="s">
        <v>9417</v>
      </c>
      <c r="I1337" t="s">
        <v>8817</v>
      </c>
      <c r="J1337" t="s">
        <v>10797</v>
      </c>
      <c r="K1337" t="s">
        <v>7965</v>
      </c>
    </row>
    <row r="1338" spans="1:11" s="1" customFormat="1" x14ac:dyDescent="0.25">
      <c r="A1338" t="s">
        <v>10798</v>
      </c>
      <c r="B1338" t="s">
        <v>10799</v>
      </c>
      <c r="C1338" s="111"/>
      <c r="D1338" s="128"/>
      <c r="E1338">
        <v>0</v>
      </c>
      <c r="F1338" t="s">
        <v>10800</v>
      </c>
      <c r="G1338" t="s">
        <v>10799</v>
      </c>
      <c r="H1338" t="s">
        <v>9417</v>
      </c>
      <c r="I1338" t="s">
        <v>10799</v>
      </c>
      <c r="J1338" t="s">
        <v>10800</v>
      </c>
      <c r="K1338" t="s">
        <v>10811</v>
      </c>
    </row>
    <row r="1339" spans="1:11" s="1" customFormat="1" x14ac:dyDescent="0.25">
      <c r="A1339" t="s">
        <v>10801</v>
      </c>
      <c r="B1339" t="s">
        <v>10802</v>
      </c>
      <c r="C1339" s="111"/>
      <c r="D1339" s="128"/>
      <c r="E1339">
        <v>999</v>
      </c>
      <c r="F1339" t="s">
        <v>10803</v>
      </c>
      <c r="G1339" t="s">
        <v>10802</v>
      </c>
      <c r="H1339" t="s">
        <v>9417</v>
      </c>
      <c r="I1339" t="s">
        <v>10802</v>
      </c>
      <c r="J1339" t="s">
        <v>10803</v>
      </c>
      <c r="K1339" t="s">
        <v>10802</v>
      </c>
    </row>
    <row r="1340" spans="1:11" s="1" customFormat="1" x14ac:dyDescent="0.25">
      <c r="A1340" t="s">
        <v>10804</v>
      </c>
      <c r="B1340" t="s">
        <v>10805</v>
      </c>
      <c r="C1340" s="111"/>
      <c r="D1340" s="128"/>
      <c r="E1340">
        <v>501</v>
      </c>
      <c r="F1340" t="s">
        <v>10806</v>
      </c>
      <c r="G1340" t="s">
        <v>10805</v>
      </c>
      <c r="H1340" t="s">
        <v>9417</v>
      </c>
      <c r="I1340" t="s">
        <v>10805</v>
      </c>
      <c r="J1340" t="s">
        <v>10806</v>
      </c>
      <c r="K1340" t="s">
        <v>10808</v>
      </c>
    </row>
    <row r="1341" spans="1:11" s="1" customFormat="1" x14ac:dyDescent="0.25">
      <c r="A1341" t="s">
        <v>10807</v>
      </c>
      <c r="B1341" t="s">
        <v>10808</v>
      </c>
      <c r="C1341" s="111"/>
      <c r="D1341" s="128"/>
      <c r="E1341">
        <v>1199</v>
      </c>
      <c r="F1341" t="s">
        <v>10809</v>
      </c>
      <c r="G1341" t="s">
        <v>10808</v>
      </c>
      <c r="H1341" t="s">
        <v>9417</v>
      </c>
      <c r="I1341" t="s">
        <v>10808</v>
      </c>
      <c r="J1341" t="s">
        <v>10809</v>
      </c>
      <c r="K1341" t="s">
        <v>10808</v>
      </c>
    </row>
    <row r="1342" spans="1:11" s="1" customFormat="1" x14ac:dyDescent="0.25">
      <c r="A1342" t="s">
        <v>10810</v>
      </c>
      <c r="B1342" t="s">
        <v>10811</v>
      </c>
      <c r="C1342" s="111"/>
      <c r="D1342" s="128"/>
      <c r="E1342">
        <v>998</v>
      </c>
      <c r="F1342" t="s">
        <v>10812</v>
      </c>
      <c r="G1342" t="s">
        <v>10811</v>
      </c>
      <c r="H1342" t="s">
        <v>9417</v>
      </c>
      <c r="I1342" t="s">
        <v>10811</v>
      </c>
      <c r="J1342" t="s">
        <v>10812</v>
      </c>
      <c r="K1342" t="s">
        <v>10811</v>
      </c>
    </row>
    <row r="1343" spans="1:11" s="1" customFormat="1" x14ac:dyDescent="0.25">
      <c r="A1343" t="s">
        <v>10813</v>
      </c>
      <c r="B1343" t="s">
        <v>10814</v>
      </c>
      <c r="C1343" s="111"/>
      <c r="D1343" s="128"/>
      <c r="E1343">
        <v>1251</v>
      </c>
      <c r="F1343" t="s">
        <v>10815</v>
      </c>
      <c r="G1343" t="s">
        <v>10814</v>
      </c>
      <c r="H1343" t="s">
        <v>9417</v>
      </c>
      <c r="I1343" t="s">
        <v>10814</v>
      </c>
      <c r="J1343" t="s">
        <v>10815</v>
      </c>
      <c r="K1343" t="s">
        <v>10814</v>
      </c>
    </row>
    <row r="1344" spans="1:11" s="1" customFormat="1" x14ac:dyDescent="0.25">
      <c r="A1344" t="s">
        <v>10816</v>
      </c>
      <c r="B1344" t="s">
        <v>10817</v>
      </c>
      <c r="C1344" s="111"/>
      <c r="D1344" s="128"/>
      <c r="E1344">
        <v>798</v>
      </c>
      <c r="F1344" t="s">
        <v>10818</v>
      </c>
      <c r="G1344" t="s">
        <v>9417</v>
      </c>
      <c r="H1344" t="s">
        <v>9417</v>
      </c>
      <c r="I1344" t="s">
        <v>10817</v>
      </c>
      <c r="J1344" t="s">
        <v>10818</v>
      </c>
      <c r="K1344" t="s">
        <v>13163</v>
      </c>
    </row>
    <row r="1345" spans="1:11" s="1" customFormat="1" x14ac:dyDescent="0.25">
      <c r="A1345" t="s">
        <v>10115</v>
      </c>
      <c r="B1345" t="s">
        <v>8495</v>
      </c>
      <c r="C1345" s="111"/>
      <c r="D1345" s="128"/>
      <c r="E1345">
        <v>210</v>
      </c>
      <c r="F1345" t="s">
        <v>10116</v>
      </c>
      <c r="G1345" t="s">
        <v>8495</v>
      </c>
      <c r="H1345" t="s">
        <v>8495</v>
      </c>
      <c r="I1345" t="s">
        <v>8495</v>
      </c>
      <c r="J1345" t="s">
        <v>10116</v>
      </c>
      <c r="K1345" t="s">
        <v>13163</v>
      </c>
    </row>
    <row r="1346" spans="1:11" s="1" customFormat="1" x14ac:dyDescent="0.25">
      <c r="A1346" t="s">
        <v>10117</v>
      </c>
      <c r="B1346" t="s">
        <v>10118</v>
      </c>
      <c r="C1346" s="111"/>
      <c r="D1346" s="128"/>
      <c r="E1346">
        <v>3479</v>
      </c>
      <c r="F1346" t="s">
        <v>10119</v>
      </c>
      <c r="G1346" t="s">
        <v>8495</v>
      </c>
      <c r="H1346" t="s">
        <v>8495</v>
      </c>
      <c r="I1346" t="s">
        <v>10118</v>
      </c>
      <c r="J1346" t="s">
        <v>10119</v>
      </c>
      <c r="K1346" t="s">
        <v>13163</v>
      </c>
    </row>
    <row r="1347" spans="1:11" s="1" customFormat="1" x14ac:dyDescent="0.25">
      <c r="A1347" t="s">
        <v>10120</v>
      </c>
      <c r="B1347" t="s">
        <v>10121</v>
      </c>
      <c r="C1347" s="111"/>
      <c r="D1347" s="128"/>
      <c r="E1347">
        <v>2547</v>
      </c>
      <c r="F1347" t="s">
        <v>10122</v>
      </c>
      <c r="G1347" t="s">
        <v>8495</v>
      </c>
      <c r="H1347" t="s">
        <v>8495</v>
      </c>
      <c r="I1347" t="s">
        <v>10121</v>
      </c>
      <c r="J1347" t="s">
        <v>10122</v>
      </c>
      <c r="K1347" t="s">
        <v>13163</v>
      </c>
    </row>
    <row r="1348" spans="1:11" s="1" customFormat="1" x14ac:dyDescent="0.25">
      <c r="A1348" t="s">
        <v>10123</v>
      </c>
      <c r="B1348" t="s">
        <v>10124</v>
      </c>
      <c r="C1348" s="111"/>
      <c r="D1348" s="128"/>
      <c r="E1348">
        <v>1351</v>
      </c>
      <c r="F1348" t="s">
        <v>10125</v>
      </c>
      <c r="G1348" t="s">
        <v>8495</v>
      </c>
      <c r="H1348" t="s">
        <v>8495</v>
      </c>
      <c r="I1348" t="s">
        <v>10124</v>
      </c>
      <c r="J1348" t="s">
        <v>10125</v>
      </c>
      <c r="K1348" t="s">
        <v>13163</v>
      </c>
    </row>
    <row r="1349" spans="1:11" s="1" customFormat="1" x14ac:dyDescent="0.25">
      <c r="A1349" t="s">
        <v>10126</v>
      </c>
      <c r="B1349" t="s">
        <v>10127</v>
      </c>
      <c r="C1349" s="111"/>
      <c r="D1349" s="128"/>
      <c r="E1349">
        <v>6237</v>
      </c>
      <c r="F1349" t="s">
        <v>10128</v>
      </c>
      <c r="G1349" t="s">
        <v>8495</v>
      </c>
      <c r="H1349" t="s">
        <v>8495</v>
      </c>
      <c r="I1349" t="s">
        <v>10127</v>
      </c>
      <c r="J1349" t="s">
        <v>10128</v>
      </c>
      <c r="K1349" t="s">
        <v>13163</v>
      </c>
    </row>
    <row r="1350" spans="1:11" s="1" customFormat="1" x14ac:dyDescent="0.25">
      <c r="A1350" t="s">
        <v>10129</v>
      </c>
      <c r="B1350" t="s">
        <v>10130</v>
      </c>
      <c r="C1350" s="111"/>
      <c r="D1350" s="128"/>
      <c r="E1350">
        <v>3160</v>
      </c>
      <c r="F1350" t="s">
        <v>10131</v>
      </c>
      <c r="G1350" t="s">
        <v>8495</v>
      </c>
      <c r="H1350" t="s">
        <v>8495</v>
      </c>
      <c r="I1350" t="s">
        <v>10130</v>
      </c>
      <c r="J1350" t="s">
        <v>10131</v>
      </c>
      <c r="K1350" t="s">
        <v>13163</v>
      </c>
    </row>
    <row r="1351" spans="1:11" s="1" customFormat="1" x14ac:dyDescent="0.25">
      <c r="A1351" t="s">
        <v>10132</v>
      </c>
      <c r="B1351" t="s">
        <v>10133</v>
      </c>
      <c r="C1351" s="111"/>
      <c r="D1351" s="128"/>
      <c r="E1351">
        <v>3782</v>
      </c>
      <c r="F1351" t="s">
        <v>10134</v>
      </c>
      <c r="G1351" t="s">
        <v>8495</v>
      </c>
      <c r="H1351" t="s">
        <v>8495</v>
      </c>
      <c r="I1351" t="s">
        <v>10133</v>
      </c>
      <c r="J1351" t="s">
        <v>10134</v>
      </c>
      <c r="K1351" t="s">
        <v>13163</v>
      </c>
    </row>
    <row r="1352" spans="1:11" s="1" customFormat="1" x14ac:dyDescent="0.25">
      <c r="A1352" t="s">
        <v>10135</v>
      </c>
      <c r="B1352" t="s">
        <v>10136</v>
      </c>
      <c r="C1352" s="111"/>
      <c r="D1352" s="128"/>
      <c r="E1352">
        <v>2921</v>
      </c>
      <c r="F1352" t="s">
        <v>10137</v>
      </c>
      <c r="G1352" t="s">
        <v>8495</v>
      </c>
      <c r="H1352" t="s">
        <v>8495</v>
      </c>
      <c r="I1352" t="s">
        <v>10136</v>
      </c>
      <c r="J1352" t="s">
        <v>10137</v>
      </c>
      <c r="K1352" t="s">
        <v>13163</v>
      </c>
    </row>
    <row r="1353" spans="1:11" s="1" customFormat="1" x14ac:dyDescent="0.25">
      <c r="A1353" t="s">
        <v>10138</v>
      </c>
      <c r="B1353" t="s">
        <v>10139</v>
      </c>
      <c r="C1353" s="111"/>
      <c r="D1353" s="128"/>
      <c r="E1353">
        <v>251</v>
      </c>
      <c r="F1353" t="s">
        <v>10140</v>
      </c>
      <c r="G1353" t="s">
        <v>8495</v>
      </c>
      <c r="H1353" t="s">
        <v>8495</v>
      </c>
      <c r="I1353" t="s">
        <v>10139</v>
      </c>
      <c r="J1353" t="s">
        <v>10140</v>
      </c>
      <c r="K1353" t="s">
        <v>13163</v>
      </c>
    </row>
    <row r="1354" spans="1:11" s="1" customFormat="1" x14ac:dyDescent="0.25">
      <c r="A1354" t="s">
        <v>10141</v>
      </c>
      <c r="B1354" t="s">
        <v>10142</v>
      </c>
      <c r="C1354" s="111"/>
      <c r="D1354" s="128"/>
      <c r="E1354">
        <v>753</v>
      </c>
      <c r="F1354" t="s">
        <v>10143</v>
      </c>
      <c r="G1354" t="s">
        <v>8495</v>
      </c>
      <c r="H1354" t="s">
        <v>8495</v>
      </c>
      <c r="I1354" t="s">
        <v>10142</v>
      </c>
      <c r="J1354" t="s">
        <v>10143</v>
      </c>
      <c r="K1354" t="s">
        <v>13163</v>
      </c>
    </row>
    <row r="1355" spans="1:11" s="1" customFormat="1" x14ac:dyDescent="0.25">
      <c r="A1355" t="s">
        <v>10144</v>
      </c>
      <c r="B1355" t="s">
        <v>10145</v>
      </c>
      <c r="C1355" s="111"/>
      <c r="D1355" s="128"/>
      <c r="E1355">
        <v>3458</v>
      </c>
      <c r="F1355" t="s">
        <v>10146</v>
      </c>
      <c r="G1355" t="s">
        <v>8495</v>
      </c>
      <c r="H1355" t="s">
        <v>8495</v>
      </c>
      <c r="I1355" t="s">
        <v>10145</v>
      </c>
      <c r="J1355" t="s">
        <v>10146</v>
      </c>
      <c r="K1355" t="s">
        <v>13163</v>
      </c>
    </row>
    <row r="1356" spans="1:11" s="1" customFormat="1" x14ac:dyDescent="0.25">
      <c r="A1356" t="s">
        <v>10147</v>
      </c>
      <c r="B1356" t="s">
        <v>10148</v>
      </c>
      <c r="C1356" s="111"/>
      <c r="D1356" s="128"/>
      <c r="E1356">
        <v>604</v>
      </c>
      <c r="F1356" t="s">
        <v>10149</v>
      </c>
      <c r="G1356" t="s">
        <v>10148</v>
      </c>
      <c r="H1356" t="s">
        <v>8495</v>
      </c>
      <c r="I1356" t="s">
        <v>10148</v>
      </c>
      <c r="J1356" t="s">
        <v>10149</v>
      </c>
      <c r="K1356" t="s">
        <v>8155</v>
      </c>
    </row>
    <row r="1357" spans="1:11" s="1" customFormat="1" x14ac:dyDescent="0.25">
      <c r="A1357" t="s">
        <v>10150</v>
      </c>
      <c r="B1357" t="s">
        <v>10151</v>
      </c>
      <c r="C1357" s="111"/>
      <c r="D1357" s="128"/>
      <c r="E1357">
        <v>1</v>
      </c>
      <c r="F1357" t="s">
        <v>10152</v>
      </c>
      <c r="G1357" t="s">
        <v>10151</v>
      </c>
      <c r="H1357" t="s">
        <v>8495</v>
      </c>
      <c r="I1357" t="s">
        <v>10151</v>
      </c>
      <c r="J1357" t="s">
        <v>10152</v>
      </c>
      <c r="K1357" t="s">
        <v>8176</v>
      </c>
    </row>
    <row r="1358" spans="1:11" s="1" customFormat="1" x14ac:dyDescent="0.25">
      <c r="A1358" t="s">
        <v>10153</v>
      </c>
      <c r="B1358" t="s">
        <v>10154</v>
      </c>
      <c r="C1358" s="111"/>
      <c r="D1358" s="128"/>
      <c r="E1358">
        <v>577</v>
      </c>
      <c r="F1358" t="s">
        <v>10155</v>
      </c>
      <c r="G1358" t="s">
        <v>10154</v>
      </c>
      <c r="H1358" t="s">
        <v>8495</v>
      </c>
      <c r="I1358" t="s">
        <v>10154</v>
      </c>
      <c r="J1358" t="s">
        <v>10155</v>
      </c>
      <c r="K1358" t="s">
        <v>9803</v>
      </c>
    </row>
    <row r="1359" spans="1:11" s="1" customFormat="1" x14ac:dyDescent="0.25">
      <c r="A1359" t="s">
        <v>10156</v>
      </c>
      <c r="B1359" t="s">
        <v>10157</v>
      </c>
      <c r="C1359" s="111"/>
      <c r="D1359" s="128"/>
      <c r="E1359">
        <v>544</v>
      </c>
      <c r="F1359" t="s">
        <v>10158</v>
      </c>
      <c r="G1359" t="s">
        <v>10157</v>
      </c>
      <c r="H1359" t="s">
        <v>8495</v>
      </c>
      <c r="I1359" t="s">
        <v>10157</v>
      </c>
      <c r="J1359" t="s">
        <v>10158</v>
      </c>
      <c r="K1359" t="s">
        <v>8155</v>
      </c>
    </row>
    <row r="1360" spans="1:11" s="1" customFormat="1" x14ac:dyDescent="0.25">
      <c r="A1360" t="s">
        <v>10159</v>
      </c>
      <c r="B1360" t="s">
        <v>10160</v>
      </c>
      <c r="C1360" s="111"/>
      <c r="D1360" s="128"/>
      <c r="E1360">
        <v>505</v>
      </c>
      <c r="F1360" t="s">
        <v>10161</v>
      </c>
      <c r="G1360" t="s">
        <v>10160</v>
      </c>
      <c r="H1360" t="s">
        <v>8495</v>
      </c>
      <c r="I1360" t="s">
        <v>10160</v>
      </c>
      <c r="J1360" t="s">
        <v>10161</v>
      </c>
      <c r="K1360" t="s">
        <v>8155</v>
      </c>
    </row>
    <row r="1361" spans="1:11" s="1" customFormat="1" x14ac:dyDescent="0.25">
      <c r="A1361" t="s">
        <v>10162</v>
      </c>
      <c r="B1361" t="s">
        <v>10163</v>
      </c>
      <c r="C1361" s="111"/>
      <c r="D1361" s="128"/>
      <c r="E1361">
        <v>168</v>
      </c>
      <c r="F1361" t="s">
        <v>10164</v>
      </c>
      <c r="G1361" t="s">
        <v>10163</v>
      </c>
      <c r="H1361" t="s">
        <v>8495</v>
      </c>
      <c r="I1361" t="s">
        <v>10163</v>
      </c>
      <c r="J1361" t="s">
        <v>10164</v>
      </c>
      <c r="K1361" t="s">
        <v>8155</v>
      </c>
    </row>
    <row r="1362" spans="1:11" s="1" customFormat="1" x14ac:dyDescent="0.25">
      <c r="A1362" t="s">
        <v>10165</v>
      </c>
      <c r="B1362" t="s">
        <v>10166</v>
      </c>
      <c r="C1362" s="111"/>
      <c r="D1362" s="128"/>
      <c r="E1362">
        <v>101</v>
      </c>
      <c r="F1362" t="s">
        <v>10167</v>
      </c>
      <c r="G1362" t="s">
        <v>10166</v>
      </c>
      <c r="H1362" t="s">
        <v>8495</v>
      </c>
      <c r="I1362" t="s">
        <v>10166</v>
      </c>
      <c r="J1362" t="s">
        <v>10167</v>
      </c>
      <c r="K1362" t="s">
        <v>8155</v>
      </c>
    </row>
    <row r="1363" spans="1:11" s="1" customFormat="1" x14ac:dyDescent="0.25">
      <c r="A1363" t="s">
        <v>10168</v>
      </c>
      <c r="B1363" t="s">
        <v>10169</v>
      </c>
      <c r="C1363" s="111"/>
      <c r="D1363" s="128"/>
      <c r="E1363">
        <v>165</v>
      </c>
      <c r="F1363" t="s">
        <v>10170</v>
      </c>
      <c r="G1363" t="s">
        <v>10169</v>
      </c>
      <c r="H1363" t="s">
        <v>8495</v>
      </c>
      <c r="I1363" t="s">
        <v>10169</v>
      </c>
      <c r="J1363" t="s">
        <v>10170</v>
      </c>
      <c r="K1363" t="s">
        <v>13266</v>
      </c>
    </row>
    <row r="1364" spans="1:11" s="1" customFormat="1" x14ac:dyDescent="0.25">
      <c r="A1364" t="s">
        <v>10171</v>
      </c>
      <c r="B1364" t="s">
        <v>10136</v>
      </c>
      <c r="C1364" s="111"/>
      <c r="D1364" s="128"/>
      <c r="E1364">
        <v>7200</v>
      </c>
      <c r="F1364" t="s">
        <v>10172</v>
      </c>
      <c r="G1364" t="s">
        <v>8495</v>
      </c>
      <c r="H1364" t="s">
        <v>8495</v>
      </c>
      <c r="I1364" t="s">
        <v>10136</v>
      </c>
      <c r="J1364" t="s">
        <v>10172</v>
      </c>
      <c r="K1364" t="s">
        <v>13163</v>
      </c>
    </row>
    <row r="1365" spans="1:11" s="1" customFormat="1" x14ac:dyDescent="0.25">
      <c r="A1365" t="s">
        <v>10173</v>
      </c>
      <c r="B1365" t="s">
        <v>10174</v>
      </c>
      <c r="C1365" s="111"/>
      <c r="D1365" s="128"/>
      <c r="E1365">
        <v>50</v>
      </c>
      <c r="F1365" t="s">
        <v>10175</v>
      </c>
      <c r="G1365" t="s">
        <v>10174</v>
      </c>
      <c r="H1365" t="s">
        <v>8495</v>
      </c>
      <c r="I1365" t="s">
        <v>10174</v>
      </c>
      <c r="J1365" t="s">
        <v>10175</v>
      </c>
      <c r="K1365" t="s">
        <v>8176</v>
      </c>
    </row>
    <row r="1366" spans="1:11" s="1" customFormat="1" x14ac:dyDescent="0.25">
      <c r="A1366" t="s">
        <v>10176</v>
      </c>
      <c r="B1366" t="s">
        <v>10177</v>
      </c>
      <c r="C1366" s="111"/>
      <c r="D1366" s="128"/>
      <c r="E1366">
        <v>472</v>
      </c>
      <c r="F1366" t="s">
        <v>10178</v>
      </c>
      <c r="G1366" t="s">
        <v>10177</v>
      </c>
      <c r="H1366" t="s">
        <v>8495</v>
      </c>
      <c r="I1366" t="s">
        <v>10177</v>
      </c>
      <c r="J1366" t="s">
        <v>10178</v>
      </c>
      <c r="K1366" t="s">
        <v>8155</v>
      </c>
    </row>
    <row r="1367" spans="1:11" s="1" customFormat="1" x14ac:dyDescent="0.25">
      <c r="A1367" t="s">
        <v>10179</v>
      </c>
      <c r="B1367" t="s">
        <v>10180</v>
      </c>
      <c r="C1367" s="111"/>
      <c r="D1367" s="128"/>
      <c r="E1367">
        <v>1069</v>
      </c>
      <c r="F1367" t="s">
        <v>10182</v>
      </c>
      <c r="G1367" t="s">
        <v>10180</v>
      </c>
      <c r="H1367" t="s">
        <v>8495</v>
      </c>
      <c r="I1367" t="s">
        <v>10180</v>
      </c>
      <c r="J1367" t="s">
        <v>10182</v>
      </c>
      <c r="K1367" t="s">
        <v>13266</v>
      </c>
    </row>
    <row r="1368" spans="1:11" s="1" customFormat="1" x14ac:dyDescent="0.25">
      <c r="A1368" t="s">
        <v>10183</v>
      </c>
      <c r="B1368" t="s">
        <v>10184</v>
      </c>
      <c r="C1368" s="111"/>
      <c r="D1368" s="128"/>
      <c r="E1368">
        <v>403</v>
      </c>
      <c r="F1368" t="s">
        <v>10185</v>
      </c>
      <c r="G1368" t="s">
        <v>10184</v>
      </c>
      <c r="H1368" t="s">
        <v>8495</v>
      </c>
      <c r="I1368" t="s">
        <v>10184</v>
      </c>
      <c r="J1368" t="s">
        <v>10185</v>
      </c>
      <c r="K1368" t="s">
        <v>10184</v>
      </c>
    </row>
    <row r="1369" spans="1:11" s="1" customFormat="1" x14ac:dyDescent="0.25">
      <c r="A1369" t="s">
        <v>10186</v>
      </c>
      <c r="B1369" t="s">
        <v>10187</v>
      </c>
      <c r="C1369" s="111"/>
      <c r="D1369" s="128"/>
      <c r="E1369">
        <v>200</v>
      </c>
      <c r="F1369" t="s">
        <v>10188</v>
      </c>
      <c r="G1369" t="s">
        <v>10187</v>
      </c>
      <c r="H1369" t="s">
        <v>8495</v>
      </c>
      <c r="I1369" t="s">
        <v>10187</v>
      </c>
      <c r="J1369" t="s">
        <v>10188</v>
      </c>
      <c r="K1369" t="s">
        <v>13267</v>
      </c>
    </row>
    <row r="1370" spans="1:11" s="1" customFormat="1" x14ac:dyDescent="0.25">
      <c r="A1370" t="s">
        <v>10189</v>
      </c>
      <c r="B1370" t="s">
        <v>13961</v>
      </c>
      <c r="C1370" s="111"/>
      <c r="D1370" s="128"/>
      <c r="E1370">
        <v>231</v>
      </c>
      <c r="F1370" t="s">
        <v>10190</v>
      </c>
      <c r="G1370" t="s">
        <v>13979</v>
      </c>
      <c r="H1370" t="s">
        <v>8495</v>
      </c>
      <c r="I1370" t="s">
        <v>13961</v>
      </c>
      <c r="J1370" t="s">
        <v>10190</v>
      </c>
      <c r="K1370" t="s">
        <v>9803</v>
      </c>
    </row>
    <row r="1371" spans="1:11" s="1" customFormat="1" x14ac:dyDescent="0.25">
      <c r="A1371" t="s">
        <v>10191</v>
      </c>
      <c r="B1371" t="s">
        <v>10192</v>
      </c>
      <c r="C1371" s="111"/>
      <c r="D1371" s="128"/>
      <c r="E1371">
        <v>449</v>
      </c>
      <c r="F1371" t="s">
        <v>10193</v>
      </c>
      <c r="G1371" t="s">
        <v>10192</v>
      </c>
      <c r="H1371" t="s">
        <v>8495</v>
      </c>
      <c r="I1371" t="s">
        <v>10192</v>
      </c>
      <c r="J1371" t="s">
        <v>10193</v>
      </c>
      <c r="K1371" t="s">
        <v>8155</v>
      </c>
    </row>
    <row r="1372" spans="1:11" s="1" customFormat="1" x14ac:dyDescent="0.25">
      <c r="A1372" t="s">
        <v>10194</v>
      </c>
      <c r="B1372" t="s">
        <v>13962</v>
      </c>
      <c r="C1372" s="111"/>
      <c r="D1372" s="128"/>
      <c r="E1372">
        <v>353</v>
      </c>
      <c r="F1372" t="s">
        <v>10195</v>
      </c>
      <c r="G1372" t="s">
        <v>13962</v>
      </c>
      <c r="H1372" t="s">
        <v>8495</v>
      </c>
      <c r="I1372" t="s">
        <v>13962</v>
      </c>
      <c r="J1372" t="s">
        <v>10195</v>
      </c>
      <c r="K1372" t="s">
        <v>8155</v>
      </c>
    </row>
    <row r="1373" spans="1:11" s="1" customFormat="1" x14ac:dyDescent="0.25">
      <c r="A1373" t="s">
        <v>10196</v>
      </c>
      <c r="B1373" t="s">
        <v>10197</v>
      </c>
      <c r="C1373" s="111"/>
      <c r="D1373" s="128"/>
      <c r="E1373">
        <v>631</v>
      </c>
      <c r="F1373" t="s">
        <v>10198</v>
      </c>
      <c r="G1373" t="s">
        <v>10197</v>
      </c>
      <c r="H1373" t="s">
        <v>8495</v>
      </c>
      <c r="I1373" t="s">
        <v>10197</v>
      </c>
      <c r="J1373" t="s">
        <v>10198</v>
      </c>
      <c r="K1373" t="s">
        <v>8155</v>
      </c>
    </row>
    <row r="1374" spans="1:11" s="1" customFormat="1" x14ac:dyDescent="0.25">
      <c r="A1374" t="s">
        <v>10199</v>
      </c>
      <c r="B1374" t="s">
        <v>10200</v>
      </c>
      <c r="C1374" s="111"/>
      <c r="D1374" s="128"/>
      <c r="E1374"/>
      <c r="F1374" t="s">
        <v>10201</v>
      </c>
      <c r="G1374" t="s">
        <v>10200</v>
      </c>
      <c r="H1374" t="s">
        <v>8495</v>
      </c>
      <c r="I1374" t="s">
        <v>10200</v>
      </c>
      <c r="J1374" t="s">
        <v>10201</v>
      </c>
      <c r="K1374" t="s">
        <v>10289</v>
      </c>
    </row>
    <row r="1375" spans="1:11" s="1" customFormat="1" x14ac:dyDescent="0.25">
      <c r="A1375" t="s">
        <v>10202</v>
      </c>
      <c r="B1375" t="s">
        <v>10203</v>
      </c>
      <c r="C1375" s="111"/>
      <c r="D1375" s="128"/>
      <c r="E1375">
        <v>790</v>
      </c>
      <c r="F1375" t="s">
        <v>10204</v>
      </c>
      <c r="G1375" t="s">
        <v>10203</v>
      </c>
      <c r="H1375" t="s">
        <v>8495</v>
      </c>
      <c r="I1375" t="s">
        <v>10203</v>
      </c>
      <c r="J1375" t="s">
        <v>10204</v>
      </c>
      <c r="K1375" t="s">
        <v>8155</v>
      </c>
    </row>
    <row r="1376" spans="1:11" s="1" customFormat="1" x14ac:dyDescent="0.25">
      <c r="A1376" t="s">
        <v>10205</v>
      </c>
      <c r="B1376" t="s">
        <v>10206</v>
      </c>
      <c r="C1376" s="111"/>
      <c r="D1376" s="128"/>
      <c r="E1376">
        <v>15</v>
      </c>
      <c r="F1376" t="s">
        <v>10207</v>
      </c>
      <c r="G1376" t="s">
        <v>10206</v>
      </c>
      <c r="H1376" t="s">
        <v>8495</v>
      </c>
      <c r="I1376" t="s">
        <v>10206</v>
      </c>
      <c r="J1376" t="s">
        <v>10207</v>
      </c>
      <c r="K1376" t="s">
        <v>8176</v>
      </c>
    </row>
    <row r="1377" spans="1:11" s="1" customFormat="1" x14ac:dyDescent="0.25">
      <c r="A1377" t="s">
        <v>10208</v>
      </c>
      <c r="B1377" t="s">
        <v>10209</v>
      </c>
      <c r="C1377" s="111"/>
      <c r="D1377" s="128"/>
      <c r="E1377">
        <v>1</v>
      </c>
      <c r="F1377" t="s">
        <v>10210</v>
      </c>
      <c r="G1377" t="s">
        <v>10209</v>
      </c>
      <c r="H1377" t="s">
        <v>8495</v>
      </c>
      <c r="I1377" t="s">
        <v>10209</v>
      </c>
      <c r="J1377" t="s">
        <v>10210</v>
      </c>
      <c r="K1377" t="s">
        <v>11642</v>
      </c>
    </row>
    <row r="1378" spans="1:11" s="1" customFormat="1" x14ac:dyDescent="0.25">
      <c r="A1378" t="s">
        <v>10211</v>
      </c>
      <c r="B1378" t="s">
        <v>10212</v>
      </c>
      <c r="C1378" s="111"/>
      <c r="D1378" s="128"/>
      <c r="E1378">
        <v>531</v>
      </c>
      <c r="F1378" t="s">
        <v>10213</v>
      </c>
      <c r="G1378" t="s">
        <v>10212</v>
      </c>
      <c r="H1378" t="s">
        <v>8495</v>
      </c>
      <c r="I1378" t="s">
        <v>10212</v>
      </c>
      <c r="J1378" t="s">
        <v>10213</v>
      </c>
      <c r="K1378" t="s">
        <v>8176</v>
      </c>
    </row>
    <row r="1379" spans="1:11" s="1" customFormat="1" x14ac:dyDescent="0.25">
      <c r="A1379" t="s">
        <v>10214</v>
      </c>
      <c r="B1379" t="s">
        <v>10215</v>
      </c>
      <c r="C1379" s="111"/>
      <c r="D1379" s="128"/>
      <c r="E1379">
        <v>60</v>
      </c>
      <c r="F1379" t="s">
        <v>10216</v>
      </c>
      <c r="G1379" t="s">
        <v>10215</v>
      </c>
      <c r="H1379" t="s">
        <v>8495</v>
      </c>
      <c r="I1379" t="s">
        <v>10215</v>
      </c>
      <c r="J1379" t="s">
        <v>10216</v>
      </c>
      <c r="K1379" t="s">
        <v>13266</v>
      </c>
    </row>
    <row r="1380" spans="1:11" s="1" customFormat="1" x14ac:dyDescent="0.25">
      <c r="A1380" t="s">
        <v>10217</v>
      </c>
      <c r="B1380" t="s">
        <v>10218</v>
      </c>
      <c r="C1380" s="111"/>
      <c r="D1380" s="128"/>
      <c r="E1380">
        <v>184</v>
      </c>
      <c r="F1380" t="s">
        <v>10219</v>
      </c>
      <c r="G1380" t="s">
        <v>10218</v>
      </c>
      <c r="H1380" t="s">
        <v>8495</v>
      </c>
      <c r="I1380" t="s">
        <v>10218</v>
      </c>
      <c r="J1380" t="s">
        <v>10219</v>
      </c>
      <c r="K1380" t="s">
        <v>13266</v>
      </c>
    </row>
    <row r="1381" spans="1:11" s="1" customFormat="1" x14ac:dyDescent="0.25">
      <c r="A1381" t="s">
        <v>10220</v>
      </c>
      <c r="B1381" t="s">
        <v>10221</v>
      </c>
      <c r="C1381" s="111"/>
      <c r="D1381" s="128"/>
      <c r="E1381">
        <v>255</v>
      </c>
      <c r="F1381" t="s">
        <v>10222</v>
      </c>
      <c r="G1381" t="s">
        <v>10221</v>
      </c>
      <c r="H1381" t="s">
        <v>8495</v>
      </c>
      <c r="I1381" t="s">
        <v>10221</v>
      </c>
      <c r="J1381" t="s">
        <v>10222</v>
      </c>
      <c r="K1381" t="s">
        <v>8155</v>
      </c>
    </row>
    <row r="1382" spans="1:11" s="1" customFormat="1" x14ac:dyDescent="0.25">
      <c r="A1382" t="s">
        <v>10223</v>
      </c>
      <c r="B1382" t="s">
        <v>10224</v>
      </c>
      <c r="C1382" s="111"/>
      <c r="D1382" s="128"/>
      <c r="E1382"/>
      <c r="F1382" t="s">
        <v>10225</v>
      </c>
      <c r="G1382" t="s">
        <v>10224</v>
      </c>
      <c r="H1382" t="s">
        <v>8495</v>
      </c>
      <c r="I1382" t="s">
        <v>10224</v>
      </c>
      <c r="J1382" t="s">
        <v>10225</v>
      </c>
      <c r="K1382" t="s">
        <v>8176</v>
      </c>
    </row>
    <row r="1383" spans="1:11" s="3" customFormat="1" x14ac:dyDescent="0.25">
      <c r="A1383" t="s">
        <v>10226</v>
      </c>
      <c r="B1383" t="s">
        <v>10227</v>
      </c>
      <c r="C1383" s="111"/>
      <c r="D1383" s="128"/>
      <c r="E1383">
        <v>897</v>
      </c>
      <c r="F1383" t="s">
        <v>10228</v>
      </c>
      <c r="G1383" t="s">
        <v>10227</v>
      </c>
      <c r="H1383" t="s">
        <v>8495</v>
      </c>
      <c r="I1383" t="s">
        <v>10227</v>
      </c>
      <c r="J1383" t="s">
        <v>10228</v>
      </c>
      <c r="K1383" t="s">
        <v>10286</v>
      </c>
    </row>
    <row r="1384" spans="1:11" s="3" customFormat="1" x14ac:dyDescent="0.25">
      <c r="A1384" t="s">
        <v>10229</v>
      </c>
      <c r="B1384" t="s">
        <v>9764</v>
      </c>
      <c r="C1384" s="111"/>
      <c r="D1384" s="128"/>
      <c r="E1384">
        <v>0</v>
      </c>
      <c r="F1384" t="s">
        <v>10230</v>
      </c>
      <c r="G1384" t="s">
        <v>9764</v>
      </c>
      <c r="H1384" t="s">
        <v>8495</v>
      </c>
      <c r="I1384" t="s">
        <v>9764</v>
      </c>
      <c r="J1384" t="s">
        <v>10230</v>
      </c>
      <c r="K1384" t="s">
        <v>8176</v>
      </c>
    </row>
    <row r="1385" spans="1:11" s="3" customFormat="1" x14ac:dyDescent="0.25">
      <c r="A1385" t="s">
        <v>10231</v>
      </c>
      <c r="B1385" t="s">
        <v>10232</v>
      </c>
      <c r="C1385" s="111"/>
      <c r="D1385" s="128"/>
      <c r="E1385">
        <v>44</v>
      </c>
      <c r="F1385" t="s">
        <v>10233</v>
      </c>
      <c r="G1385" t="s">
        <v>10232</v>
      </c>
      <c r="H1385" t="s">
        <v>8495</v>
      </c>
      <c r="I1385" t="s">
        <v>10232</v>
      </c>
      <c r="J1385" t="s">
        <v>10233</v>
      </c>
      <c r="K1385" t="s">
        <v>10289</v>
      </c>
    </row>
    <row r="1386" spans="1:11" s="3" customFormat="1" x14ac:dyDescent="0.25">
      <c r="A1386" t="s">
        <v>10234</v>
      </c>
      <c r="B1386" t="s">
        <v>10235</v>
      </c>
      <c r="C1386" s="111"/>
      <c r="D1386" s="128"/>
      <c r="E1386">
        <v>205</v>
      </c>
      <c r="F1386" t="s">
        <v>10236</v>
      </c>
      <c r="G1386" t="s">
        <v>10235</v>
      </c>
      <c r="H1386" t="s">
        <v>8495</v>
      </c>
      <c r="I1386" t="s">
        <v>10235</v>
      </c>
      <c r="J1386" t="s">
        <v>10236</v>
      </c>
      <c r="K1386" t="s">
        <v>10289</v>
      </c>
    </row>
    <row r="1387" spans="1:11" s="3" customFormat="1" x14ac:dyDescent="0.25">
      <c r="A1387" t="s">
        <v>10237</v>
      </c>
      <c r="B1387" t="s">
        <v>13963</v>
      </c>
      <c r="C1387" s="111"/>
      <c r="D1387" s="128"/>
      <c r="E1387">
        <v>246</v>
      </c>
      <c r="F1387" t="s">
        <v>10238</v>
      </c>
      <c r="G1387" t="s">
        <v>13963</v>
      </c>
      <c r="H1387" t="s">
        <v>8495</v>
      </c>
      <c r="I1387" t="s">
        <v>13963</v>
      </c>
      <c r="J1387" t="s">
        <v>10238</v>
      </c>
      <c r="K1387" t="s">
        <v>13268</v>
      </c>
    </row>
    <row r="1388" spans="1:11" s="3" customFormat="1" x14ac:dyDescent="0.25">
      <c r="A1388" t="s">
        <v>10239</v>
      </c>
      <c r="B1388" t="s">
        <v>10240</v>
      </c>
      <c r="C1388" s="111"/>
      <c r="D1388" s="128"/>
      <c r="E1388">
        <v>332</v>
      </c>
      <c r="F1388" t="s">
        <v>10241</v>
      </c>
      <c r="G1388" t="s">
        <v>10240</v>
      </c>
      <c r="H1388" t="s">
        <v>8495</v>
      </c>
      <c r="I1388" t="s">
        <v>10240</v>
      </c>
      <c r="J1388" t="s">
        <v>10241</v>
      </c>
      <c r="K1388" t="s">
        <v>8155</v>
      </c>
    </row>
    <row r="1389" spans="1:11" s="3" customFormat="1" x14ac:dyDescent="0.25">
      <c r="A1389" t="s">
        <v>10242</v>
      </c>
      <c r="B1389" t="s">
        <v>10243</v>
      </c>
      <c r="C1389" s="111"/>
      <c r="D1389" s="128"/>
      <c r="E1389">
        <v>51</v>
      </c>
      <c r="F1389" t="s">
        <v>10244</v>
      </c>
      <c r="G1389" t="s">
        <v>10243</v>
      </c>
      <c r="H1389" t="s">
        <v>8495</v>
      </c>
      <c r="I1389" t="s">
        <v>10243</v>
      </c>
      <c r="J1389" t="s">
        <v>10244</v>
      </c>
      <c r="K1389" t="s">
        <v>8155</v>
      </c>
    </row>
    <row r="1390" spans="1:11" s="3" customFormat="1" x14ac:dyDescent="0.25">
      <c r="A1390" t="s">
        <v>10245</v>
      </c>
      <c r="B1390" t="s">
        <v>10246</v>
      </c>
      <c r="C1390" s="111"/>
      <c r="D1390" s="128"/>
      <c r="E1390"/>
      <c r="F1390" t="s">
        <v>10247</v>
      </c>
      <c r="G1390" t="s">
        <v>10246</v>
      </c>
      <c r="H1390" t="s">
        <v>8495</v>
      </c>
      <c r="I1390" t="s">
        <v>10246</v>
      </c>
      <c r="J1390" t="s">
        <v>10247</v>
      </c>
      <c r="K1390" t="s">
        <v>13269</v>
      </c>
    </row>
    <row r="1391" spans="1:11" s="3" customFormat="1" x14ac:dyDescent="0.25">
      <c r="A1391" t="s">
        <v>10248</v>
      </c>
      <c r="B1391" t="s">
        <v>10249</v>
      </c>
      <c r="C1391" s="111"/>
      <c r="D1391" s="128"/>
      <c r="E1391">
        <v>758</v>
      </c>
      <c r="F1391" t="s">
        <v>10250</v>
      </c>
      <c r="G1391" t="s">
        <v>10249</v>
      </c>
      <c r="H1391" t="s">
        <v>8495</v>
      </c>
      <c r="I1391" t="s">
        <v>10249</v>
      </c>
      <c r="J1391" t="s">
        <v>10250</v>
      </c>
      <c r="K1391" t="s">
        <v>10289</v>
      </c>
    </row>
    <row r="1392" spans="1:11" s="3" customFormat="1" x14ac:dyDescent="0.25">
      <c r="A1392" t="s">
        <v>10251</v>
      </c>
      <c r="B1392" t="s">
        <v>10252</v>
      </c>
      <c r="C1392" s="111"/>
      <c r="D1392" s="128"/>
      <c r="E1392">
        <v>707</v>
      </c>
      <c r="F1392" t="s">
        <v>10253</v>
      </c>
      <c r="G1392" t="s">
        <v>10252</v>
      </c>
      <c r="H1392" t="s">
        <v>8495</v>
      </c>
      <c r="I1392" t="s">
        <v>10252</v>
      </c>
      <c r="J1392" t="s">
        <v>10253</v>
      </c>
      <c r="K1392" t="s">
        <v>13270</v>
      </c>
    </row>
    <row r="1393" spans="1:11" s="3" customFormat="1" x14ac:dyDescent="0.25">
      <c r="A1393" t="s">
        <v>10254</v>
      </c>
      <c r="B1393" t="s">
        <v>10255</v>
      </c>
      <c r="C1393" s="111"/>
      <c r="D1393" s="128"/>
      <c r="E1393">
        <v>283</v>
      </c>
      <c r="F1393" t="s">
        <v>10256</v>
      </c>
      <c r="G1393" t="s">
        <v>10255</v>
      </c>
      <c r="H1393" t="s">
        <v>8495</v>
      </c>
      <c r="I1393" t="s">
        <v>10255</v>
      </c>
      <c r="J1393" t="s">
        <v>10256</v>
      </c>
      <c r="K1393" t="s">
        <v>8155</v>
      </c>
    </row>
    <row r="1394" spans="1:11" s="3" customFormat="1" x14ac:dyDescent="0.25">
      <c r="A1394" t="s">
        <v>10257</v>
      </c>
      <c r="B1394" t="s">
        <v>9292</v>
      </c>
      <c r="C1394" s="111"/>
      <c r="D1394" s="128"/>
      <c r="E1394">
        <v>150</v>
      </c>
      <c r="F1394" t="s">
        <v>10258</v>
      </c>
      <c r="G1394" t="s">
        <v>9292</v>
      </c>
      <c r="H1394" t="s">
        <v>8495</v>
      </c>
      <c r="I1394" t="s">
        <v>9292</v>
      </c>
      <c r="J1394" t="s">
        <v>10258</v>
      </c>
      <c r="K1394" t="s">
        <v>8155</v>
      </c>
    </row>
    <row r="1395" spans="1:11" s="3" customFormat="1" x14ac:dyDescent="0.25">
      <c r="A1395" t="s">
        <v>10259</v>
      </c>
      <c r="B1395" t="s">
        <v>10260</v>
      </c>
      <c r="C1395" s="111"/>
      <c r="D1395" s="128"/>
      <c r="E1395">
        <v>223</v>
      </c>
      <c r="F1395" t="s">
        <v>10261</v>
      </c>
      <c r="G1395" t="s">
        <v>10260</v>
      </c>
      <c r="H1395" t="s">
        <v>8495</v>
      </c>
      <c r="I1395" t="s">
        <v>10260</v>
      </c>
      <c r="J1395" t="s">
        <v>10261</v>
      </c>
      <c r="K1395" t="s">
        <v>10286</v>
      </c>
    </row>
    <row r="1396" spans="1:11" s="3" customFormat="1" x14ac:dyDescent="0.25">
      <c r="A1396" t="s">
        <v>10262</v>
      </c>
      <c r="B1396" t="s">
        <v>10263</v>
      </c>
      <c r="C1396" s="111"/>
      <c r="D1396" s="128"/>
      <c r="E1396">
        <v>964</v>
      </c>
      <c r="F1396" t="s">
        <v>10264</v>
      </c>
      <c r="G1396" t="s">
        <v>10263</v>
      </c>
      <c r="H1396" t="s">
        <v>8495</v>
      </c>
      <c r="I1396" t="s">
        <v>10263</v>
      </c>
      <c r="J1396" t="s">
        <v>10264</v>
      </c>
      <c r="K1396" t="s">
        <v>8155</v>
      </c>
    </row>
    <row r="1397" spans="1:11" s="3" customFormat="1" x14ac:dyDescent="0.25">
      <c r="A1397" t="s">
        <v>10265</v>
      </c>
      <c r="B1397" t="s">
        <v>10266</v>
      </c>
      <c r="C1397" s="111"/>
      <c r="D1397" s="128"/>
      <c r="E1397">
        <v>802</v>
      </c>
      <c r="F1397" t="s">
        <v>10267</v>
      </c>
      <c r="G1397" t="s">
        <v>10266</v>
      </c>
      <c r="H1397" t="s">
        <v>8495</v>
      </c>
      <c r="I1397" t="s">
        <v>10266</v>
      </c>
      <c r="J1397" t="s">
        <v>10267</v>
      </c>
      <c r="K1397" t="s">
        <v>10286</v>
      </c>
    </row>
    <row r="1398" spans="1:11" s="3" customFormat="1" x14ac:dyDescent="0.25">
      <c r="A1398" t="s">
        <v>10268</v>
      </c>
      <c r="B1398" t="s">
        <v>10269</v>
      </c>
      <c r="C1398" s="111"/>
      <c r="D1398" s="128"/>
      <c r="E1398">
        <v>709</v>
      </c>
      <c r="F1398" t="s">
        <v>10270</v>
      </c>
      <c r="G1398" t="s">
        <v>10269</v>
      </c>
      <c r="H1398" t="s">
        <v>8495</v>
      </c>
      <c r="I1398" t="s">
        <v>10269</v>
      </c>
      <c r="J1398" t="s">
        <v>10270</v>
      </c>
      <c r="K1398" t="s">
        <v>10289</v>
      </c>
    </row>
    <row r="1399" spans="1:11" s="3" customFormat="1" x14ac:dyDescent="0.25">
      <c r="A1399" t="s">
        <v>10271</v>
      </c>
      <c r="B1399" t="s">
        <v>10272</v>
      </c>
      <c r="C1399" s="111"/>
      <c r="D1399" s="128"/>
      <c r="E1399">
        <v>112</v>
      </c>
      <c r="F1399" t="s">
        <v>10273</v>
      </c>
      <c r="G1399" t="s">
        <v>8901</v>
      </c>
      <c r="H1399" t="s">
        <v>8495</v>
      </c>
      <c r="I1399" t="s">
        <v>10272</v>
      </c>
      <c r="J1399" t="s">
        <v>10273</v>
      </c>
      <c r="K1399" t="s">
        <v>10289</v>
      </c>
    </row>
    <row r="1400" spans="1:11" s="3" customFormat="1" x14ac:dyDescent="0.25">
      <c r="A1400" t="s">
        <v>10274</v>
      </c>
      <c r="B1400" t="s">
        <v>13964</v>
      </c>
      <c r="C1400" s="111"/>
      <c r="D1400" s="128"/>
      <c r="E1400">
        <v>557</v>
      </c>
      <c r="F1400" t="s">
        <v>10275</v>
      </c>
      <c r="G1400" t="s">
        <v>13964</v>
      </c>
      <c r="H1400" t="s">
        <v>8495</v>
      </c>
      <c r="I1400" t="s">
        <v>13964</v>
      </c>
      <c r="J1400" t="s">
        <v>10275</v>
      </c>
      <c r="K1400" t="s">
        <v>8155</v>
      </c>
    </row>
    <row r="1401" spans="1:11" s="3" customFormat="1" x14ac:dyDescent="0.25">
      <c r="A1401" t="s">
        <v>10276</v>
      </c>
      <c r="B1401" t="s">
        <v>10277</v>
      </c>
      <c r="C1401" s="111"/>
      <c r="D1401" s="128"/>
      <c r="E1401">
        <v>1</v>
      </c>
      <c r="F1401" t="s">
        <v>10278</v>
      </c>
      <c r="G1401" t="s">
        <v>10277</v>
      </c>
      <c r="H1401" t="s">
        <v>8495</v>
      </c>
      <c r="I1401" t="s">
        <v>10277</v>
      </c>
      <c r="J1401" t="s">
        <v>10278</v>
      </c>
      <c r="K1401" t="s">
        <v>10289</v>
      </c>
    </row>
    <row r="1402" spans="1:11" s="3" customFormat="1" x14ac:dyDescent="0.25">
      <c r="A1402" t="s">
        <v>10279</v>
      </c>
      <c r="B1402" t="s">
        <v>10280</v>
      </c>
      <c r="C1402" s="111"/>
      <c r="D1402" s="128"/>
      <c r="E1402">
        <v>63</v>
      </c>
      <c r="F1402" t="s">
        <v>10281</v>
      </c>
      <c r="G1402" t="s">
        <v>10280</v>
      </c>
      <c r="H1402" t="s">
        <v>8495</v>
      </c>
      <c r="I1402" t="s">
        <v>10280</v>
      </c>
      <c r="J1402" t="s">
        <v>10281</v>
      </c>
      <c r="K1402" t="s">
        <v>13267</v>
      </c>
    </row>
    <row r="1403" spans="1:11" s="3" customFormat="1" x14ac:dyDescent="0.25">
      <c r="A1403" t="s">
        <v>10282</v>
      </c>
      <c r="B1403" t="s">
        <v>10283</v>
      </c>
      <c r="C1403" s="111"/>
      <c r="D1403" s="128"/>
      <c r="E1403">
        <v>4444</v>
      </c>
      <c r="F1403" t="s">
        <v>10284</v>
      </c>
      <c r="G1403" t="s">
        <v>10283</v>
      </c>
      <c r="H1403" t="s">
        <v>8495</v>
      </c>
      <c r="I1403" t="s">
        <v>10283</v>
      </c>
      <c r="J1403" t="s">
        <v>10284</v>
      </c>
      <c r="K1403" t="s">
        <v>8176</v>
      </c>
    </row>
    <row r="1404" spans="1:11" s="3" customFormat="1" x14ac:dyDescent="0.25">
      <c r="A1404" t="s">
        <v>10285</v>
      </c>
      <c r="B1404" t="s">
        <v>10286</v>
      </c>
      <c r="C1404" s="111"/>
      <c r="D1404" s="128"/>
      <c r="E1404">
        <v>43</v>
      </c>
      <c r="F1404" t="s">
        <v>10287</v>
      </c>
      <c r="G1404" t="s">
        <v>10286</v>
      </c>
      <c r="H1404" t="s">
        <v>8495</v>
      </c>
      <c r="I1404" t="s">
        <v>10286</v>
      </c>
      <c r="J1404" t="s">
        <v>10287</v>
      </c>
      <c r="K1404" t="s">
        <v>10286</v>
      </c>
    </row>
    <row r="1405" spans="1:11" s="3" customFormat="1" x14ac:dyDescent="0.25">
      <c r="A1405" t="s">
        <v>10288</v>
      </c>
      <c r="B1405" t="s">
        <v>10289</v>
      </c>
      <c r="C1405" s="111"/>
      <c r="D1405" s="128"/>
      <c r="E1405">
        <v>1193</v>
      </c>
      <c r="F1405" t="s">
        <v>10290</v>
      </c>
      <c r="G1405" t="s">
        <v>10289</v>
      </c>
      <c r="H1405" t="s">
        <v>8495</v>
      </c>
      <c r="I1405" t="s">
        <v>10289</v>
      </c>
      <c r="J1405" t="s">
        <v>10290</v>
      </c>
      <c r="K1405" t="s">
        <v>10289</v>
      </c>
    </row>
    <row r="1406" spans="1:11" s="3" customFormat="1" x14ac:dyDescent="0.25">
      <c r="A1406" t="s">
        <v>10291</v>
      </c>
      <c r="B1406" t="s">
        <v>10292</v>
      </c>
      <c r="C1406" s="111"/>
      <c r="D1406" s="128"/>
      <c r="E1406">
        <v>305</v>
      </c>
      <c r="F1406" t="s">
        <v>10293</v>
      </c>
      <c r="G1406" t="s">
        <v>10292</v>
      </c>
      <c r="H1406" t="s">
        <v>8495</v>
      </c>
      <c r="I1406" t="s">
        <v>10292</v>
      </c>
      <c r="J1406" t="s">
        <v>10293</v>
      </c>
      <c r="K1406" t="s">
        <v>13271</v>
      </c>
    </row>
    <row r="1407" spans="1:11" s="3" customFormat="1" x14ac:dyDescent="0.25">
      <c r="A1407" t="s">
        <v>10294</v>
      </c>
      <c r="B1407" t="s">
        <v>10295</v>
      </c>
      <c r="C1407" s="111"/>
      <c r="D1407" s="128"/>
      <c r="E1407">
        <v>499</v>
      </c>
      <c r="F1407" t="s">
        <v>10296</v>
      </c>
      <c r="G1407" t="s">
        <v>10295</v>
      </c>
      <c r="H1407" t="s">
        <v>8495</v>
      </c>
      <c r="I1407" t="s">
        <v>10295</v>
      </c>
      <c r="J1407" t="s">
        <v>10296</v>
      </c>
      <c r="K1407" t="s">
        <v>8155</v>
      </c>
    </row>
    <row r="1408" spans="1:11" s="3" customFormat="1" x14ac:dyDescent="0.25">
      <c r="A1408" t="s">
        <v>10297</v>
      </c>
      <c r="B1408" t="s">
        <v>10298</v>
      </c>
      <c r="C1408" s="111"/>
      <c r="D1408" s="128"/>
      <c r="E1408">
        <v>235</v>
      </c>
      <c r="F1408" t="s">
        <v>10299</v>
      </c>
      <c r="G1408" t="s">
        <v>10298</v>
      </c>
      <c r="H1408" t="s">
        <v>8495</v>
      </c>
      <c r="I1408" t="s">
        <v>10298</v>
      </c>
      <c r="J1408" t="s">
        <v>10299</v>
      </c>
      <c r="K1408" t="s">
        <v>8176</v>
      </c>
    </row>
    <row r="1409" spans="1:11" s="3" customFormat="1" x14ac:dyDescent="0.25">
      <c r="A1409" t="s">
        <v>10300</v>
      </c>
      <c r="B1409" t="s">
        <v>10301</v>
      </c>
      <c r="C1409" s="111"/>
      <c r="D1409" s="128"/>
      <c r="E1409">
        <v>230</v>
      </c>
      <c r="F1409" t="s">
        <v>10303</v>
      </c>
      <c r="G1409" t="s">
        <v>10302</v>
      </c>
      <c r="H1409" t="s">
        <v>8495</v>
      </c>
      <c r="I1409" t="s">
        <v>10301</v>
      </c>
      <c r="J1409" t="s">
        <v>10303</v>
      </c>
      <c r="K1409" t="s">
        <v>13239</v>
      </c>
    </row>
    <row r="1410" spans="1:11" s="3" customFormat="1" x14ac:dyDescent="0.25">
      <c r="A1410" t="s">
        <v>10304</v>
      </c>
      <c r="B1410" t="s">
        <v>10305</v>
      </c>
      <c r="C1410" s="111"/>
      <c r="D1410" s="128"/>
      <c r="E1410">
        <v>198</v>
      </c>
      <c r="F1410" t="s">
        <v>10306</v>
      </c>
      <c r="G1410" t="s">
        <v>10305</v>
      </c>
      <c r="H1410" t="s">
        <v>8495</v>
      </c>
      <c r="I1410" t="s">
        <v>10305</v>
      </c>
      <c r="J1410" t="s">
        <v>10306</v>
      </c>
      <c r="K1410" t="s">
        <v>8155</v>
      </c>
    </row>
    <row r="1411" spans="1:11" s="3" customFormat="1" x14ac:dyDescent="0.25">
      <c r="A1411" t="s">
        <v>10307</v>
      </c>
      <c r="B1411" t="s">
        <v>10308</v>
      </c>
      <c r="C1411" s="111"/>
      <c r="D1411" s="128"/>
      <c r="E1411">
        <v>533</v>
      </c>
      <c r="F1411" t="s">
        <v>10310</v>
      </c>
      <c r="G1411" t="s">
        <v>10309</v>
      </c>
      <c r="H1411" t="s">
        <v>8495</v>
      </c>
      <c r="I1411" t="s">
        <v>10308</v>
      </c>
      <c r="J1411" t="s">
        <v>10310</v>
      </c>
      <c r="K1411" t="s">
        <v>13272</v>
      </c>
    </row>
    <row r="1412" spans="1:11" s="3" customFormat="1" x14ac:dyDescent="0.25">
      <c r="A1412" t="s">
        <v>10311</v>
      </c>
      <c r="B1412" t="s">
        <v>10312</v>
      </c>
      <c r="C1412" s="111"/>
      <c r="D1412" s="128"/>
      <c r="E1412">
        <v>841</v>
      </c>
      <c r="F1412" t="s">
        <v>10314</v>
      </c>
      <c r="G1412" t="s">
        <v>10313</v>
      </c>
      <c r="H1412" t="s">
        <v>8495</v>
      </c>
      <c r="I1412" t="s">
        <v>10312</v>
      </c>
      <c r="J1412" t="s">
        <v>10314</v>
      </c>
      <c r="K1412" t="s">
        <v>10184</v>
      </c>
    </row>
    <row r="1413" spans="1:11" s="3" customFormat="1" x14ac:dyDescent="0.25">
      <c r="A1413" t="s">
        <v>10315</v>
      </c>
      <c r="B1413" t="s">
        <v>10316</v>
      </c>
      <c r="C1413" s="111"/>
      <c r="D1413" s="128"/>
      <c r="E1413">
        <v>650</v>
      </c>
      <c r="F1413" t="s">
        <v>10318</v>
      </c>
      <c r="G1413" t="s">
        <v>10317</v>
      </c>
      <c r="H1413" t="s">
        <v>8495</v>
      </c>
      <c r="I1413" t="s">
        <v>10316</v>
      </c>
      <c r="J1413" t="s">
        <v>10318</v>
      </c>
      <c r="K1413" t="s">
        <v>10286</v>
      </c>
    </row>
    <row r="1414" spans="1:11" s="3" customFormat="1" x14ac:dyDescent="0.25">
      <c r="A1414" t="s">
        <v>10319</v>
      </c>
      <c r="B1414" t="s">
        <v>10320</v>
      </c>
      <c r="C1414" s="111"/>
      <c r="D1414" s="128"/>
      <c r="E1414">
        <v>1105</v>
      </c>
      <c r="F1414" t="s">
        <v>10321</v>
      </c>
      <c r="G1414" t="s">
        <v>10320</v>
      </c>
      <c r="H1414" t="s">
        <v>8495</v>
      </c>
      <c r="I1414" t="s">
        <v>10320</v>
      </c>
      <c r="J1414" t="s">
        <v>10321</v>
      </c>
      <c r="K1414" t="s">
        <v>10289</v>
      </c>
    </row>
    <row r="1415" spans="1:11" s="3" customFormat="1" x14ac:dyDescent="0.25">
      <c r="A1415" t="s">
        <v>10322</v>
      </c>
      <c r="B1415" t="s">
        <v>10323</v>
      </c>
      <c r="C1415" s="111"/>
      <c r="D1415" s="128"/>
      <c r="E1415">
        <v>98</v>
      </c>
      <c r="F1415" t="s">
        <v>10325</v>
      </c>
      <c r="G1415" t="s">
        <v>10324</v>
      </c>
      <c r="H1415" t="s">
        <v>8495</v>
      </c>
      <c r="I1415" t="s">
        <v>10323</v>
      </c>
      <c r="J1415" t="s">
        <v>10325</v>
      </c>
      <c r="K1415" t="s">
        <v>8155</v>
      </c>
    </row>
    <row r="1416" spans="1:11" s="3" customFormat="1" x14ac:dyDescent="0.25">
      <c r="A1416" t="s">
        <v>10326</v>
      </c>
      <c r="B1416" t="s">
        <v>10327</v>
      </c>
      <c r="C1416" s="111"/>
      <c r="D1416" s="128"/>
      <c r="E1416">
        <v>152</v>
      </c>
      <c r="F1416" t="s">
        <v>10328</v>
      </c>
      <c r="G1416" t="s">
        <v>10327</v>
      </c>
      <c r="H1416" t="s">
        <v>8495</v>
      </c>
      <c r="I1416" t="s">
        <v>10327</v>
      </c>
      <c r="J1416" t="s">
        <v>10328</v>
      </c>
      <c r="K1416" t="s">
        <v>10184</v>
      </c>
    </row>
    <row r="1417" spans="1:11" s="3" customFormat="1" x14ac:dyDescent="0.25">
      <c r="A1417" t="s">
        <v>10329</v>
      </c>
      <c r="B1417" t="s">
        <v>10330</v>
      </c>
      <c r="C1417" s="111"/>
      <c r="D1417" s="128"/>
      <c r="E1417">
        <v>314</v>
      </c>
      <c r="F1417" t="s">
        <v>10331</v>
      </c>
      <c r="G1417" t="s">
        <v>10330</v>
      </c>
      <c r="H1417" t="s">
        <v>8495</v>
      </c>
      <c r="I1417" t="s">
        <v>10330</v>
      </c>
      <c r="J1417" t="s">
        <v>10331</v>
      </c>
      <c r="K1417" t="s">
        <v>13266</v>
      </c>
    </row>
    <row r="1418" spans="1:11" s="3" customFormat="1" x14ac:dyDescent="0.25">
      <c r="A1418" t="s">
        <v>10332</v>
      </c>
      <c r="B1418" t="s">
        <v>13649</v>
      </c>
      <c r="C1418" s="111"/>
      <c r="D1418" s="128"/>
      <c r="E1418">
        <v>111</v>
      </c>
      <c r="F1418" t="s">
        <v>10334</v>
      </c>
      <c r="G1418" t="s">
        <v>10333</v>
      </c>
      <c r="H1418" t="s">
        <v>8495</v>
      </c>
      <c r="I1418" t="s">
        <v>13649</v>
      </c>
      <c r="J1418" t="s">
        <v>10334</v>
      </c>
      <c r="K1418" t="s">
        <v>8155</v>
      </c>
    </row>
    <row r="1419" spans="1:11" s="3" customFormat="1" x14ac:dyDescent="0.25">
      <c r="A1419" t="s">
        <v>10335</v>
      </c>
      <c r="B1419" t="s">
        <v>10336</v>
      </c>
      <c r="C1419" s="111"/>
      <c r="D1419" s="128"/>
      <c r="E1419">
        <v>2035</v>
      </c>
      <c r="F1419" t="s">
        <v>10337</v>
      </c>
      <c r="G1419" t="s">
        <v>10336</v>
      </c>
      <c r="H1419" t="s">
        <v>8495</v>
      </c>
      <c r="I1419" t="s">
        <v>10336</v>
      </c>
      <c r="J1419" t="s">
        <v>10337</v>
      </c>
      <c r="K1419" t="s">
        <v>8176</v>
      </c>
    </row>
    <row r="1420" spans="1:11" s="3" customFormat="1" x14ac:dyDescent="0.25">
      <c r="A1420" t="s">
        <v>10338</v>
      </c>
      <c r="B1420" t="s">
        <v>10339</v>
      </c>
      <c r="C1420" s="111"/>
      <c r="D1420" s="128"/>
      <c r="E1420">
        <v>61</v>
      </c>
      <c r="F1420" t="s">
        <v>10340</v>
      </c>
      <c r="G1420" t="s">
        <v>10339</v>
      </c>
      <c r="H1420" t="s">
        <v>8495</v>
      </c>
      <c r="I1420" t="s">
        <v>10339</v>
      </c>
      <c r="J1420" t="s">
        <v>10340</v>
      </c>
      <c r="K1420" t="s">
        <v>8176</v>
      </c>
    </row>
    <row r="1421" spans="1:11" s="3" customFormat="1" x14ac:dyDescent="0.25">
      <c r="A1421" t="s">
        <v>10341</v>
      </c>
      <c r="B1421" t="s">
        <v>10342</v>
      </c>
      <c r="C1421" s="111"/>
      <c r="D1421" s="128"/>
      <c r="E1421">
        <v>199</v>
      </c>
      <c r="F1421" t="s">
        <v>10343</v>
      </c>
      <c r="G1421" t="s">
        <v>10342</v>
      </c>
      <c r="H1421" t="s">
        <v>8495</v>
      </c>
      <c r="I1421" t="s">
        <v>10342</v>
      </c>
      <c r="J1421" t="s">
        <v>10343</v>
      </c>
      <c r="K1421" t="s">
        <v>13266</v>
      </c>
    </row>
    <row r="1422" spans="1:11" s="3" customFormat="1" x14ac:dyDescent="0.25">
      <c r="A1422" t="s">
        <v>10344</v>
      </c>
      <c r="B1422" t="s">
        <v>10345</v>
      </c>
      <c r="C1422" s="111"/>
      <c r="D1422" s="128"/>
      <c r="E1422">
        <v>495</v>
      </c>
      <c r="F1422" t="s">
        <v>10346</v>
      </c>
      <c r="G1422" t="s">
        <v>10345</v>
      </c>
      <c r="H1422" t="s">
        <v>8495</v>
      </c>
      <c r="I1422" t="s">
        <v>10345</v>
      </c>
      <c r="J1422" t="s">
        <v>10346</v>
      </c>
      <c r="K1422" t="s">
        <v>8155</v>
      </c>
    </row>
    <row r="1423" spans="1:11" s="3" customFormat="1" x14ac:dyDescent="0.25">
      <c r="A1423" t="s">
        <v>10347</v>
      </c>
      <c r="B1423" t="s">
        <v>10348</v>
      </c>
      <c r="C1423" s="111"/>
      <c r="D1423" s="128"/>
      <c r="E1423">
        <v>46</v>
      </c>
      <c r="F1423" t="s">
        <v>10350</v>
      </c>
      <c r="G1423" t="s">
        <v>10349</v>
      </c>
      <c r="H1423" t="s">
        <v>8495</v>
      </c>
      <c r="I1423" t="s">
        <v>10348</v>
      </c>
      <c r="J1423" t="s">
        <v>10350</v>
      </c>
      <c r="K1423" t="s">
        <v>13273</v>
      </c>
    </row>
    <row r="1424" spans="1:11" s="3" customFormat="1" x14ac:dyDescent="0.25">
      <c r="A1424" t="s">
        <v>10351</v>
      </c>
      <c r="B1424" t="s">
        <v>10352</v>
      </c>
      <c r="C1424" s="111"/>
      <c r="D1424" s="128"/>
      <c r="E1424">
        <v>505</v>
      </c>
      <c r="F1424" t="s">
        <v>10353</v>
      </c>
      <c r="G1424" t="s">
        <v>10352</v>
      </c>
      <c r="H1424" t="s">
        <v>8495</v>
      </c>
      <c r="I1424" t="s">
        <v>10352</v>
      </c>
      <c r="J1424" t="s">
        <v>10353</v>
      </c>
      <c r="K1424" t="s">
        <v>10184</v>
      </c>
    </row>
    <row r="1425" spans="1:11" s="3" customFormat="1" x14ac:dyDescent="0.25">
      <c r="A1425" t="s">
        <v>10354</v>
      </c>
      <c r="B1425" t="s">
        <v>10355</v>
      </c>
      <c r="C1425" s="111"/>
      <c r="D1425" s="128"/>
      <c r="E1425">
        <v>905</v>
      </c>
      <c r="F1425" t="s">
        <v>10356</v>
      </c>
      <c r="G1425" t="s">
        <v>10355</v>
      </c>
      <c r="H1425" t="s">
        <v>8495</v>
      </c>
      <c r="I1425" t="s">
        <v>10355</v>
      </c>
      <c r="J1425" t="s">
        <v>10356</v>
      </c>
      <c r="K1425" t="s">
        <v>10289</v>
      </c>
    </row>
    <row r="1426" spans="1:11" s="3" customFormat="1" x14ac:dyDescent="0.25">
      <c r="A1426" t="s">
        <v>10357</v>
      </c>
      <c r="B1426" t="s">
        <v>10358</v>
      </c>
      <c r="C1426" s="111"/>
      <c r="D1426" s="128"/>
      <c r="E1426">
        <v>745</v>
      </c>
      <c r="F1426" t="s">
        <v>10359</v>
      </c>
      <c r="G1426" t="s">
        <v>10358</v>
      </c>
      <c r="H1426" t="s">
        <v>8495</v>
      </c>
      <c r="I1426" t="s">
        <v>10358</v>
      </c>
      <c r="J1426" t="s">
        <v>10359</v>
      </c>
      <c r="K1426" t="s">
        <v>13268</v>
      </c>
    </row>
    <row r="1427" spans="1:11" s="3" customFormat="1" x14ac:dyDescent="0.25">
      <c r="A1427" t="s">
        <v>10360</v>
      </c>
      <c r="B1427" t="s">
        <v>10361</v>
      </c>
      <c r="C1427" s="111"/>
      <c r="D1427" s="128"/>
      <c r="E1427">
        <v>299</v>
      </c>
      <c r="F1427" t="s">
        <v>10362</v>
      </c>
      <c r="G1427" t="s">
        <v>10361</v>
      </c>
      <c r="H1427" t="s">
        <v>8495</v>
      </c>
      <c r="I1427" t="s">
        <v>10361</v>
      </c>
      <c r="J1427" t="s">
        <v>10362</v>
      </c>
      <c r="K1427" t="s">
        <v>11642</v>
      </c>
    </row>
    <row r="1428" spans="1:11" s="3" customFormat="1" x14ac:dyDescent="0.25">
      <c r="A1428" t="s">
        <v>10363</v>
      </c>
      <c r="B1428" t="s">
        <v>10364</v>
      </c>
      <c r="C1428" s="111"/>
      <c r="D1428" s="128"/>
      <c r="E1428">
        <v>0</v>
      </c>
      <c r="F1428" t="s">
        <v>10366</v>
      </c>
      <c r="G1428" t="s">
        <v>13980</v>
      </c>
      <c r="H1428" t="s">
        <v>8495</v>
      </c>
      <c r="I1428" t="s">
        <v>10364</v>
      </c>
      <c r="J1428" t="s">
        <v>10366</v>
      </c>
      <c r="K1428" t="s">
        <v>13274</v>
      </c>
    </row>
    <row r="1429" spans="1:11" s="3" customFormat="1" x14ac:dyDescent="0.25">
      <c r="A1429" t="s">
        <v>10367</v>
      </c>
      <c r="B1429" t="s">
        <v>13965</v>
      </c>
      <c r="C1429" s="111"/>
      <c r="D1429" s="128"/>
      <c r="E1429">
        <v>518</v>
      </c>
      <c r="F1429" t="s">
        <v>10369</v>
      </c>
      <c r="G1429" t="s">
        <v>13965</v>
      </c>
      <c r="H1429" t="s">
        <v>8495</v>
      </c>
      <c r="I1429" t="s">
        <v>13965</v>
      </c>
      <c r="J1429" t="s">
        <v>10369</v>
      </c>
      <c r="K1429" t="s">
        <v>9803</v>
      </c>
    </row>
    <row r="1430" spans="1:11" s="3" customFormat="1" x14ac:dyDescent="0.25">
      <c r="A1430" t="s">
        <v>10370</v>
      </c>
      <c r="B1430" t="s">
        <v>10371</v>
      </c>
      <c r="C1430" s="111"/>
      <c r="D1430" s="128"/>
      <c r="E1430">
        <v>624</v>
      </c>
      <c r="F1430" t="s">
        <v>10372</v>
      </c>
      <c r="G1430" t="s">
        <v>10371</v>
      </c>
      <c r="H1430" t="s">
        <v>8495</v>
      </c>
      <c r="I1430" t="s">
        <v>10371</v>
      </c>
      <c r="J1430" t="s">
        <v>10372</v>
      </c>
      <c r="K1430" t="s">
        <v>10371</v>
      </c>
    </row>
    <row r="1431" spans="1:11" s="3" customFormat="1" x14ac:dyDescent="0.25">
      <c r="A1431" t="s">
        <v>10373</v>
      </c>
      <c r="B1431" t="s">
        <v>10374</v>
      </c>
      <c r="C1431" s="111"/>
      <c r="D1431" s="128"/>
      <c r="E1431">
        <v>484</v>
      </c>
      <c r="F1431" t="s">
        <v>10375</v>
      </c>
      <c r="G1431" t="s">
        <v>10371</v>
      </c>
      <c r="H1431" t="s">
        <v>8495</v>
      </c>
      <c r="I1431" t="s">
        <v>10374</v>
      </c>
      <c r="J1431" t="s">
        <v>10375</v>
      </c>
      <c r="K1431" t="s">
        <v>10371</v>
      </c>
    </row>
    <row r="1432" spans="1:11" s="3" customFormat="1" x14ac:dyDescent="0.25">
      <c r="A1432" t="s">
        <v>10376</v>
      </c>
      <c r="B1432" t="s">
        <v>10377</v>
      </c>
      <c r="C1432" s="111"/>
      <c r="D1432" s="128"/>
      <c r="E1432">
        <v>1982</v>
      </c>
      <c r="F1432" t="s">
        <v>10378</v>
      </c>
      <c r="G1432" t="s">
        <v>10371</v>
      </c>
      <c r="H1432" t="s">
        <v>8495</v>
      </c>
      <c r="I1432" t="s">
        <v>10377</v>
      </c>
      <c r="J1432" t="s">
        <v>10378</v>
      </c>
      <c r="K1432" t="s">
        <v>10371</v>
      </c>
    </row>
    <row r="1433" spans="1:11" s="3" customFormat="1" x14ac:dyDescent="0.25">
      <c r="A1433" t="s">
        <v>10379</v>
      </c>
      <c r="B1433" t="s">
        <v>10380</v>
      </c>
      <c r="C1433" s="111"/>
      <c r="D1433" s="128"/>
      <c r="E1433">
        <v>1044</v>
      </c>
      <c r="F1433" t="s">
        <v>10381</v>
      </c>
      <c r="G1433" t="s">
        <v>10371</v>
      </c>
      <c r="H1433" t="s">
        <v>8495</v>
      </c>
      <c r="I1433" t="s">
        <v>10380</v>
      </c>
      <c r="J1433" t="s">
        <v>10381</v>
      </c>
      <c r="K1433" t="s">
        <v>10371</v>
      </c>
    </row>
    <row r="1434" spans="1:11" s="3" customFormat="1" x14ac:dyDescent="0.25">
      <c r="A1434" t="s">
        <v>10382</v>
      </c>
      <c r="B1434" t="s">
        <v>10383</v>
      </c>
      <c r="C1434" s="111"/>
      <c r="D1434" s="128"/>
      <c r="E1434">
        <v>151</v>
      </c>
      <c r="F1434" t="s">
        <v>10384</v>
      </c>
      <c r="G1434" t="s">
        <v>10383</v>
      </c>
      <c r="H1434" t="s">
        <v>8495</v>
      </c>
      <c r="I1434" t="s">
        <v>10383</v>
      </c>
      <c r="J1434" t="s">
        <v>10384</v>
      </c>
      <c r="K1434" t="s">
        <v>10371</v>
      </c>
    </row>
    <row r="1435" spans="1:11" s="3" customFormat="1" x14ac:dyDescent="0.25">
      <c r="A1435" t="s">
        <v>10385</v>
      </c>
      <c r="B1435" t="s">
        <v>10386</v>
      </c>
      <c r="C1435" s="111"/>
      <c r="D1435" s="128"/>
      <c r="E1435">
        <v>178</v>
      </c>
      <c r="F1435" t="s">
        <v>10387</v>
      </c>
      <c r="G1435" t="s">
        <v>10386</v>
      </c>
      <c r="H1435" t="s">
        <v>8495</v>
      </c>
      <c r="I1435" t="s">
        <v>10386</v>
      </c>
      <c r="J1435" t="s">
        <v>10387</v>
      </c>
      <c r="K1435" t="s">
        <v>10371</v>
      </c>
    </row>
    <row r="1436" spans="1:11" s="3" customFormat="1" x14ac:dyDescent="0.25">
      <c r="A1436" t="s">
        <v>10388</v>
      </c>
      <c r="B1436" t="s">
        <v>10389</v>
      </c>
      <c r="C1436" s="111"/>
      <c r="D1436" s="128"/>
      <c r="E1436">
        <v>110</v>
      </c>
      <c r="F1436" t="s">
        <v>10391</v>
      </c>
      <c r="G1436" t="s">
        <v>10390</v>
      </c>
      <c r="H1436" t="s">
        <v>8495</v>
      </c>
      <c r="I1436" t="s">
        <v>10389</v>
      </c>
      <c r="J1436" t="s">
        <v>10391</v>
      </c>
      <c r="K1436" t="s">
        <v>13275</v>
      </c>
    </row>
    <row r="1437" spans="1:11" s="3" customFormat="1" x14ac:dyDescent="0.25">
      <c r="A1437" t="s">
        <v>10392</v>
      </c>
      <c r="B1437" t="s">
        <v>10393</v>
      </c>
      <c r="C1437" s="111"/>
      <c r="D1437" s="128"/>
      <c r="E1437">
        <v>698</v>
      </c>
      <c r="F1437" t="s">
        <v>10394</v>
      </c>
      <c r="G1437" t="s">
        <v>10393</v>
      </c>
      <c r="H1437" t="s">
        <v>8495</v>
      </c>
      <c r="I1437" t="s">
        <v>10393</v>
      </c>
      <c r="J1437" t="s">
        <v>10394</v>
      </c>
      <c r="K1437" t="s">
        <v>10536</v>
      </c>
    </row>
    <row r="1438" spans="1:11" s="3" customFormat="1" x14ac:dyDescent="0.25">
      <c r="A1438" t="s">
        <v>10395</v>
      </c>
      <c r="B1438" t="s">
        <v>10396</v>
      </c>
      <c r="C1438" s="111"/>
      <c r="D1438" s="128"/>
      <c r="E1438">
        <v>1053</v>
      </c>
      <c r="F1438" t="s">
        <v>10397</v>
      </c>
      <c r="G1438" t="s">
        <v>10396</v>
      </c>
      <c r="H1438" t="s">
        <v>8495</v>
      </c>
      <c r="I1438" t="s">
        <v>10396</v>
      </c>
      <c r="J1438" t="s">
        <v>10397</v>
      </c>
      <c r="K1438" t="s">
        <v>10536</v>
      </c>
    </row>
    <row r="1439" spans="1:11" s="3" customFormat="1" x14ac:dyDescent="0.25">
      <c r="A1439" t="s">
        <v>10398</v>
      </c>
      <c r="B1439" t="s">
        <v>10399</v>
      </c>
      <c r="C1439" s="111"/>
      <c r="D1439" s="128"/>
      <c r="E1439">
        <v>684</v>
      </c>
      <c r="F1439" t="s">
        <v>10400</v>
      </c>
      <c r="G1439" t="s">
        <v>10399</v>
      </c>
      <c r="H1439" t="s">
        <v>8495</v>
      </c>
      <c r="I1439" t="s">
        <v>10399</v>
      </c>
      <c r="J1439" t="s">
        <v>10400</v>
      </c>
      <c r="K1439" t="s">
        <v>7967</v>
      </c>
    </row>
    <row r="1440" spans="1:11" s="3" customFormat="1" x14ac:dyDescent="0.25">
      <c r="A1440" t="s">
        <v>10401</v>
      </c>
      <c r="B1440" t="s">
        <v>8156</v>
      </c>
      <c r="C1440" s="111"/>
      <c r="D1440" s="128"/>
      <c r="E1440">
        <v>1104</v>
      </c>
      <c r="F1440" t="s">
        <v>10402</v>
      </c>
      <c r="G1440" t="s">
        <v>8156</v>
      </c>
      <c r="H1440" t="s">
        <v>8495</v>
      </c>
      <c r="I1440" t="s">
        <v>8156</v>
      </c>
      <c r="J1440" t="s">
        <v>10402</v>
      </c>
      <c r="K1440" t="s">
        <v>13276</v>
      </c>
    </row>
    <row r="1441" spans="1:11" s="3" customFormat="1" x14ac:dyDescent="0.25">
      <c r="A1441" t="s">
        <v>10403</v>
      </c>
      <c r="B1441" t="s">
        <v>10404</v>
      </c>
      <c r="C1441" s="111"/>
      <c r="D1441" s="128"/>
      <c r="E1441">
        <v>107</v>
      </c>
      <c r="F1441" t="s">
        <v>10405</v>
      </c>
      <c r="G1441" t="s">
        <v>10404</v>
      </c>
      <c r="H1441" t="s">
        <v>8495</v>
      </c>
      <c r="I1441" t="s">
        <v>10404</v>
      </c>
      <c r="J1441" t="s">
        <v>10405</v>
      </c>
      <c r="K1441" t="s">
        <v>12131</v>
      </c>
    </row>
    <row r="1442" spans="1:11" s="3" customFormat="1" x14ac:dyDescent="0.25">
      <c r="A1442" t="s">
        <v>10406</v>
      </c>
      <c r="B1442" t="s">
        <v>10407</v>
      </c>
      <c r="C1442" s="111"/>
      <c r="D1442" s="128"/>
      <c r="E1442">
        <v>599</v>
      </c>
      <c r="F1442" t="s">
        <v>10408</v>
      </c>
      <c r="G1442" t="s">
        <v>10407</v>
      </c>
      <c r="H1442" t="s">
        <v>8495</v>
      </c>
      <c r="I1442" t="s">
        <v>10407</v>
      </c>
      <c r="J1442" t="s">
        <v>10408</v>
      </c>
      <c r="K1442" t="s">
        <v>12131</v>
      </c>
    </row>
    <row r="1443" spans="1:11" s="3" customFormat="1" x14ac:dyDescent="0.25">
      <c r="A1443" t="s">
        <v>10409</v>
      </c>
      <c r="B1443" t="s">
        <v>10410</v>
      </c>
      <c r="C1443" s="111"/>
      <c r="D1443" s="128"/>
      <c r="E1443">
        <v>110</v>
      </c>
      <c r="F1443" t="s">
        <v>10411</v>
      </c>
      <c r="G1443" t="s">
        <v>10410</v>
      </c>
      <c r="H1443" t="s">
        <v>8495</v>
      </c>
      <c r="I1443" t="s">
        <v>10410</v>
      </c>
      <c r="J1443" t="s">
        <v>10411</v>
      </c>
      <c r="K1443" t="s">
        <v>10371</v>
      </c>
    </row>
    <row r="1444" spans="1:11" s="3" customFormat="1" x14ac:dyDescent="0.25">
      <c r="A1444" t="s">
        <v>10412</v>
      </c>
      <c r="B1444" t="s">
        <v>10413</v>
      </c>
      <c r="C1444" s="111"/>
      <c r="D1444" s="128"/>
      <c r="E1444">
        <v>945</v>
      </c>
      <c r="F1444" t="s">
        <v>10414</v>
      </c>
      <c r="G1444" t="s">
        <v>10413</v>
      </c>
      <c r="H1444" t="s">
        <v>8495</v>
      </c>
      <c r="I1444" t="s">
        <v>10413</v>
      </c>
      <c r="J1444" t="s">
        <v>10414</v>
      </c>
      <c r="K1444" t="s">
        <v>10536</v>
      </c>
    </row>
    <row r="1445" spans="1:11" s="3" customFormat="1" x14ac:dyDescent="0.25">
      <c r="A1445" t="s">
        <v>10415</v>
      </c>
      <c r="B1445" t="s">
        <v>10416</v>
      </c>
      <c r="C1445" s="111"/>
      <c r="D1445" s="128"/>
      <c r="E1445">
        <v>99</v>
      </c>
      <c r="F1445" t="s">
        <v>10417</v>
      </c>
      <c r="G1445" t="s">
        <v>10416</v>
      </c>
      <c r="H1445" t="s">
        <v>8495</v>
      </c>
      <c r="I1445" t="s">
        <v>10416</v>
      </c>
      <c r="J1445" t="s">
        <v>10417</v>
      </c>
      <c r="K1445" t="s">
        <v>12131</v>
      </c>
    </row>
    <row r="1446" spans="1:11" s="3" customFormat="1" x14ac:dyDescent="0.25">
      <c r="A1446" t="s">
        <v>10418</v>
      </c>
      <c r="B1446" t="s">
        <v>10419</v>
      </c>
      <c r="C1446" s="111"/>
      <c r="D1446" s="128"/>
      <c r="E1446">
        <v>235</v>
      </c>
      <c r="F1446" t="s">
        <v>10420</v>
      </c>
      <c r="G1446" t="s">
        <v>10419</v>
      </c>
      <c r="H1446" t="s">
        <v>8495</v>
      </c>
      <c r="I1446" t="s">
        <v>10419</v>
      </c>
      <c r="J1446" t="s">
        <v>10420</v>
      </c>
      <c r="K1446" t="s">
        <v>7967</v>
      </c>
    </row>
    <row r="1447" spans="1:11" s="3" customFormat="1" x14ac:dyDescent="0.25">
      <c r="A1447" t="s">
        <v>10421</v>
      </c>
      <c r="B1447" t="s">
        <v>10422</v>
      </c>
      <c r="C1447" s="111"/>
      <c r="D1447" s="128"/>
      <c r="E1447">
        <v>460</v>
      </c>
      <c r="F1447" t="s">
        <v>10423</v>
      </c>
      <c r="G1447" t="s">
        <v>10422</v>
      </c>
      <c r="H1447" t="s">
        <v>8495</v>
      </c>
      <c r="I1447" t="s">
        <v>10422</v>
      </c>
      <c r="J1447" t="s">
        <v>10423</v>
      </c>
      <c r="K1447" t="s">
        <v>12131</v>
      </c>
    </row>
    <row r="1448" spans="1:11" s="3" customFormat="1" x14ac:dyDescent="0.25">
      <c r="A1448" t="s">
        <v>10424</v>
      </c>
      <c r="B1448" t="s">
        <v>10425</v>
      </c>
      <c r="C1448" s="111"/>
      <c r="D1448" s="128"/>
      <c r="E1448">
        <v>198</v>
      </c>
      <c r="F1448" t="s">
        <v>10426</v>
      </c>
      <c r="G1448" t="s">
        <v>10425</v>
      </c>
      <c r="H1448" t="s">
        <v>8495</v>
      </c>
      <c r="I1448" t="s">
        <v>10425</v>
      </c>
      <c r="J1448" t="s">
        <v>10426</v>
      </c>
      <c r="K1448" t="s">
        <v>10371</v>
      </c>
    </row>
    <row r="1449" spans="1:11" s="3" customFormat="1" x14ac:dyDescent="0.25">
      <c r="A1449" t="s">
        <v>10427</v>
      </c>
      <c r="B1449" t="s">
        <v>10428</v>
      </c>
      <c r="C1449" s="111"/>
      <c r="D1449" s="128"/>
      <c r="E1449">
        <v>470</v>
      </c>
      <c r="F1449" t="s">
        <v>10429</v>
      </c>
      <c r="G1449" t="s">
        <v>10428</v>
      </c>
      <c r="H1449" t="s">
        <v>8495</v>
      </c>
      <c r="I1449" t="s">
        <v>10428</v>
      </c>
      <c r="J1449" t="s">
        <v>10429</v>
      </c>
      <c r="K1449" t="s">
        <v>10536</v>
      </c>
    </row>
    <row r="1450" spans="1:11" s="3" customFormat="1" x14ac:dyDescent="0.25">
      <c r="A1450" t="s">
        <v>10430</v>
      </c>
      <c r="B1450" t="s">
        <v>10431</v>
      </c>
      <c r="C1450" s="111"/>
      <c r="D1450" s="128"/>
      <c r="E1450">
        <v>840</v>
      </c>
      <c r="F1450" t="s">
        <v>10432</v>
      </c>
      <c r="G1450" t="s">
        <v>10431</v>
      </c>
      <c r="H1450" t="s">
        <v>8495</v>
      </c>
      <c r="I1450" t="s">
        <v>10431</v>
      </c>
      <c r="J1450" t="s">
        <v>10432</v>
      </c>
      <c r="K1450" t="s">
        <v>10536</v>
      </c>
    </row>
    <row r="1451" spans="1:11" s="3" customFormat="1" x14ac:dyDescent="0.25">
      <c r="A1451" t="s">
        <v>10433</v>
      </c>
      <c r="B1451" t="s">
        <v>10434</v>
      </c>
      <c r="C1451" s="111"/>
      <c r="D1451" s="128"/>
      <c r="E1451">
        <v>137</v>
      </c>
      <c r="F1451" t="s">
        <v>10435</v>
      </c>
      <c r="G1451" t="s">
        <v>10434</v>
      </c>
      <c r="H1451" t="s">
        <v>8495</v>
      </c>
      <c r="I1451" t="s">
        <v>10434</v>
      </c>
      <c r="J1451" t="s">
        <v>10435</v>
      </c>
      <c r="K1451" t="s">
        <v>10459</v>
      </c>
    </row>
    <row r="1452" spans="1:11" s="3" customFormat="1" x14ac:dyDescent="0.25">
      <c r="A1452" t="s">
        <v>10436</v>
      </c>
      <c r="B1452" t="s">
        <v>10437</v>
      </c>
      <c r="C1452" s="111"/>
      <c r="D1452" s="128"/>
      <c r="E1452">
        <v>163</v>
      </c>
      <c r="F1452" t="s">
        <v>10438</v>
      </c>
      <c r="G1452" t="s">
        <v>10437</v>
      </c>
      <c r="H1452" t="s">
        <v>8495</v>
      </c>
      <c r="I1452" t="s">
        <v>10437</v>
      </c>
      <c r="J1452" t="s">
        <v>10438</v>
      </c>
      <c r="K1452" t="s">
        <v>13269</v>
      </c>
    </row>
    <row r="1453" spans="1:11" s="3" customFormat="1" x14ac:dyDescent="0.25">
      <c r="A1453" t="s">
        <v>10439</v>
      </c>
      <c r="B1453" t="s">
        <v>10440</v>
      </c>
      <c r="C1453" s="111"/>
      <c r="D1453" s="128"/>
      <c r="E1453">
        <v>391</v>
      </c>
      <c r="F1453" t="s">
        <v>10441</v>
      </c>
      <c r="G1453" t="s">
        <v>10440</v>
      </c>
      <c r="H1453" t="s">
        <v>8495</v>
      </c>
      <c r="I1453" t="s">
        <v>10440</v>
      </c>
      <c r="J1453" t="s">
        <v>10441</v>
      </c>
      <c r="K1453" t="s">
        <v>10371</v>
      </c>
    </row>
    <row r="1454" spans="1:11" s="3" customFormat="1" x14ac:dyDescent="0.25">
      <c r="A1454" t="s">
        <v>10442</v>
      </c>
      <c r="B1454" t="s">
        <v>10443</v>
      </c>
      <c r="C1454" s="111"/>
      <c r="D1454" s="128"/>
      <c r="E1454">
        <v>470</v>
      </c>
      <c r="F1454" t="s">
        <v>10444</v>
      </c>
      <c r="G1454" t="s">
        <v>10443</v>
      </c>
      <c r="H1454" t="s">
        <v>8495</v>
      </c>
      <c r="I1454" t="s">
        <v>10443</v>
      </c>
      <c r="J1454" t="s">
        <v>10444</v>
      </c>
      <c r="K1454" t="s">
        <v>7967</v>
      </c>
    </row>
    <row r="1455" spans="1:11" s="3" customFormat="1" x14ac:dyDescent="0.25">
      <c r="A1455" t="s">
        <v>10445</v>
      </c>
      <c r="B1455" t="s">
        <v>10446</v>
      </c>
      <c r="C1455" s="111"/>
      <c r="D1455" s="128"/>
      <c r="E1455">
        <v>370</v>
      </c>
      <c r="F1455" t="s">
        <v>10447</v>
      </c>
      <c r="G1455" t="s">
        <v>10446</v>
      </c>
      <c r="H1455" t="s">
        <v>8495</v>
      </c>
      <c r="I1455" t="s">
        <v>10446</v>
      </c>
      <c r="J1455" t="s">
        <v>10447</v>
      </c>
      <c r="K1455" t="s">
        <v>10536</v>
      </c>
    </row>
    <row r="1456" spans="1:11" s="3" customFormat="1" x14ac:dyDescent="0.25">
      <c r="A1456" t="s">
        <v>10448</v>
      </c>
      <c r="B1456" t="s">
        <v>10449</v>
      </c>
      <c r="C1456" s="111"/>
      <c r="D1456" s="128"/>
      <c r="E1456">
        <v>754</v>
      </c>
      <c r="F1456" t="s">
        <v>10450</v>
      </c>
      <c r="G1456" t="s">
        <v>10449</v>
      </c>
      <c r="H1456" t="s">
        <v>8495</v>
      </c>
      <c r="I1456" t="s">
        <v>10449</v>
      </c>
      <c r="J1456" t="s">
        <v>10450</v>
      </c>
      <c r="K1456" t="s">
        <v>13275</v>
      </c>
    </row>
    <row r="1457" spans="1:11" s="3" customFormat="1" x14ac:dyDescent="0.25">
      <c r="A1457" t="s">
        <v>10451</v>
      </c>
      <c r="B1457" t="s">
        <v>10452</v>
      </c>
      <c r="C1457" s="111"/>
      <c r="D1457" s="128"/>
      <c r="E1457">
        <v>205</v>
      </c>
      <c r="F1457" t="s">
        <v>10453</v>
      </c>
      <c r="G1457" t="s">
        <v>10452</v>
      </c>
      <c r="H1457" t="s">
        <v>8495</v>
      </c>
      <c r="I1457" t="s">
        <v>10452</v>
      </c>
      <c r="J1457" t="s">
        <v>10453</v>
      </c>
      <c r="K1457" t="s">
        <v>13275</v>
      </c>
    </row>
    <row r="1458" spans="1:11" s="3" customFormat="1" x14ac:dyDescent="0.25">
      <c r="A1458" t="s">
        <v>10454</v>
      </c>
      <c r="B1458" t="s">
        <v>10455</v>
      </c>
      <c r="C1458" s="111"/>
      <c r="D1458" s="128"/>
      <c r="E1458">
        <v>200</v>
      </c>
      <c r="F1458" t="s">
        <v>10457</v>
      </c>
      <c r="G1458" t="s">
        <v>10455</v>
      </c>
      <c r="H1458" t="s">
        <v>8495</v>
      </c>
      <c r="I1458" t="s">
        <v>10455</v>
      </c>
      <c r="J1458" t="s">
        <v>10457</v>
      </c>
      <c r="K1458" t="s">
        <v>13986</v>
      </c>
    </row>
    <row r="1459" spans="1:11" s="3" customFormat="1" x14ac:dyDescent="0.25">
      <c r="A1459" t="s">
        <v>10458</v>
      </c>
      <c r="B1459" t="s">
        <v>10459</v>
      </c>
      <c r="C1459" s="111"/>
      <c r="D1459" s="128"/>
      <c r="E1459">
        <v>403</v>
      </c>
      <c r="F1459" t="s">
        <v>10460</v>
      </c>
      <c r="G1459" t="s">
        <v>10459</v>
      </c>
      <c r="H1459" t="s">
        <v>8495</v>
      </c>
      <c r="I1459" t="s">
        <v>10459</v>
      </c>
      <c r="J1459" t="s">
        <v>10460</v>
      </c>
      <c r="K1459" t="s">
        <v>10536</v>
      </c>
    </row>
    <row r="1460" spans="1:11" s="3" customFormat="1" x14ac:dyDescent="0.25">
      <c r="A1460" t="s">
        <v>10461</v>
      </c>
      <c r="B1460" t="s">
        <v>10462</v>
      </c>
      <c r="C1460" s="111"/>
      <c r="D1460" s="128"/>
      <c r="E1460">
        <v>130</v>
      </c>
      <c r="F1460" t="s">
        <v>10465</v>
      </c>
      <c r="G1460" t="s">
        <v>10464</v>
      </c>
      <c r="H1460" t="s">
        <v>8495</v>
      </c>
      <c r="I1460" t="s">
        <v>10462</v>
      </c>
      <c r="J1460" t="s">
        <v>10465</v>
      </c>
      <c r="K1460" t="s">
        <v>10371</v>
      </c>
    </row>
    <row r="1461" spans="1:11" s="3" customFormat="1" x14ac:dyDescent="0.25">
      <c r="A1461" t="s">
        <v>10466</v>
      </c>
      <c r="B1461" t="s">
        <v>10467</v>
      </c>
      <c r="C1461" s="111"/>
      <c r="D1461" s="128"/>
      <c r="E1461">
        <v>297</v>
      </c>
      <c r="F1461" t="s">
        <v>10469</v>
      </c>
      <c r="G1461" t="s">
        <v>10468</v>
      </c>
      <c r="H1461" t="s">
        <v>8495</v>
      </c>
      <c r="I1461" t="s">
        <v>10467</v>
      </c>
      <c r="J1461" t="s">
        <v>10469</v>
      </c>
      <c r="K1461" t="s">
        <v>10536</v>
      </c>
    </row>
    <row r="1462" spans="1:11" s="3" customFormat="1" x14ac:dyDescent="0.25">
      <c r="A1462" t="s">
        <v>10470</v>
      </c>
      <c r="B1462" t="s">
        <v>10471</v>
      </c>
      <c r="C1462" s="111"/>
      <c r="D1462" s="128"/>
      <c r="E1462">
        <v>316</v>
      </c>
      <c r="F1462" t="s">
        <v>10472</v>
      </c>
      <c r="G1462" t="s">
        <v>10471</v>
      </c>
      <c r="H1462" t="s">
        <v>8495</v>
      </c>
      <c r="I1462" t="s">
        <v>10471</v>
      </c>
      <c r="J1462" t="s">
        <v>10472</v>
      </c>
      <c r="K1462" t="s">
        <v>13276</v>
      </c>
    </row>
    <row r="1463" spans="1:11" s="3" customFormat="1" x14ac:dyDescent="0.25">
      <c r="A1463" t="s">
        <v>10473</v>
      </c>
      <c r="B1463" t="s">
        <v>10474</v>
      </c>
      <c r="C1463" s="111"/>
      <c r="D1463" s="128"/>
      <c r="E1463">
        <v>0</v>
      </c>
      <c r="F1463" t="s">
        <v>10475</v>
      </c>
      <c r="G1463" t="s">
        <v>10474</v>
      </c>
      <c r="H1463" t="s">
        <v>8495</v>
      </c>
      <c r="I1463" t="s">
        <v>10474</v>
      </c>
      <c r="J1463" t="s">
        <v>10475</v>
      </c>
      <c r="K1463" t="s">
        <v>10459</v>
      </c>
    </row>
    <row r="1464" spans="1:11" s="3" customFormat="1" x14ac:dyDescent="0.25">
      <c r="A1464" t="s">
        <v>10476</v>
      </c>
      <c r="B1464" t="s">
        <v>10477</v>
      </c>
      <c r="C1464" s="111"/>
      <c r="D1464" s="128"/>
      <c r="E1464"/>
      <c r="F1464" t="s">
        <v>10478</v>
      </c>
      <c r="G1464" t="s">
        <v>10477</v>
      </c>
      <c r="H1464" t="s">
        <v>8495</v>
      </c>
      <c r="I1464" t="s">
        <v>10477</v>
      </c>
      <c r="J1464" t="s">
        <v>10478</v>
      </c>
      <c r="K1464" t="s">
        <v>10371</v>
      </c>
    </row>
    <row r="1465" spans="1:11" s="3" customFormat="1" x14ac:dyDescent="0.25">
      <c r="A1465" t="s">
        <v>10479</v>
      </c>
      <c r="B1465" t="s">
        <v>10480</v>
      </c>
      <c r="C1465" s="111"/>
      <c r="D1465" s="128"/>
      <c r="E1465">
        <v>26</v>
      </c>
      <c r="F1465" t="s">
        <v>10481</v>
      </c>
      <c r="G1465" t="s">
        <v>10480</v>
      </c>
      <c r="H1465" t="s">
        <v>8495</v>
      </c>
      <c r="I1465" t="s">
        <v>10480</v>
      </c>
      <c r="J1465" t="s">
        <v>10481</v>
      </c>
      <c r="K1465" t="s">
        <v>10459</v>
      </c>
    </row>
    <row r="1466" spans="1:11" s="3" customFormat="1" x14ac:dyDescent="0.25">
      <c r="A1466" t="s">
        <v>10482</v>
      </c>
      <c r="B1466" t="s">
        <v>10483</v>
      </c>
      <c r="C1466" s="111"/>
      <c r="D1466" s="128"/>
      <c r="E1466">
        <v>485</v>
      </c>
      <c r="F1466" t="s">
        <v>10484</v>
      </c>
      <c r="G1466" t="s">
        <v>10483</v>
      </c>
      <c r="H1466" t="s">
        <v>8495</v>
      </c>
      <c r="I1466" t="s">
        <v>10483</v>
      </c>
      <c r="J1466" t="s">
        <v>10484</v>
      </c>
      <c r="K1466" t="s">
        <v>12131</v>
      </c>
    </row>
    <row r="1467" spans="1:11" s="3" customFormat="1" x14ac:dyDescent="0.25">
      <c r="A1467" t="s">
        <v>10485</v>
      </c>
      <c r="B1467" t="s">
        <v>10486</v>
      </c>
      <c r="C1467" s="111"/>
      <c r="D1467" s="128"/>
      <c r="E1467">
        <v>102</v>
      </c>
      <c r="F1467" t="s">
        <v>10487</v>
      </c>
      <c r="G1467" t="s">
        <v>10486</v>
      </c>
      <c r="H1467" t="s">
        <v>8495</v>
      </c>
      <c r="I1467" t="s">
        <v>10486</v>
      </c>
      <c r="J1467" t="s">
        <v>10487</v>
      </c>
      <c r="K1467" t="s">
        <v>10536</v>
      </c>
    </row>
    <row r="1468" spans="1:11" s="3" customFormat="1" x14ac:dyDescent="0.25">
      <c r="A1468" t="s">
        <v>10488</v>
      </c>
      <c r="B1468" t="s">
        <v>10489</v>
      </c>
      <c r="C1468" s="111"/>
      <c r="D1468" s="128"/>
      <c r="E1468">
        <v>50</v>
      </c>
      <c r="F1468" t="s">
        <v>10490</v>
      </c>
      <c r="G1468" t="s">
        <v>10489</v>
      </c>
      <c r="H1468" t="s">
        <v>8495</v>
      </c>
      <c r="I1468" t="s">
        <v>10489</v>
      </c>
      <c r="J1468" t="s">
        <v>10490</v>
      </c>
      <c r="K1468" t="s">
        <v>10536</v>
      </c>
    </row>
    <row r="1469" spans="1:11" s="3" customFormat="1" x14ac:dyDescent="0.25">
      <c r="A1469" t="s">
        <v>10491</v>
      </c>
      <c r="B1469" t="s">
        <v>10492</v>
      </c>
      <c r="C1469" s="111"/>
      <c r="D1469" s="128"/>
      <c r="E1469">
        <v>314</v>
      </c>
      <c r="F1469" t="s">
        <v>10493</v>
      </c>
      <c r="G1469" t="s">
        <v>10492</v>
      </c>
      <c r="H1469" t="s">
        <v>8495</v>
      </c>
      <c r="I1469" t="s">
        <v>10492</v>
      </c>
      <c r="J1469" t="s">
        <v>10493</v>
      </c>
      <c r="K1469" t="s">
        <v>10459</v>
      </c>
    </row>
    <row r="1470" spans="1:11" s="3" customFormat="1" x14ac:dyDescent="0.25">
      <c r="A1470" t="s">
        <v>10494</v>
      </c>
      <c r="B1470" t="s">
        <v>10495</v>
      </c>
      <c r="C1470" s="111"/>
      <c r="D1470" s="128"/>
      <c r="E1470">
        <v>202</v>
      </c>
      <c r="F1470" t="s">
        <v>10496</v>
      </c>
      <c r="G1470" t="s">
        <v>10495</v>
      </c>
      <c r="H1470" t="s">
        <v>8495</v>
      </c>
      <c r="I1470" t="s">
        <v>10495</v>
      </c>
      <c r="J1470" t="s">
        <v>10496</v>
      </c>
      <c r="K1470" t="s">
        <v>10459</v>
      </c>
    </row>
    <row r="1471" spans="1:11" s="3" customFormat="1" x14ac:dyDescent="0.25">
      <c r="A1471" t="s">
        <v>10497</v>
      </c>
      <c r="B1471" t="s">
        <v>10498</v>
      </c>
      <c r="C1471" s="111"/>
      <c r="D1471" s="128"/>
      <c r="E1471">
        <v>295</v>
      </c>
      <c r="F1471" t="s">
        <v>10499</v>
      </c>
      <c r="G1471" t="s">
        <v>10498</v>
      </c>
      <c r="H1471" t="s">
        <v>8495</v>
      </c>
      <c r="I1471" t="s">
        <v>10498</v>
      </c>
      <c r="J1471" t="s">
        <v>10499</v>
      </c>
      <c r="K1471" t="s">
        <v>12131</v>
      </c>
    </row>
    <row r="1472" spans="1:11" s="3" customFormat="1" x14ac:dyDescent="0.25">
      <c r="A1472" t="s">
        <v>10500</v>
      </c>
      <c r="B1472" t="s">
        <v>10501</v>
      </c>
      <c r="C1472" s="111"/>
      <c r="D1472" s="128"/>
      <c r="E1472">
        <v>373</v>
      </c>
      <c r="F1472" t="s">
        <v>10502</v>
      </c>
      <c r="G1472" t="s">
        <v>10501</v>
      </c>
      <c r="H1472" t="s">
        <v>8495</v>
      </c>
      <c r="I1472" t="s">
        <v>10501</v>
      </c>
      <c r="J1472" t="s">
        <v>10502</v>
      </c>
      <c r="K1472" t="s">
        <v>13276</v>
      </c>
    </row>
    <row r="1473" spans="1:11" s="3" customFormat="1" x14ac:dyDescent="0.25">
      <c r="A1473" t="s">
        <v>10503</v>
      </c>
      <c r="B1473" t="s">
        <v>10504</v>
      </c>
      <c r="C1473" s="111"/>
      <c r="D1473" s="128"/>
      <c r="E1473">
        <v>462</v>
      </c>
      <c r="F1473" t="s">
        <v>10505</v>
      </c>
      <c r="G1473" t="s">
        <v>10504</v>
      </c>
      <c r="H1473" t="s">
        <v>8495</v>
      </c>
      <c r="I1473" t="s">
        <v>10504</v>
      </c>
      <c r="J1473" t="s">
        <v>10505</v>
      </c>
      <c r="K1473" t="s">
        <v>13269</v>
      </c>
    </row>
    <row r="1474" spans="1:11" s="3" customFormat="1" x14ac:dyDescent="0.25">
      <c r="A1474" t="s">
        <v>10506</v>
      </c>
      <c r="B1474" t="s">
        <v>10507</v>
      </c>
      <c r="C1474" s="111"/>
      <c r="D1474" s="128"/>
      <c r="E1474">
        <v>99</v>
      </c>
      <c r="F1474" t="s">
        <v>10509</v>
      </c>
      <c r="G1474" t="s">
        <v>10507</v>
      </c>
      <c r="H1474" t="s">
        <v>8495</v>
      </c>
      <c r="I1474" t="s">
        <v>10507</v>
      </c>
      <c r="J1474" t="s">
        <v>10509</v>
      </c>
      <c r="K1474" t="s">
        <v>7967</v>
      </c>
    </row>
    <row r="1475" spans="1:11" s="3" customFormat="1" x14ac:dyDescent="0.25">
      <c r="A1475" t="s">
        <v>10510</v>
      </c>
      <c r="B1475" t="s">
        <v>10511</v>
      </c>
      <c r="C1475" s="111"/>
      <c r="D1475" s="128"/>
      <c r="E1475">
        <v>1</v>
      </c>
      <c r="F1475" t="s">
        <v>10512</v>
      </c>
      <c r="G1475" t="s">
        <v>10511</v>
      </c>
      <c r="H1475" t="s">
        <v>8495</v>
      </c>
      <c r="I1475" t="s">
        <v>10511</v>
      </c>
      <c r="J1475" t="s">
        <v>10512</v>
      </c>
      <c r="K1475" t="s">
        <v>13275</v>
      </c>
    </row>
    <row r="1476" spans="1:11" s="3" customFormat="1" x14ac:dyDescent="0.25">
      <c r="A1476" t="s">
        <v>10513</v>
      </c>
      <c r="B1476" t="s">
        <v>10514</v>
      </c>
      <c r="C1476" s="111"/>
      <c r="D1476" s="128"/>
      <c r="E1476">
        <v>494</v>
      </c>
      <c r="F1476" t="s">
        <v>10516</v>
      </c>
      <c r="G1476" t="s">
        <v>10514</v>
      </c>
      <c r="H1476" t="s">
        <v>8495</v>
      </c>
      <c r="I1476" t="s">
        <v>10514</v>
      </c>
      <c r="J1476" t="s">
        <v>10516</v>
      </c>
      <c r="K1476" t="s">
        <v>12131</v>
      </c>
    </row>
    <row r="1477" spans="1:11" s="3" customFormat="1" x14ac:dyDescent="0.25">
      <c r="A1477" t="s">
        <v>10517</v>
      </c>
      <c r="B1477" t="s">
        <v>10518</v>
      </c>
      <c r="C1477" s="111"/>
      <c r="D1477" s="128"/>
      <c r="E1477">
        <v>266</v>
      </c>
      <c r="F1477" t="s">
        <v>10519</v>
      </c>
      <c r="G1477" t="s">
        <v>10518</v>
      </c>
      <c r="H1477" t="s">
        <v>8495</v>
      </c>
      <c r="I1477" t="s">
        <v>10518</v>
      </c>
      <c r="J1477" t="s">
        <v>10519</v>
      </c>
      <c r="K1477" t="s">
        <v>13986</v>
      </c>
    </row>
    <row r="1478" spans="1:11" s="3" customFormat="1" x14ac:dyDescent="0.25">
      <c r="A1478" t="s">
        <v>10520</v>
      </c>
      <c r="B1478" t="s">
        <v>10521</v>
      </c>
      <c r="C1478" s="111"/>
      <c r="D1478" s="128"/>
      <c r="E1478">
        <v>751</v>
      </c>
      <c r="F1478" t="s">
        <v>10522</v>
      </c>
      <c r="G1478" t="s">
        <v>10521</v>
      </c>
      <c r="H1478" t="s">
        <v>8495</v>
      </c>
      <c r="I1478" t="s">
        <v>10521</v>
      </c>
      <c r="J1478" t="s">
        <v>10522</v>
      </c>
      <c r="K1478" t="s">
        <v>13276</v>
      </c>
    </row>
    <row r="1479" spans="1:11" s="3" customFormat="1" x14ac:dyDescent="0.25">
      <c r="A1479" t="s">
        <v>10523</v>
      </c>
      <c r="B1479" t="s">
        <v>10524</v>
      </c>
      <c r="C1479" s="111"/>
      <c r="D1479" s="128"/>
      <c r="E1479">
        <v>495</v>
      </c>
      <c r="F1479" t="s">
        <v>10525</v>
      </c>
      <c r="G1479" t="s">
        <v>10524</v>
      </c>
      <c r="H1479" t="s">
        <v>8495</v>
      </c>
      <c r="I1479" t="s">
        <v>10524</v>
      </c>
      <c r="J1479" t="s">
        <v>10525</v>
      </c>
      <c r="K1479" t="s">
        <v>10536</v>
      </c>
    </row>
    <row r="1480" spans="1:11" s="3" customFormat="1" x14ac:dyDescent="0.25">
      <c r="A1480" t="s">
        <v>10526</v>
      </c>
      <c r="B1480" t="s">
        <v>10527</v>
      </c>
      <c r="C1480" s="111"/>
      <c r="D1480" s="128"/>
      <c r="E1480">
        <v>598</v>
      </c>
      <c r="F1480" t="s">
        <v>10528</v>
      </c>
      <c r="G1480" t="s">
        <v>10527</v>
      </c>
      <c r="H1480" t="s">
        <v>8495</v>
      </c>
      <c r="I1480" t="s">
        <v>10527</v>
      </c>
      <c r="J1480" t="s">
        <v>10528</v>
      </c>
      <c r="K1480" t="s">
        <v>10536</v>
      </c>
    </row>
    <row r="1481" spans="1:11" s="3" customFormat="1" x14ac:dyDescent="0.25">
      <c r="A1481" t="s">
        <v>10529</v>
      </c>
      <c r="B1481" t="s">
        <v>10530</v>
      </c>
      <c r="C1481" s="111"/>
      <c r="D1481" s="128"/>
      <c r="E1481">
        <v>330</v>
      </c>
      <c r="F1481" t="s">
        <v>10531</v>
      </c>
      <c r="G1481" t="s">
        <v>10530</v>
      </c>
      <c r="H1481" t="s">
        <v>8495</v>
      </c>
      <c r="I1481" t="s">
        <v>10530</v>
      </c>
      <c r="J1481" t="s">
        <v>10531</v>
      </c>
      <c r="K1481" t="s">
        <v>13269</v>
      </c>
    </row>
    <row r="1482" spans="1:11" s="3" customFormat="1" x14ac:dyDescent="0.25">
      <c r="A1482" t="s">
        <v>10532</v>
      </c>
      <c r="B1482" t="s">
        <v>10533</v>
      </c>
      <c r="C1482" s="111"/>
      <c r="D1482" s="128"/>
      <c r="E1482">
        <v>174</v>
      </c>
      <c r="F1482" t="s">
        <v>10534</v>
      </c>
      <c r="G1482" t="s">
        <v>10533</v>
      </c>
      <c r="H1482" t="s">
        <v>8495</v>
      </c>
      <c r="I1482" t="s">
        <v>10533</v>
      </c>
      <c r="J1482" t="s">
        <v>10534</v>
      </c>
      <c r="K1482" t="s">
        <v>10371</v>
      </c>
    </row>
    <row r="1483" spans="1:11" s="3" customFormat="1" x14ac:dyDescent="0.25">
      <c r="A1483" t="s">
        <v>10535</v>
      </c>
      <c r="B1483" t="s">
        <v>10536</v>
      </c>
      <c r="C1483" s="111"/>
      <c r="D1483" s="128"/>
      <c r="E1483">
        <v>352</v>
      </c>
      <c r="F1483" t="s">
        <v>10537</v>
      </c>
      <c r="G1483" t="s">
        <v>10536</v>
      </c>
      <c r="H1483" t="s">
        <v>8495</v>
      </c>
      <c r="I1483" t="s">
        <v>10536</v>
      </c>
      <c r="J1483" t="s">
        <v>10537</v>
      </c>
      <c r="K1483" t="s">
        <v>10536</v>
      </c>
    </row>
    <row r="1484" spans="1:11" s="3" customFormat="1" x14ac:dyDescent="0.25">
      <c r="A1484" t="s">
        <v>10538</v>
      </c>
      <c r="B1484" t="s">
        <v>10539</v>
      </c>
      <c r="C1484" s="111"/>
      <c r="D1484" s="128"/>
      <c r="E1484">
        <v>301</v>
      </c>
      <c r="F1484" t="s">
        <v>10540</v>
      </c>
      <c r="G1484" t="s">
        <v>10539</v>
      </c>
      <c r="H1484" t="s">
        <v>8495</v>
      </c>
      <c r="I1484" t="s">
        <v>10539</v>
      </c>
      <c r="J1484" t="s">
        <v>10540</v>
      </c>
      <c r="K1484" t="s">
        <v>10459</v>
      </c>
    </row>
    <row r="1485" spans="1:11" s="3" customFormat="1" x14ac:dyDescent="0.25">
      <c r="A1485" t="s">
        <v>10541</v>
      </c>
      <c r="B1485" t="s">
        <v>10542</v>
      </c>
      <c r="C1485" s="111"/>
      <c r="D1485" s="128"/>
      <c r="E1485">
        <v>462</v>
      </c>
      <c r="F1485" t="s">
        <v>10543</v>
      </c>
      <c r="G1485" t="s">
        <v>10542</v>
      </c>
      <c r="H1485" t="s">
        <v>8495</v>
      </c>
      <c r="I1485" t="s">
        <v>10542</v>
      </c>
      <c r="J1485" t="s">
        <v>10543</v>
      </c>
      <c r="K1485" t="s">
        <v>10536</v>
      </c>
    </row>
    <row r="1486" spans="1:11" s="3" customFormat="1" x14ac:dyDescent="0.25">
      <c r="A1486" t="s">
        <v>10544</v>
      </c>
      <c r="B1486" t="s">
        <v>10545</v>
      </c>
      <c r="C1486" s="111"/>
      <c r="D1486" s="128"/>
      <c r="E1486">
        <v>1441</v>
      </c>
      <c r="F1486" t="s">
        <v>10547</v>
      </c>
      <c r="G1486" t="s">
        <v>10545</v>
      </c>
      <c r="H1486" t="s">
        <v>8495</v>
      </c>
      <c r="I1486" t="s">
        <v>10545</v>
      </c>
      <c r="J1486" t="s">
        <v>10547</v>
      </c>
      <c r="K1486" t="s">
        <v>12131</v>
      </c>
    </row>
    <row r="1487" spans="1:11" s="3" customFormat="1" x14ac:dyDescent="0.25">
      <c r="A1487" t="s">
        <v>10548</v>
      </c>
      <c r="B1487" t="s">
        <v>10549</v>
      </c>
      <c r="C1487" s="111"/>
      <c r="D1487" s="128"/>
      <c r="E1487">
        <v>248</v>
      </c>
      <c r="F1487" t="s">
        <v>10550</v>
      </c>
      <c r="G1487" t="s">
        <v>10549</v>
      </c>
      <c r="H1487" t="s">
        <v>8495</v>
      </c>
      <c r="I1487" t="s">
        <v>10549</v>
      </c>
      <c r="J1487" t="s">
        <v>10550</v>
      </c>
      <c r="K1487" t="s">
        <v>12131</v>
      </c>
    </row>
    <row r="1488" spans="1:11" s="3" customFormat="1" x14ac:dyDescent="0.25">
      <c r="A1488" t="s">
        <v>10551</v>
      </c>
      <c r="B1488" t="s">
        <v>10552</v>
      </c>
      <c r="C1488" s="111"/>
      <c r="D1488" s="128"/>
      <c r="E1488">
        <v>25</v>
      </c>
      <c r="F1488" t="s">
        <v>10553</v>
      </c>
      <c r="G1488" t="s">
        <v>10552</v>
      </c>
      <c r="H1488" t="s">
        <v>8495</v>
      </c>
      <c r="I1488" t="s">
        <v>10552</v>
      </c>
      <c r="J1488" t="s">
        <v>10553</v>
      </c>
      <c r="K1488" t="s">
        <v>12131</v>
      </c>
    </row>
    <row r="1489" spans="1:11" s="3" customFormat="1" x14ac:dyDescent="0.25">
      <c r="A1489" t="s">
        <v>10554</v>
      </c>
      <c r="B1489" t="s">
        <v>10555</v>
      </c>
      <c r="C1489" s="111"/>
      <c r="D1489" s="128"/>
      <c r="E1489">
        <v>297</v>
      </c>
      <c r="F1489" t="s">
        <v>10556</v>
      </c>
      <c r="G1489" t="s">
        <v>10555</v>
      </c>
      <c r="H1489" t="s">
        <v>8495</v>
      </c>
      <c r="I1489" t="s">
        <v>10555</v>
      </c>
      <c r="J1489" t="s">
        <v>10556</v>
      </c>
      <c r="K1489" t="s">
        <v>13276</v>
      </c>
    </row>
    <row r="1490" spans="1:11" s="3" customFormat="1" x14ac:dyDescent="0.25">
      <c r="A1490" t="s">
        <v>10557</v>
      </c>
      <c r="B1490" t="s">
        <v>13966</v>
      </c>
      <c r="C1490" s="111"/>
      <c r="D1490" s="128"/>
      <c r="E1490">
        <v>398</v>
      </c>
      <c r="F1490" t="s">
        <v>10558</v>
      </c>
      <c r="G1490" t="s">
        <v>13966</v>
      </c>
      <c r="H1490" t="s">
        <v>8495</v>
      </c>
      <c r="I1490" t="s">
        <v>13966</v>
      </c>
      <c r="J1490" t="s">
        <v>10558</v>
      </c>
      <c r="K1490" t="s">
        <v>12131</v>
      </c>
    </row>
    <row r="1491" spans="1:11" s="3" customFormat="1" x14ac:dyDescent="0.25">
      <c r="A1491" t="s">
        <v>10559</v>
      </c>
      <c r="B1491" t="s">
        <v>10560</v>
      </c>
      <c r="C1491" s="111"/>
      <c r="D1491" s="128"/>
      <c r="E1491">
        <v>433</v>
      </c>
      <c r="F1491" t="s">
        <v>10561</v>
      </c>
      <c r="G1491" t="s">
        <v>10560</v>
      </c>
      <c r="H1491" t="s">
        <v>8495</v>
      </c>
      <c r="I1491" t="s">
        <v>10560</v>
      </c>
      <c r="J1491" t="s">
        <v>10561</v>
      </c>
      <c r="K1491" t="s">
        <v>12131</v>
      </c>
    </row>
    <row r="1492" spans="1:11" s="3" customFormat="1" x14ac:dyDescent="0.25">
      <c r="A1492" t="s">
        <v>10562</v>
      </c>
      <c r="B1492" t="s">
        <v>10563</v>
      </c>
      <c r="C1492" s="111"/>
      <c r="D1492" s="128"/>
      <c r="E1492">
        <v>81</v>
      </c>
      <c r="F1492" t="s">
        <v>10564</v>
      </c>
      <c r="G1492" t="s">
        <v>10563</v>
      </c>
      <c r="H1492" t="s">
        <v>8495</v>
      </c>
      <c r="I1492" t="s">
        <v>10563</v>
      </c>
      <c r="J1492" t="s">
        <v>10564</v>
      </c>
      <c r="K1492" t="s">
        <v>13276</v>
      </c>
    </row>
    <row r="1493" spans="1:11" s="3" customFormat="1" x14ac:dyDescent="0.25">
      <c r="A1493" t="s">
        <v>10565</v>
      </c>
      <c r="B1493" t="s">
        <v>10566</v>
      </c>
      <c r="C1493" s="111"/>
      <c r="D1493" s="128"/>
      <c r="E1493">
        <v>201</v>
      </c>
      <c r="F1493" t="s">
        <v>10568</v>
      </c>
      <c r="G1493" t="s">
        <v>10567</v>
      </c>
      <c r="H1493" t="s">
        <v>8495</v>
      </c>
      <c r="I1493" t="s">
        <v>10566</v>
      </c>
      <c r="J1493" t="s">
        <v>10568</v>
      </c>
      <c r="K1493" t="s">
        <v>13269</v>
      </c>
    </row>
    <row r="1494" spans="1:11" s="3" customFormat="1" x14ac:dyDescent="0.25">
      <c r="A1494" t="s">
        <v>10569</v>
      </c>
      <c r="B1494" t="s">
        <v>10570</v>
      </c>
      <c r="C1494" s="111"/>
      <c r="D1494" s="128"/>
      <c r="E1494">
        <v>405</v>
      </c>
      <c r="F1494" t="s">
        <v>10571</v>
      </c>
      <c r="G1494" t="s">
        <v>10570</v>
      </c>
      <c r="H1494" t="s">
        <v>8495</v>
      </c>
      <c r="I1494" t="s">
        <v>10570</v>
      </c>
      <c r="J1494" t="s">
        <v>10571</v>
      </c>
      <c r="K1494" t="s">
        <v>10371</v>
      </c>
    </row>
    <row r="1495" spans="1:11" s="3" customFormat="1" x14ac:dyDescent="0.25">
      <c r="A1495" t="s">
        <v>10572</v>
      </c>
      <c r="B1495" t="s">
        <v>10573</v>
      </c>
      <c r="C1495" s="111"/>
      <c r="D1495" s="128"/>
      <c r="E1495">
        <v>45</v>
      </c>
      <c r="F1495" t="s">
        <v>10574</v>
      </c>
      <c r="G1495" t="s">
        <v>10573</v>
      </c>
      <c r="H1495" t="s">
        <v>8495</v>
      </c>
      <c r="I1495" t="s">
        <v>10573</v>
      </c>
      <c r="J1495" t="s">
        <v>10574</v>
      </c>
      <c r="K1495" t="s">
        <v>10371</v>
      </c>
    </row>
    <row r="1496" spans="1:11" s="3" customFormat="1" x14ac:dyDescent="0.25">
      <c r="A1496" t="s">
        <v>10575</v>
      </c>
      <c r="B1496" t="s">
        <v>10576</v>
      </c>
      <c r="C1496" s="111"/>
      <c r="D1496" s="128"/>
      <c r="E1496">
        <v>1100</v>
      </c>
      <c r="F1496" t="s">
        <v>10577</v>
      </c>
      <c r="G1496" t="s">
        <v>10576</v>
      </c>
      <c r="H1496" t="s">
        <v>8495</v>
      </c>
      <c r="I1496" t="s">
        <v>10576</v>
      </c>
      <c r="J1496" t="s">
        <v>10577</v>
      </c>
      <c r="K1496" t="s">
        <v>12131</v>
      </c>
    </row>
    <row r="1497" spans="1:11" s="3" customFormat="1" x14ac:dyDescent="0.25">
      <c r="A1497" t="s">
        <v>10578</v>
      </c>
      <c r="B1497" t="s">
        <v>10579</v>
      </c>
      <c r="C1497" s="111"/>
      <c r="D1497" s="128"/>
      <c r="E1497">
        <v>538</v>
      </c>
      <c r="F1497" t="s">
        <v>10580</v>
      </c>
      <c r="G1497" t="s">
        <v>10579</v>
      </c>
      <c r="H1497" t="s">
        <v>8495</v>
      </c>
      <c r="I1497" t="s">
        <v>10579</v>
      </c>
      <c r="J1497" t="s">
        <v>10580</v>
      </c>
      <c r="K1497" t="s">
        <v>13275</v>
      </c>
    </row>
    <row r="1498" spans="1:11" s="3" customFormat="1" x14ac:dyDescent="0.25">
      <c r="A1498" t="s">
        <v>10581</v>
      </c>
      <c r="B1498" t="s">
        <v>10582</v>
      </c>
      <c r="C1498" s="111"/>
      <c r="D1498" s="128"/>
      <c r="E1498">
        <v>350</v>
      </c>
      <c r="F1498" t="s">
        <v>10583</v>
      </c>
      <c r="G1498" t="s">
        <v>10582</v>
      </c>
      <c r="H1498" t="s">
        <v>8495</v>
      </c>
      <c r="I1498" t="s">
        <v>10582</v>
      </c>
      <c r="J1498" t="s">
        <v>10583</v>
      </c>
      <c r="K1498" t="s">
        <v>13986</v>
      </c>
    </row>
    <row r="1499" spans="1:11" s="3" customFormat="1" x14ac:dyDescent="0.25">
      <c r="A1499" t="s">
        <v>10584</v>
      </c>
      <c r="B1499" t="s">
        <v>10585</v>
      </c>
      <c r="C1499" s="111"/>
      <c r="D1499" s="128"/>
      <c r="E1499">
        <v>170</v>
      </c>
      <c r="F1499" t="s">
        <v>10587</v>
      </c>
      <c r="G1499" t="s">
        <v>10586</v>
      </c>
      <c r="H1499" t="s">
        <v>8495</v>
      </c>
      <c r="I1499" t="s">
        <v>10585</v>
      </c>
      <c r="J1499" t="s">
        <v>10587</v>
      </c>
      <c r="K1499" t="s">
        <v>13269</v>
      </c>
    </row>
    <row r="1500" spans="1:11" s="3" customFormat="1" x14ac:dyDescent="0.25">
      <c r="A1500" t="s">
        <v>10588</v>
      </c>
      <c r="B1500" t="s">
        <v>10589</v>
      </c>
      <c r="C1500" s="111"/>
      <c r="D1500" s="128"/>
      <c r="E1500">
        <v>1</v>
      </c>
      <c r="F1500" t="s">
        <v>10590</v>
      </c>
      <c r="G1500" t="s">
        <v>10589</v>
      </c>
      <c r="H1500" t="s">
        <v>8495</v>
      </c>
      <c r="I1500" t="s">
        <v>10589</v>
      </c>
      <c r="J1500" t="s">
        <v>10590</v>
      </c>
      <c r="K1500" t="s">
        <v>13276</v>
      </c>
    </row>
    <row r="1501" spans="1:11" s="3" customFormat="1" x14ac:dyDescent="0.25">
      <c r="A1501" t="s">
        <v>10591</v>
      </c>
      <c r="B1501" t="s">
        <v>10592</v>
      </c>
      <c r="C1501" s="111"/>
      <c r="D1501" s="128"/>
      <c r="E1501">
        <v>51</v>
      </c>
      <c r="F1501" t="s">
        <v>10593</v>
      </c>
      <c r="G1501" t="s">
        <v>10592</v>
      </c>
      <c r="H1501" t="s">
        <v>8495</v>
      </c>
      <c r="I1501" t="s">
        <v>10592</v>
      </c>
      <c r="J1501" t="s">
        <v>10593</v>
      </c>
      <c r="K1501" t="s">
        <v>13275</v>
      </c>
    </row>
    <row r="1502" spans="1:11" s="3" customFormat="1" x14ac:dyDescent="0.25">
      <c r="A1502" t="s">
        <v>10594</v>
      </c>
      <c r="B1502" t="s">
        <v>10595</v>
      </c>
      <c r="C1502" s="111"/>
      <c r="D1502" s="128"/>
      <c r="E1502">
        <v>262</v>
      </c>
      <c r="F1502" t="s">
        <v>10596</v>
      </c>
      <c r="G1502" t="s">
        <v>10595</v>
      </c>
      <c r="H1502" t="s">
        <v>8495</v>
      </c>
      <c r="I1502" t="s">
        <v>10595</v>
      </c>
      <c r="J1502" t="s">
        <v>10596</v>
      </c>
      <c r="K1502" t="s">
        <v>13276</v>
      </c>
    </row>
    <row r="1503" spans="1:11" s="3" customFormat="1" x14ac:dyDescent="0.25">
      <c r="A1503" t="s">
        <v>10597</v>
      </c>
      <c r="B1503" t="s">
        <v>13967</v>
      </c>
      <c r="C1503" s="111"/>
      <c r="D1503" s="128"/>
      <c r="E1503">
        <v>630</v>
      </c>
      <c r="F1503" t="s">
        <v>10598</v>
      </c>
      <c r="G1503" t="s">
        <v>13967</v>
      </c>
      <c r="H1503" t="s">
        <v>8495</v>
      </c>
      <c r="I1503" t="s">
        <v>13967</v>
      </c>
      <c r="J1503" t="s">
        <v>10598</v>
      </c>
      <c r="K1503" t="s">
        <v>10371</v>
      </c>
    </row>
    <row r="1504" spans="1:11" s="3" customFormat="1" x14ac:dyDescent="0.25">
      <c r="A1504" t="s">
        <v>10599</v>
      </c>
      <c r="B1504" t="s">
        <v>10600</v>
      </c>
      <c r="C1504" s="111"/>
      <c r="D1504" s="128"/>
      <c r="E1504">
        <v>106</v>
      </c>
      <c r="F1504" t="s">
        <v>10602</v>
      </c>
      <c r="G1504" t="s">
        <v>10600</v>
      </c>
      <c r="H1504" t="s">
        <v>8495</v>
      </c>
      <c r="I1504" t="s">
        <v>10600</v>
      </c>
      <c r="J1504" t="s">
        <v>10602</v>
      </c>
      <c r="K1504" t="s">
        <v>13269</v>
      </c>
    </row>
    <row r="1505" spans="1:11" s="3" customFormat="1" x14ac:dyDescent="0.25">
      <c r="A1505" t="s">
        <v>10603</v>
      </c>
      <c r="B1505" t="s">
        <v>10604</v>
      </c>
      <c r="C1505" s="111"/>
      <c r="D1505" s="128"/>
      <c r="E1505">
        <v>300</v>
      </c>
      <c r="F1505" t="s">
        <v>10605</v>
      </c>
      <c r="G1505" t="s">
        <v>10604</v>
      </c>
      <c r="H1505" t="s">
        <v>8495</v>
      </c>
      <c r="I1505" t="s">
        <v>10604</v>
      </c>
      <c r="J1505" t="s">
        <v>10605</v>
      </c>
      <c r="K1505" t="s">
        <v>10459</v>
      </c>
    </row>
    <row r="1506" spans="1:11" s="3" customFormat="1" x14ac:dyDescent="0.25">
      <c r="A1506" t="s">
        <v>10606</v>
      </c>
      <c r="B1506" t="s">
        <v>10607</v>
      </c>
      <c r="C1506" s="111"/>
      <c r="D1506" s="128"/>
      <c r="E1506">
        <v>1190</v>
      </c>
      <c r="F1506" t="s">
        <v>10609</v>
      </c>
      <c r="G1506" t="s">
        <v>10608</v>
      </c>
      <c r="H1506" t="s">
        <v>8495</v>
      </c>
      <c r="I1506" t="s">
        <v>10607</v>
      </c>
      <c r="J1506" t="s">
        <v>10609</v>
      </c>
      <c r="K1506" t="s">
        <v>7967</v>
      </c>
    </row>
    <row r="1507" spans="1:11" s="3" customFormat="1" x14ac:dyDescent="0.25">
      <c r="A1507" t="s">
        <v>10610</v>
      </c>
      <c r="B1507" t="s">
        <v>10611</v>
      </c>
      <c r="C1507" s="111"/>
      <c r="D1507" s="128"/>
      <c r="E1507">
        <v>760</v>
      </c>
      <c r="F1507" t="s">
        <v>10612</v>
      </c>
      <c r="G1507" t="s">
        <v>10611</v>
      </c>
      <c r="H1507" t="s">
        <v>8495</v>
      </c>
      <c r="I1507" t="s">
        <v>10611</v>
      </c>
      <c r="J1507" t="s">
        <v>10612</v>
      </c>
      <c r="K1507" t="s">
        <v>7967</v>
      </c>
    </row>
    <row r="1508" spans="1:11" s="3" customFormat="1" x14ac:dyDescent="0.25">
      <c r="A1508" t="s">
        <v>10613</v>
      </c>
      <c r="B1508" t="s">
        <v>10614</v>
      </c>
      <c r="C1508" s="111"/>
      <c r="D1508" s="128"/>
      <c r="E1508">
        <v>995</v>
      </c>
      <c r="F1508" t="s">
        <v>10615</v>
      </c>
      <c r="G1508" t="s">
        <v>10614</v>
      </c>
      <c r="H1508" t="s">
        <v>8495</v>
      </c>
      <c r="I1508" t="s">
        <v>10614</v>
      </c>
      <c r="J1508" t="s">
        <v>10615</v>
      </c>
      <c r="K1508" t="s">
        <v>10459</v>
      </c>
    </row>
    <row r="1509" spans="1:11" s="3" customFormat="1" x14ac:dyDescent="0.25">
      <c r="A1509" t="s">
        <v>10616</v>
      </c>
      <c r="B1509" t="s">
        <v>10617</v>
      </c>
      <c r="C1509" s="111"/>
      <c r="D1509" s="128"/>
      <c r="E1509">
        <v>164</v>
      </c>
      <c r="F1509" t="s">
        <v>10619</v>
      </c>
      <c r="G1509" t="s">
        <v>10618</v>
      </c>
      <c r="H1509" t="s">
        <v>8495</v>
      </c>
      <c r="I1509" t="s">
        <v>10617</v>
      </c>
      <c r="J1509" t="s">
        <v>10619</v>
      </c>
      <c r="K1509" t="s">
        <v>13269</v>
      </c>
    </row>
    <row r="1510" spans="1:11" s="3" customFormat="1" x14ac:dyDescent="0.25">
      <c r="A1510" t="s">
        <v>10620</v>
      </c>
      <c r="B1510" t="s">
        <v>10621</v>
      </c>
      <c r="C1510" s="111"/>
      <c r="D1510" s="128"/>
      <c r="E1510">
        <v>599</v>
      </c>
      <c r="F1510" t="s">
        <v>10622</v>
      </c>
      <c r="G1510" t="s">
        <v>10621</v>
      </c>
      <c r="H1510" t="s">
        <v>8495</v>
      </c>
      <c r="I1510" t="s">
        <v>10621</v>
      </c>
      <c r="J1510" t="s">
        <v>10622</v>
      </c>
      <c r="K1510" t="s">
        <v>13269</v>
      </c>
    </row>
    <row r="1511" spans="1:11" s="3" customFormat="1" x14ac:dyDescent="0.25">
      <c r="A1511" t="s">
        <v>10623</v>
      </c>
      <c r="B1511" t="s">
        <v>10624</v>
      </c>
      <c r="C1511" s="111"/>
      <c r="D1511" s="128"/>
      <c r="E1511">
        <v>847</v>
      </c>
      <c r="F1511" t="s">
        <v>10625</v>
      </c>
      <c r="G1511" t="s">
        <v>10624</v>
      </c>
      <c r="H1511" t="s">
        <v>8495</v>
      </c>
      <c r="I1511" t="s">
        <v>10624</v>
      </c>
      <c r="J1511" t="s">
        <v>10625</v>
      </c>
      <c r="K1511" t="s">
        <v>12131</v>
      </c>
    </row>
    <row r="1512" spans="1:11" s="3" customFormat="1" x14ac:dyDescent="0.25">
      <c r="A1512" t="s">
        <v>10626</v>
      </c>
      <c r="B1512" t="s">
        <v>10627</v>
      </c>
      <c r="C1512" s="111"/>
      <c r="D1512" s="128"/>
      <c r="E1512">
        <v>690</v>
      </c>
      <c r="F1512" t="s">
        <v>10628</v>
      </c>
      <c r="G1512" t="s">
        <v>8495</v>
      </c>
      <c r="H1512" t="s">
        <v>8495</v>
      </c>
      <c r="I1512" t="s">
        <v>10627</v>
      </c>
      <c r="J1512" t="s">
        <v>10628</v>
      </c>
      <c r="K1512" t="s">
        <v>13163</v>
      </c>
    </row>
    <row r="1513" spans="1:11" s="3" customFormat="1" x14ac:dyDescent="0.25">
      <c r="A1513" t="s">
        <v>10629</v>
      </c>
      <c r="B1513" t="s">
        <v>10630</v>
      </c>
      <c r="C1513" s="111"/>
      <c r="D1513" s="128"/>
      <c r="E1513">
        <v>1</v>
      </c>
      <c r="F1513" t="s">
        <v>10631</v>
      </c>
      <c r="G1513" t="s">
        <v>8495</v>
      </c>
      <c r="H1513" t="s">
        <v>8495</v>
      </c>
      <c r="I1513" t="s">
        <v>10630</v>
      </c>
      <c r="J1513" t="s">
        <v>10631</v>
      </c>
      <c r="K1513" t="s">
        <v>13163</v>
      </c>
    </row>
    <row r="1514" spans="1:11" s="3" customFormat="1" x14ac:dyDescent="0.25">
      <c r="A1514" t="s">
        <v>10632</v>
      </c>
      <c r="B1514" t="s">
        <v>10633</v>
      </c>
      <c r="C1514" s="111"/>
      <c r="D1514" s="128"/>
      <c r="E1514">
        <v>0</v>
      </c>
      <c r="F1514" t="s">
        <v>10634</v>
      </c>
      <c r="G1514" t="s">
        <v>10371</v>
      </c>
      <c r="H1514" t="s">
        <v>8495</v>
      </c>
      <c r="I1514" t="s">
        <v>10633</v>
      </c>
      <c r="J1514" t="s">
        <v>10634</v>
      </c>
      <c r="K1514" t="s">
        <v>10371</v>
      </c>
    </row>
    <row r="1515" spans="1:11" s="3" customFormat="1" x14ac:dyDescent="0.25">
      <c r="A1515" t="s">
        <v>10635</v>
      </c>
      <c r="B1515" t="s">
        <v>10636</v>
      </c>
      <c r="C1515" s="111"/>
      <c r="D1515" s="128"/>
      <c r="E1515">
        <v>227</v>
      </c>
      <c r="F1515" t="s">
        <v>10637</v>
      </c>
      <c r="G1515" t="s">
        <v>10636</v>
      </c>
      <c r="H1515" t="s">
        <v>8495</v>
      </c>
      <c r="I1515" t="s">
        <v>10636</v>
      </c>
      <c r="J1515" t="s">
        <v>10637</v>
      </c>
      <c r="K1515" t="s">
        <v>10289</v>
      </c>
    </row>
    <row r="1516" spans="1:11" s="3" customFormat="1" x14ac:dyDescent="0.25">
      <c r="A1516" t="s">
        <v>10638</v>
      </c>
      <c r="B1516" t="s">
        <v>10639</v>
      </c>
      <c r="C1516" s="111"/>
      <c r="D1516" s="128"/>
      <c r="E1516"/>
      <c r="F1516" t="s">
        <v>10640</v>
      </c>
      <c r="G1516" t="s">
        <v>10639</v>
      </c>
      <c r="H1516" t="s">
        <v>8495</v>
      </c>
      <c r="I1516" t="s">
        <v>10639</v>
      </c>
      <c r="J1516" t="s">
        <v>10640</v>
      </c>
      <c r="K1516" t="s">
        <v>8176</v>
      </c>
    </row>
    <row r="1517" spans="1:11" s="3" customFormat="1" x14ac:dyDescent="0.25">
      <c r="A1517" t="s">
        <v>10641</v>
      </c>
      <c r="B1517" t="s">
        <v>10642</v>
      </c>
      <c r="C1517" s="111"/>
      <c r="D1517" s="128"/>
      <c r="E1517">
        <v>1</v>
      </c>
      <c r="F1517" t="s">
        <v>10643</v>
      </c>
      <c r="G1517" t="s">
        <v>10642</v>
      </c>
      <c r="H1517" t="s">
        <v>8495</v>
      </c>
      <c r="I1517" t="s">
        <v>10642</v>
      </c>
      <c r="J1517" t="s">
        <v>10643</v>
      </c>
      <c r="K1517" t="s">
        <v>10184</v>
      </c>
    </row>
    <row r="1518" spans="1:11" s="3" customFormat="1" x14ac:dyDescent="0.25">
      <c r="A1518" t="s">
        <v>10644</v>
      </c>
      <c r="B1518" t="s">
        <v>10645</v>
      </c>
      <c r="C1518" s="111"/>
      <c r="D1518" s="128"/>
      <c r="E1518"/>
      <c r="F1518" t="s">
        <v>10646</v>
      </c>
      <c r="G1518" t="s">
        <v>10645</v>
      </c>
      <c r="H1518" t="s">
        <v>8495</v>
      </c>
      <c r="I1518" t="s">
        <v>10645</v>
      </c>
      <c r="J1518" t="s">
        <v>10646</v>
      </c>
      <c r="K1518" t="s">
        <v>13268</v>
      </c>
    </row>
    <row r="1519" spans="1:11" s="3" customFormat="1" x14ac:dyDescent="0.25">
      <c r="A1519" t="s">
        <v>10647</v>
      </c>
      <c r="B1519" t="s">
        <v>10648</v>
      </c>
      <c r="C1519" s="111"/>
      <c r="D1519" s="128"/>
      <c r="E1519"/>
      <c r="F1519" t="s">
        <v>10650</v>
      </c>
      <c r="G1519" t="s">
        <v>10649</v>
      </c>
      <c r="H1519" t="s">
        <v>8495</v>
      </c>
      <c r="I1519" t="s">
        <v>10648</v>
      </c>
      <c r="J1519" t="s">
        <v>10650</v>
      </c>
      <c r="K1519" t="s">
        <v>9803</v>
      </c>
    </row>
    <row r="1520" spans="1:11" s="3" customFormat="1" x14ac:dyDescent="0.25">
      <c r="A1520" t="s">
        <v>10651</v>
      </c>
      <c r="B1520" t="s">
        <v>8511</v>
      </c>
      <c r="C1520" s="111"/>
      <c r="D1520" s="128"/>
      <c r="E1520">
        <v>401</v>
      </c>
      <c r="F1520" t="s">
        <v>10652</v>
      </c>
      <c r="G1520" t="s">
        <v>8511</v>
      </c>
      <c r="H1520" t="s">
        <v>8495</v>
      </c>
      <c r="I1520" t="s">
        <v>8511</v>
      </c>
      <c r="J1520" t="s">
        <v>10652</v>
      </c>
      <c r="K1520" t="s">
        <v>8176</v>
      </c>
    </row>
    <row r="1521" spans="1:11" s="3" customFormat="1" x14ac:dyDescent="0.25">
      <c r="A1521" t="s">
        <v>10653</v>
      </c>
      <c r="B1521" t="s">
        <v>13992</v>
      </c>
      <c r="C1521" s="111"/>
      <c r="D1521" s="128"/>
      <c r="E1521">
        <v>2680</v>
      </c>
      <c r="F1521" t="s">
        <v>10654</v>
      </c>
      <c r="G1521" t="s">
        <v>8495</v>
      </c>
      <c r="H1521" t="s">
        <v>8495</v>
      </c>
      <c r="I1521" t="s">
        <v>13992</v>
      </c>
      <c r="J1521" t="s">
        <v>10654</v>
      </c>
      <c r="K1521" t="s">
        <v>13163</v>
      </c>
    </row>
    <row r="1522" spans="1:11" s="3" customFormat="1" x14ac:dyDescent="0.25">
      <c r="A1522" t="s">
        <v>10655</v>
      </c>
      <c r="B1522" t="s">
        <v>10656</v>
      </c>
      <c r="C1522" s="111"/>
      <c r="D1522" s="128"/>
      <c r="E1522">
        <v>381</v>
      </c>
      <c r="F1522" t="s">
        <v>10657</v>
      </c>
      <c r="G1522" t="s">
        <v>8495</v>
      </c>
      <c r="H1522" t="s">
        <v>8495</v>
      </c>
      <c r="I1522" t="s">
        <v>10656</v>
      </c>
      <c r="J1522" t="s">
        <v>10657</v>
      </c>
      <c r="K1522" t="s">
        <v>13163</v>
      </c>
    </row>
    <row r="1523" spans="1:11" s="3" customFormat="1" x14ac:dyDescent="0.25">
      <c r="A1523" t="s">
        <v>10658</v>
      </c>
      <c r="B1523" t="s">
        <v>10659</v>
      </c>
      <c r="C1523" s="111"/>
      <c r="D1523" s="128"/>
      <c r="E1523">
        <v>398</v>
      </c>
      <c r="F1523" t="s">
        <v>10660</v>
      </c>
      <c r="G1523" t="s">
        <v>10659</v>
      </c>
      <c r="H1523" t="s">
        <v>8495</v>
      </c>
      <c r="I1523" t="s">
        <v>10659</v>
      </c>
      <c r="J1523" t="s">
        <v>10660</v>
      </c>
      <c r="K1523" t="s">
        <v>7967</v>
      </c>
    </row>
    <row r="1524" spans="1:11" s="3" customFormat="1" x14ac:dyDescent="0.25">
      <c r="A1524" t="s">
        <v>10661</v>
      </c>
      <c r="B1524" t="s">
        <v>10662</v>
      </c>
      <c r="C1524" s="111"/>
      <c r="D1524" s="128"/>
      <c r="E1524">
        <v>2756</v>
      </c>
      <c r="F1524" t="s">
        <v>10663</v>
      </c>
      <c r="G1524" t="s">
        <v>10608</v>
      </c>
      <c r="H1524" t="s">
        <v>8495</v>
      </c>
      <c r="I1524" t="s">
        <v>10662</v>
      </c>
      <c r="J1524" t="s">
        <v>10663</v>
      </c>
      <c r="K1524" t="s">
        <v>7967</v>
      </c>
    </row>
    <row r="1525" spans="1:11" s="3" customFormat="1" x14ac:dyDescent="0.25">
      <c r="A1525" t="s">
        <v>10664</v>
      </c>
      <c r="B1525" t="s">
        <v>10665</v>
      </c>
      <c r="C1525" s="111"/>
      <c r="D1525" s="128"/>
      <c r="E1525">
        <v>690</v>
      </c>
      <c r="F1525" t="s">
        <v>10666</v>
      </c>
      <c r="G1525" t="s">
        <v>10608</v>
      </c>
      <c r="H1525" t="s">
        <v>8495</v>
      </c>
      <c r="I1525" t="s">
        <v>10665</v>
      </c>
      <c r="J1525" t="s">
        <v>10666</v>
      </c>
      <c r="K1525" t="s">
        <v>7967</v>
      </c>
    </row>
    <row r="1526" spans="1:11" s="3" customFormat="1" x14ac:dyDescent="0.25">
      <c r="A1526" t="s">
        <v>10667</v>
      </c>
      <c r="B1526" t="s">
        <v>10668</v>
      </c>
      <c r="C1526" s="111"/>
      <c r="D1526" s="128"/>
      <c r="E1526">
        <v>405</v>
      </c>
      <c r="F1526" t="s">
        <v>10669</v>
      </c>
      <c r="G1526" t="s">
        <v>10608</v>
      </c>
      <c r="H1526" t="s">
        <v>8495</v>
      </c>
      <c r="I1526" t="s">
        <v>10668</v>
      </c>
      <c r="J1526" t="s">
        <v>10669</v>
      </c>
      <c r="K1526" t="s">
        <v>7967</v>
      </c>
    </row>
    <row r="1527" spans="1:11" s="3" customFormat="1" x14ac:dyDescent="0.25">
      <c r="A1527" t="s">
        <v>10670</v>
      </c>
      <c r="B1527" t="s">
        <v>10671</v>
      </c>
      <c r="C1527" s="111"/>
      <c r="D1527" s="128"/>
      <c r="E1527">
        <v>0</v>
      </c>
      <c r="F1527" t="s">
        <v>10672</v>
      </c>
      <c r="G1527" t="s">
        <v>10671</v>
      </c>
      <c r="H1527" t="s">
        <v>8495</v>
      </c>
      <c r="I1527" t="s">
        <v>10671</v>
      </c>
      <c r="J1527" t="s">
        <v>10672</v>
      </c>
      <c r="K1527" t="s">
        <v>9803</v>
      </c>
    </row>
    <row r="1528" spans="1:11" s="3" customFormat="1" x14ac:dyDescent="0.25">
      <c r="A1528" t="s">
        <v>10673</v>
      </c>
      <c r="B1528" t="s">
        <v>10674</v>
      </c>
      <c r="C1528" s="111"/>
      <c r="D1528" s="128"/>
      <c r="E1528">
        <v>417</v>
      </c>
      <c r="F1528" t="s">
        <v>10675</v>
      </c>
      <c r="G1528" t="s">
        <v>10674</v>
      </c>
      <c r="H1528" t="s">
        <v>8495</v>
      </c>
      <c r="I1528" t="s">
        <v>10674</v>
      </c>
      <c r="J1528" t="s">
        <v>10675</v>
      </c>
      <c r="K1528" t="s">
        <v>8176</v>
      </c>
    </row>
    <row r="1529" spans="1:11" s="3" customFormat="1" x14ac:dyDescent="0.25">
      <c r="A1529" t="s">
        <v>10676</v>
      </c>
      <c r="B1529" t="s">
        <v>10677</v>
      </c>
      <c r="C1529" s="111"/>
      <c r="D1529" s="128"/>
      <c r="E1529">
        <v>953</v>
      </c>
      <c r="F1529" t="s">
        <v>10678</v>
      </c>
      <c r="G1529" t="s">
        <v>10677</v>
      </c>
      <c r="H1529" t="s">
        <v>8495</v>
      </c>
      <c r="I1529" t="s">
        <v>10677</v>
      </c>
      <c r="J1529" t="s">
        <v>10678</v>
      </c>
      <c r="K1529" t="s">
        <v>13273</v>
      </c>
    </row>
    <row r="1530" spans="1:11" s="3" customFormat="1" x14ac:dyDescent="0.25">
      <c r="A1530" t="s">
        <v>10679</v>
      </c>
      <c r="B1530" t="s">
        <v>10680</v>
      </c>
      <c r="C1530" s="111"/>
      <c r="D1530" s="128"/>
      <c r="E1530">
        <v>288</v>
      </c>
      <c r="F1530" t="s">
        <v>10682</v>
      </c>
      <c r="G1530" t="s">
        <v>10681</v>
      </c>
      <c r="H1530" t="s">
        <v>8495</v>
      </c>
      <c r="I1530" t="s">
        <v>10680</v>
      </c>
      <c r="J1530" t="s">
        <v>10682</v>
      </c>
      <c r="K1530" t="s">
        <v>13270</v>
      </c>
    </row>
    <row r="1531" spans="1:11" s="3" customFormat="1" x14ac:dyDescent="0.25">
      <c r="A1531" t="s">
        <v>10683</v>
      </c>
      <c r="B1531" t="s">
        <v>10684</v>
      </c>
      <c r="C1531" s="111"/>
      <c r="D1531" s="128"/>
      <c r="E1531">
        <v>1</v>
      </c>
      <c r="F1531" t="s">
        <v>10685</v>
      </c>
      <c r="G1531" t="s">
        <v>10684</v>
      </c>
      <c r="H1531" t="s">
        <v>8495</v>
      </c>
      <c r="I1531" t="s">
        <v>10684</v>
      </c>
      <c r="J1531" t="s">
        <v>10685</v>
      </c>
      <c r="K1531" t="s">
        <v>9803</v>
      </c>
    </row>
    <row r="1532" spans="1:11" s="3" customFormat="1" x14ac:dyDescent="0.25">
      <c r="A1532" t="s">
        <v>10686</v>
      </c>
      <c r="B1532" t="s">
        <v>10687</v>
      </c>
      <c r="C1532" s="111"/>
      <c r="D1532" s="128"/>
      <c r="E1532">
        <v>6</v>
      </c>
      <c r="F1532" t="s">
        <v>10688</v>
      </c>
      <c r="G1532" t="s">
        <v>10687</v>
      </c>
      <c r="H1532" t="s">
        <v>8495</v>
      </c>
      <c r="I1532" t="s">
        <v>10687</v>
      </c>
      <c r="J1532" t="s">
        <v>10688</v>
      </c>
      <c r="K1532" t="s">
        <v>8176</v>
      </c>
    </row>
    <row r="1533" spans="1:11" s="3" customFormat="1" x14ac:dyDescent="0.25">
      <c r="A1533" t="s">
        <v>10689</v>
      </c>
      <c r="B1533" t="s">
        <v>10690</v>
      </c>
      <c r="C1533" s="111"/>
      <c r="D1533" s="128"/>
      <c r="E1533">
        <v>18</v>
      </c>
      <c r="F1533" t="s">
        <v>10691</v>
      </c>
      <c r="G1533" t="s">
        <v>10690</v>
      </c>
      <c r="H1533" t="s">
        <v>8495</v>
      </c>
      <c r="I1533" t="s">
        <v>10690</v>
      </c>
      <c r="J1533" t="s">
        <v>10691</v>
      </c>
      <c r="K1533" t="s">
        <v>13270</v>
      </c>
    </row>
    <row r="1534" spans="1:11" s="3" customFormat="1" x14ac:dyDescent="0.25">
      <c r="A1534" t="s">
        <v>10692</v>
      </c>
      <c r="B1534" t="s">
        <v>10693</v>
      </c>
      <c r="C1534" s="111"/>
      <c r="D1534" s="128"/>
      <c r="E1534">
        <v>1</v>
      </c>
      <c r="F1534" t="s">
        <v>10694</v>
      </c>
      <c r="G1534" t="s">
        <v>10693</v>
      </c>
      <c r="H1534" t="s">
        <v>8495</v>
      </c>
      <c r="I1534" t="s">
        <v>10693</v>
      </c>
      <c r="J1534" t="s">
        <v>10694</v>
      </c>
      <c r="K1534" t="s">
        <v>13268</v>
      </c>
    </row>
    <row r="1535" spans="1:11" s="3" customFormat="1" x14ac:dyDescent="0.25">
      <c r="A1535" t="s">
        <v>10695</v>
      </c>
      <c r="B1535" t="s">
        <v>10696</v>
      </c>
      <c r="C1535" s="111"/>
      <c r="D1535" s="128"/>
      <c r="E1535">
        <v>0</v>
      </c>
      <c r="F1535" t="s">
        <v>10697</v>
      </c>
      <c r="G1535" t="s">
        <v>10696</v>
      </c>
      <c r="H1535" t="s">
        <v>8495</v>
      </c>
      <c r="I1535" t="s">
        <v>10696</v>
      </c>
      <c r="J1535" t="s">
        <v>10697</v>
      </c>
      <c r="K1535" t="s">
        <v>11642</v>
      </c>
    </row>
    <row r="1536" spans="1:11" s="3" customFormat="1" x14ac:dyDescent="0.25">
      <c r="A1536" t="s">
        <v>11107</v>
      </c>
      <c r="B1536" t="s">
        <v>10546</v>
      </c>
      <c r="C1536" s="111"/>
      <c r="D1536" s="128"/>
      <c r="E1536">
        <v>1136</v>
      </c>
      <c r="F1536" t="s">
        <v>11109</v>
      </c>
      <c r="G1536" t="s">
        <v>10546</v>
      </c>
      <c r="H1536" t="s">
        <v>11108</v>
      </c>
      <c r="I1536" t="s">
        <v>10546</v>
      </c>
      <c r="J1536" t="s">
        <v>11109</v>
      </c>
      <c r="K1536" t="s">
        <v>8258</v>
      </c>
    </row>
    <row r="1537" spans="1:11" s="3" customFormat="1" x14ac:dyDescent="0.25">
      <c r="A1537" t="s">
        <v>11110</v>
      </c>
      <c r="B1537" t="s">
        <v>11111</v>
      </c>
      <c r="C1537" s="111"/>
      <c r="D1537" s="128"/>
      <c r="E1537">
        <v>490</v>
      </c>
      <c r="F1537" t="s">
        <v>11112</v>
      </c>
      <c r="G1537" t="s">
        <v>11111</v>
      </c>
      <c r="H1537" t="s">
        <v>11108</v>
      </c>
      <c r="I1537" t="s">
        <v>11111</v>
      </c>
      <c r="J1537" t="s">
        <v>11112</v>
      </c>
      <c r="K1537" t="s">
        <v>13277</v>
      </c>
    </row>
    <row r="1538" spans="1:11" s="3" customFormat="1" x14ac:dyDescent="0.25">
      <c r="A1538" t="s">
        <v>11113</v>
      </c>
      <c r="B1538" t="s">
        <v>11114</v>
      </c>
      <c r="C1538" s="111"/>
      <c r="D1538" s="128"/>
      <c r="E1538"/>
      <c r="F1538" t="s">
        <v>11115</v>
      </c>
      <c r="G1538" t="s">
        <v>11114</v>
      </c>
      <c r="H1538" t="s">
        <v>11108</v>
      </c>
      <c r="I1538" t="s">
        <v>11114</v>
      </c>
      <c r="J1538" t="s">
        <v>11115</v>
      </c>
      <c r="K1538" t="s">
        <v>11120</v>
      </c>
    </row>
    <row r="1539" spans="1:11" s="3" customFormat="1" x14ac:dyDescent="0.25">
      <c r="A1539" t="s">
        <v>11116</v>
      </c>
      <c r="B1539" t="s">
        <v>11117</v>
      </c>
      <c r="C1539" s="111"/>
      <c r="D1539" s="128"/>
      <c r="E1539">
        <v>175</v>
      </c>
      <c r="F1539" t="s">
        <v>11118</v>
      </c>
      <c r="G1539" t="s">
        <v>11117</v>
      </c>
      <c r="H1539" t="s">
        <v>11108</v>
      </c>
      <c r="I1539" t="s">
        <v>11117</v>
      </c>
      <c r="J1539" t="s">
        <v>11118</v>
      </c>
      <c r="K1539" t="s">
        <v>13278</v>
      </c>
    </row>
    <row r="1540" spans="1:11" s="3" customFormat="1" x14ac:dyDescent="0.25">
      <c r="A1540" t="s">
        <v>11119</v>
      </c>
      <c r="B1540" t="s">
        <v>11120</v>
      </c>
      <c r="C1540" s="111"/>
      <c r="D1540" s="128"/>
      <c r="E1540">
        <v>199</v>
      </c>
      <c r="F1540" t="s">
        <v>11121</v>
      </c>
      <c r="G1540" t="s">
        <v>11120</v>
      </c>
      <c r="H1540" t="s">
        <v>11108</v>
      </c>
      <c r="I1540" t="s">
        <v>11120</v>
      </c>
      <c r="J1540" t="s">
        <v>11121</v>
      </c>
      <c r="K1540" t="s">
        <v>11120</v>
      </c>
    </row>
    <row r="1541" spans="1:11" s="3" customFormat="1" x14ac:dyDescent="0.25">
      <c r="A1541" t="s">
        <v>11122</v>
      </c>
      <c r="B1541" t="s">
        <v>11123</v>
      </c>
      <c r="C1541" s="111"/>
      <c r="D1541" s="128"/>
      <c r="E1541">
        <v>40</v>
      </c>
      <c r="F1541" t="s">
        <v>11125</v>
      </c>
      <c r="G1541" t="s">
        <v>11123</v>
      </c>
      <c r="H1541" t="s">
        <v>11108</v>
      </c>
      <c r="I1541" t="s">
        <v>11123</v>
      </c>
      <c r="J1541" t="s">
        <v>11125</v>
      </c>
      <c r="K1541" t="s">
        <v>8926</v>
      </c>
    </row>
    <row r="1542" spans="1:11" s="3" customFormat="1" x14ac:dyDescent="0.25">
      <c r="A1542" t="s">
        <v>11126</v>
      </c>
      <c r="B1542" t="s">
        <v>11127</v>
      </c>
      <c r="C1542" s="111"/>
      <c r="D1542" s="128"/>
      <c r="E1542">
        <v>207</v>
      </c>
      <c r="F1542" t="s">
        <v>11128</v>
      </c>
      <c r="G1542" t="s">
        <v>11127</v>
      </c>
      <c r="H1542" t="s">
        <v>11108</v>
      </c>
      <c r="I1542" t="s">
        <v>11127</v>
      </c>
      <c r="J1542" t="s">
        <v>11128</v>
      </c>
      <c r="K1542" t="s">
        <v>13279</v>
      </c>
    </row>
    <row r="1543" spans="1:11" s="3" customFormat="1" x14ac:dyDescent="0.25">
      <c r="A1543" t="s">
        <v>11129</v>
      </c>
      <c r="B1543" t="s">
        <v>11130</v>
      </c>
      <c r="C1543" s="111"/>
      <c r="D1543" s="128"/>
      <c r="E1543">
        <v>495</v>
      </c>
      <c r="F1543" t="s">
        <v>11132</v>
      </c>
      <c r="G1543" t="s">
        <v>11131</v>
      </c>
      <c r="H1543" t="s">
        <v>11108</v>
      </c>
      <c r="I1543" t="s">
        <v>11130</v>
      </c>
      <c r="J1543" t="s">
        <v>11132</v>
      </c>
      <c r="K1543" t="s">
        <v>13278</v>
      </c>
    </row>
    <row r="1544" spans="1:11" s="3" customFormat="1" x14ac:dyDescent="0.25">
      <c r="A1544" t="s">
        <v>11133</v>
      </c>
      <c r="B1544" t="s">
        <v>11134</v>
      </c>
      <c r="C1544" s="111"/>
      <c r="D1544" s="128"/>
      <c r="E1544">
        <v>301</v>
      </c>
      <c r="F1544" t="s">
        <v>11135</v>
      </c>
      <c r="G1544" t="s">
        <v>11134</v>
      </c>
      <c r="H1544" t="s">
        <v>11108</v>
      </c>
      <c r="I1544" t="s">
        <v>11134</v>
      </c>
      <c r="J1544" t="s">
        <v>11135</v>
      </c>
      <c r="K1544" t="s">
        <v>11153</v>
      </c>
    </row>
    <row r="1545" spans="1:11" s="3" customFormat="1" x14ac:dyDescent="0.25">
      <c r="A1545" t="s">
        <v>11136</v>
      </c>
      <c r="B1545" t="s">
        <v>11137</v>
      </c>
      <c r="C1545" s="111"/>
      <c r="D1545" s="128"/>
      <c r="E1545">
        <v>250</v>
      </c>
      <c r="F1545" t="s">
        <v>11138</v>
      </c>
      <c r="G1545" t="s">
        <v>11137</v>
      </c>
      <c r="H1545" t="s">
        <v>11108</v>
      </c>
      <c r="I1545" t="s">
        <v>11137</v>
      </c>
      <c r="J1545" t="s">
        <v>11138</v>
      </c>
      <c r="K1545" t="s">
        <v>11148</v>
      </c>
    </row>
    <row r="1546" spans="1:11" s="3" customFormat="1" x14ac:dyDescent="0.25">
      <c r="A1546" t="s">
        <v>11139</v>
      </c>
      <c r="B1546" t="s">
        <v>11140</v>
      </c>
      <c r="C1546" s="111"/>
      <c r="D1546" s="128"/>
      <c r="E1546"/>
      <c r="F1546" t="s">
        <v>11142</v>
      </c>
      <c r="G1546" t="s">
        <v>11141</v>
      </c>
      <c r="H1546" t="s">
        <v>11108</v>
      </c>
      <c r="I1546" t="s">
        <v>11140</v>
      </c>
      <c r="J1546" t="s">
        <v>11142</v>
      </c>
      <c r="K1546" t="s">
        <v>8258</v>
      </c>
    </row>
    <row r="1547" spans="1:11" s="3" customFormat="1" x14ac:dyDescent="0.25">
      <c r="A1547" t="s">
        <v>11143</v>
      </c>
      <c r="B1547" t="s">
        <v>11144</v>
      </c>
      <c r="C1547" s="111"/>
      <c r="D1547" s="128"/>
      <c r="E1547">
        <v>299</v>
      </c>
      <c r="F1547" t="s">
        <v>11145</v>
      </c>
      <c r="G1547" t="s">
        <v>11144</v>
      </c>
      <c r="H1547" t="s">
        <v>11108</v>
      </c>
      <c r="I1547" t="s">
        <v>11144</v>
      </c>
      <c r="J1547" t="s">
        <v>11145</v>
      </c>
      <c r="K1547" t="s">
        <v>11148</v>
      </c>
    </row>
    <row r="1548" spans="1:11" s="3" customFormat="1" x14ac:dyDescent="0.25">
      <c r="A1548" t="s">
        <v>11146</v>
      </c>
      <c r="B1548" t="s">
        <v>11147</v>
      </c>
      <c r="C1548" s="111"/>
      <c r="D1548" s="128"/>
      <c r="E1548">
        <v>909</v>
      </c>
      <c r="F1548" t="s">
        <v>11149</v>
      </c>
      <c r="G1548" t="s">
        <v>11148</v>
      </c>
      <c r="H1548" t="s">
        <v>11108</v>
      </c>
      <c r="I1548" t="s">
        <v>11147</v>
      </c>
      <c r="J1548" t="s">
        <v>11149</v>
      </c>
      <c r="K1548" t="s">
        <v>11148</v>
      </c>
    </row>
    <row r="1549" spans="1:11" s="3" customFormat="1" x14ac:dyDescent="0.25">
      <c r="A1549" t="s">
        <v>11150</v>
      </c>
      <c r="B1549" t="s">
        <v>8926</v>
      </c>
      <c r="C1549" s="111"/>
      <c r="D1549" s="128"/>
      <c r="E1549">
        <v>280</v>
      </c>
      <c r="F1549" t="s">
        <v>11151</v>
      </c>
      <c r="G1549" t="s">
        <v>8926</v>
      </c>
      <c r="H1549" t="s">
        <v>11108</v>
      </c>
      <c r="I1549" t="s">
        <v>8926</v>
      </c>
      <c r="J1549" t="s">
        <v>11151</v>
      </c>
      <c r="K1549" t="s">
        <v>8926</v>
      </c>
    </row>
    <row r="1550" spans="1:11" s="3" customFormat="1" x14ac:dyDescent="0.25">
      <c r="A1550" t="s">
        <v>11152</v>
      </c>
      <c r="B1550" t="s">
        <v>11153</v>
      </c>
      <c r="C1550" s="111"/>
      <c r="D1550" s="128"/>
      <c r="E1550">
        <v>497</v>
      </c>
      <c r="F1550" t="s">
        <v>11154</v>
      </c>
      <c r="G1550" t="s">
        <v>11153</v>
      </c>
      <c r="H1550" t="s">
        <v>11108</v>
      </c>
      <c r="I1550" t="s">
        <v>11153</v>
      </c>
      <c r="J1550" t="s">
        <v>11154</v>
      </c>
      <c r="K1550" t="s">
        <v>11153</v>
      </c>
    </row>
    <row r="1551" spans="1:11" s="3" customFormat="1" x14ac:dyDescent="0.25">
      <c r="A1551" t="s">
        <v>11155</v>
      </c>
      <c r="B1551" t="s">
        <v>11156</v>
      </c>
      <c r="C1551" s="111"/>
      <c r="D1551" s="128"/>
      <c r="E1551">
        <v>0</v>
      </c>
      <c r="F1551" t="s">
        <v>11157</v>
      </c>
      <c r="G1551" t="s">
        <v>11156</v>
      </c>
      <c r="H1551" t="s">
        <v>11108</v>
      </c>
      <c r="I1551" t="s">
        <v>11156</v>
      </c>
      <c r="J1551" t="s">
        <v>11157</v>
      </c>
      <c r="K1551" t="s">
        <v>13278</v>
      </c>
    </row>
    <row r="1552" spans="1:11" s="3" customFormat="1" x14ac:dyDescent="0.25">
      <c r="A1552" t="s">
        <v>11158</v>
      </c>
      <c r="B1552" t="s">
        <v>11159</v>
      </c>
      <c r="C1552" s="111"/>
      <c r="D1552" s="128"/>
      <c r="E1552">
        <v>1</v>
      </c>
      <c r="F1552" t="s">
        <v>11160</v>
      </c>
      <c r="G1552" t="s">
        <v>11159</v>
      </c>
      <c r="H1552" t="s">
        <v>11108</v>
      </c>
      <c r="I1552" t="s">
        <v>11159</v>
      </c>
      <c r="J1552" t="s">
        <v>11160</v>
      </c>
      <c r="K1552" t="s">
        <v>13280</v>
      </c>
    </row>
    <row r="1553" spans="1:11" s="3" customFormat="1" x14ac:dyDescent="0.25">
      <c r="A1553" t="s">
        <v>11161</v>
      </c>
      <c r="B1553" t="s">
        <v>11162</v>
      </c>
      <c r="C1553" s="111"/>
      <c r="D1553" s="128"/>
      <c r="E1553"/>
      <c r="F1553" t="s">
        <v>11163</v>
      </c>
      <c r="G1553" t="s">
        <v>11162</v>
      </c>
      <c r="H1553" t="s">
        <v>11108</v>
      </c>
      <c r="I1553" t="s">
        <v>11162</v>
      </c>
      <c r="J1553" t="s">
        <v>11163</v>
      </c>
      <c r="K1553" t="s">
        <v>8258</v>
      </c>
    </row>
    <row r="1554" spans="1:11" s="3" customFormat="1" x14ac:dyDescent="0.25">
      <c r="A1554" t="s">
        <v>11164</v>
      </c>
      <c r="B1554" t="s">
        <v>11165</v>
      </c>
      <c r="C1554" s="111"/>
      <c r="D1554" s="128"/>
      <c r="E1554"/>
      <c r="F1554" t="s">
        <v>11167</v>
      </c>
      <c r="G1554" t="s">
        <v>11165</v>
      </c>
      <c r="H1554" t="s">
        <v>11108</v>
      </c>
      <c r="I1554" t="s">
        <v>11165</v>
      </c>
      <c r="J1554" t="s">
        <v>11167</v>
      </c>
      <c r="K1554" t="s">
        <v>13281</v>
      </c>
    </row>
    <row r="1555" spans="1:11" s="3" customFormat="1" x14ac:dyDescent="0.25">
      <c r="A1555" t="s">
        <v>11168</v>
      </c>
      <c r="B1555" t="s">
        <v>11169</v>
      </c>
      <c r="C1555" s="111"/>
      <c r="D1555" s="128"/>
      <c r="E1555">
        <v>0</v>
      </c>
      <c r="F1555" t="s">
        <v>11170</v>
      </c>
      <c r="G1555" t="s">
        <v>10546</v>
      </c>
      <c r="H1555" t="s">
        <v>11108</v>
      </c>
      <c r="I1555" t="s">
        <v>11169</v>
      </c>
      <c r="J1555" t="s">
        <v>11170</v>
      </c>
      <c r="K1555" t="s">
        <v>8258</v>
      </c>
    </row>
    <row r="1556" spans="1:11" s="3" customFormat="1" x14ac:dyDescent="0.25">
      <c r="A1556" t="s">
        <v>12159</v>
      </c>
      <c r="B1556" t="s">
        <v>12160</v>
      </c>
      <c r="C1556" s="111"/>
      <c r="D1556" s="128"/>
      <c r="E1556">
        <v>893</v>
      </c>
      <c r="F1556" t="s">
        <v>12161</v>
      </c>
      <c r="G1556" t="s">
        <v>12160</v>
      </c>
      <c r="H1556" t="s">
        <v>8230</v>
      </c>
      <c r="I1556" t="s">
        <v>12160</v>
      </c>
      <c r="J1556" t="s">
        <v>12161</v>
      </c>
      <c r="K1556" t="s">
        <v>13282</v>
      </c>
    </row>
    <row r="1557" spans="1:11" s="3" customFormat="1" x14ac:dyDescent="0.25">
      <c r="A1557" t="s">
        <v>12162</v>
      </c>
      <c r="B1557" t="s">
        <v>12163</v>
      </c>
      <c r="C1557" s="111"/>
      <c r="D1557" s="128"/>
      <c r="E1557">
        <v>1501</v>
      </c>
      <c r="F1557" t="s">
        <v>12164</v>
      </c>
      <c r="G1557" t="s">
        <v>12160</v>
      </c>
      <c r="H1557" t="s">
        <v>8230</v>
      </c>
      <c r="I1557" t="s">
        <v>12163</v>
      </c>
      <c r="J1557" t="s">
        <v>12164</v>
      </c>
      <c r="K1557" t="s">
        <v>13282</v>
      </c>
    </row>
    <row r="1558" spans="1:11" s="3" customFormat="1" x14ac:dyDescent="0.25">
      <c r="A1558" t="s">
        <v>12165</v>
      </c>
      <c r="B1558" t="s">
        <v>12166</v>
      </c>
      <c r="C1558" s="111"/>
      <c r="D1558" s="128"/>
      <c r="E1558">
        <v>1133</v>
      </c>
      <c r="F1558" t="s">
        <v>12167</v>
      </c>
      <c r="G1558" t="s">
        <v>12166</v>
      </c>
      <c r="H1558" t="s">
        <v>8230</v>
      </c>
      <c r="I1558" t="s">
        <v>12166</v>
      </c>
      <c r="J1558" t="s">
        <v>12167</v>
      </c>
      <c r="K1558" t="s">
        <v>13283</v>
      </c>
    </row>
    <row r="1559" spans="1:11" s="3" customFormat="1" x14ac:dyDescent="0.25">
      <c r="A1559" t="s">
        <v>12168</v>
      </c>
      <c r="B1559" t="s">
        <v>12169</v>
      </c>
      <c r="C1559" s="111"/>
      <c r="D1559" s="128"/>
      <c r="E1559">
        <v>374</v>
      </c>
      <c r="F1559" t="s">
        <v>12171</v>
      </c>
      <c r="G1559" t="s">
        <v>12170</v>
      </c>
      <c r="H1559" t="s">
        <v>8230</v>
      </c>
      <c r="I1559" t="s">
        <v>12169</v>
      </c>
      <c r="J1559" t="s">
        <v>12171</v>
      </c>
      <c r="K1559" t="s">
        <v>13284</v>
      </c>
    </row>
    <row r="1560" spans="1:11" s="3" customFormat="1" x14ac:dyDescent="0.25">
      <c r="A1560" t="s">
        <v>12172</v>
      </c>
      <c r="B1560" t="s">
        <v>12173</v>
      </c>
      <c r="C1560" s="111"/>
      <c r="D1560" s="128"/>
      <c r="E1560">
        <v>490</v>
      </c>
      <c r="F1560" t="s">
        <v>12174</v>
      </c>
      <c r="G1560" t="s">
        <v>12173</v>
      </c>
      <c r="H1560" t="s">
        <v>8230</v>
      </c>
      <c r="I1560" t="s">
        <v>12173</v>
      </c>
      <c r="J1560" t="s">
        <v>12174</v>
      </c>
      <c r="K1560" t="s">
        <v>13258</v>
      </c>
    </row>
    <row r="1561" spans="1:11" s="3" customFormat="1" x14ac:dyDescent="0.25">
      <c r="A1561" t="s">
        <v>12175</v>
      </c>
      <c r="B1561" t="s">
        <v>12176</v>
      </c>
      <c r="C1561" s="111"/>
      <c r="D1561" s="128"/>
      <c r="E1561">
        <v>155</v>
      </c>
      <c r="F1561" t="s">
        <v>12178</v>
      </c>
      <c r="G1561" t="s">
        <v>12177</v>
      </c>
      <c r="H1561" t="s">
        <v>8230</v>
      </c>
      <c r="I1561" t="s">
        <v>12176</v>
      </c>
      <c r="J1561" t="s">
        <v>12178</v>
      </c>
      <c r="K1561" t="s">
        <v>13285</v>
      </c>
    </row>
    <row r="1562" spans="1:11" s="3" customFormat="1" x14ac:dyDescent="0.25">
      <c r="A1562" t="s">
        <v>12179</v>
      </c>
      <c r="B1562" t="s">
        <v>13968</v>
      </c>
      <c r="C1562" s="111"/>
      <c r="D1562" s="128"/>
      <c r="E1562">
        <v>201</v>
      </c>
      <c r="F1562" t="s">
        <v>12181</v>
      </c>
      <c r="G1562" t="s">
        <v>13968</v>
      </c>
      <c r="H1562" t="s">
        <v>8230</v>
      </c>
      <c r="I1562" t="s">
        <v>13968</v>
      </c>
      <c r="J1562" t="s">
        <v>12181</v>
      </c>
      <c r="K1562" t="s">
        <v>13286</v>
      </c>
    </row>
    <row r="1563" spans="1:11" s="3" customFormat="1" x14ac:dyDescent="0.25">
      <c r="A1563" t="s">
        <v>12182</v>
      </c>
      <c r="B1563" t="s">
        <v>12183</v>
      </c>
      <c r="C1563" s="111"/>
      <c r="D1563" s="128"/>
      <c r="E1563">
        <v>131</v>
      </c>
      <c r="F1563" t="s">
        <v>12184</v>
      </c>
      <c r="G1563" t="s">
        <v>12183</v>
      </c>
      <c r="H1563" t="s">
        <v>8230</v>
      </c>
      <c r="I1563" t="s">
        <v>12183</v>
      </c>
      <c r="J1563" t="s">
        <v>12184</v>
      </c>
      <c r="K1563" t="s">
        <v>13284</v>
      </c>
    </row>
    <row r="1564" spans="1:11" s="3" customFormat="1" x14ac:dyDescent="0.25">
      <c r="A1564" t="s">
        <v>12185</v>
      </c>
      <c r="B1564" t="s">
        <v>12186</v>
      </c>
      <c r="C1564" s="111"/>
      <c r="D1564" s="128"/>
      <c r="E1564">
        <v>194</v>
      </c>
      <c r="F1564" t="s">
        <v>12187</v>
      </c>
      <c r="G1564" t="s">
        <v>12186</v>
      </c>
      <c r="H1564" t="s">
        <v>8230</v>
      </c>
      <c r="I1564" t="s">
        <v>12186</v>
      </c>
      <c r="J1564" t="s">
        <v>12187</v>
      </c>
      <c r="K1564" t="s">
        <v>13286</v>
      </c>
    </row>
    <row r="1565" spans="1:11" s="3" customFormat="1" x14ac:dyDescent="0.25">
      <c r="A1565" t="s">
        <v>12188</v>
      </c>
      <c r="B1565" t="s">
        <v>12189</v>
      </c>
      <c r="C1565" s="111"/>
      <c r="D1565" s="128"/>
      <c r="E1565"/>
      <c r="F1565" t="s">
        <v>12190</v>
      </c>
      <c r="G1565" t="s">
        <v>12189</v>
      </c>
      <c r="H1565" t="s">
        <v>8230</v>
      </c>
      <c r="I1565" t="s">
        <v>12189</v>
      </c>
      <c r="J1565" t="s">
        <v>12190</v>
      </c>
      <c r="K1565" t="s">
        <v>13283</v>
      </c>
    </row>
    <row r="1566" spans="1:11" s="3" customFormat="1" x14ac:dyDescent="0.25">
      <c r="A1566" t="s">
        <v>12191</v>
      </c>
      <c r="B1566" t="s">
        <v>12192</v>
      </c>
      <c r="C1566" s="111"/>
      <c r="D1566" s="128"/>
      <c r="E1566">
        <v>494</v>
      </c>
      <c r="F1566" t="s">
        <v>12193</v>
      </c>
      <c r="G1566" t="s">
        <v>12192</v>
      </c>
      <c r="H1566" t="s">
        <v>8230</v>
      </c>
      <c r="I1566" t="s">
        <v>12192</v>
      </c>
      <c r="J1566" t="s">
        <v>12193</v>
      </c>
      <c r="K1566" t="s">
        <v>13282</v>
      </c>
    </row>
    <row r="1567" spans="1:11" s="3" customFormat="1" x14ac:dyDescent="0.25">
      <c r="A1567" t="s">
        <v>12194</v>
      </c>
      <c r="B1567" t="s">
        <v>12195</v>
      </c>
      <c r="C1567" s="111"/>
      <c r="D1567" s="128"/>
      <c r="E1567">
        <v>478</v>
      </c>
      <c r="F1567" t="s">
        <v>12196</v>
      </c>
      <c r="G1567" t="s">
        <v>12195</v>
      </c>
      <c r="H1567" t="s">
        <v>8230</v>
      </c>
      <c r="I1567" t="s">
        <v>12195</v>
      </c>
      <c r="J1567" t="s">
        <v>12196</v>
      </c>
      <c r="K1567" t="s">
        <v>13282</v>
      </c>
    </row>
    <row r="1568" spans="1:11" s="3" customFormat="1" x14ac:dyDescent="0.25">
      <c r="A1568" t="s">
        <v>12197</v>
      </c>
      <c r="B1568" t="s">
        <v>12198</v>
      </c>
      <c r="C1568" s="111"/>
      <c r="D1568" s="128"/>
      <c r="E1568">
        <v>0</v>
      </c>
      <c r="F1568" t="s">
        <v>12199</v>
      </c>
      <c r="G1568" t="s">
        <v>12198</v>
      </c>
      <c r="H1568" t="s">
        <v>8230</v>
      </c>
      <c r="I1568" t="s">
        <v>12198</v>
      </c>
      <c r="J1568" t="s">
        <v>12199</v>
      </c>
      <c r="K1568" t="s">
        <v>13282</v>
      </c>
    </row>
    <row r="1569" spans="1:11" s="3" customFormat="1" x14ac:dyDescent="0.25">
      <c r="A1569" t="s">
        <v>12200</v>
      </c>
      <c r="B1569" t="s">
        <v>8454</v>
      </c>
      <c r="C1569" s="111"/>
      <c r="D1569" s="128"/>
      <c r="E1569">
        <v>300</v>
      </c>
      <c r="F1569" t="s">
        <v>12201</v>
      </c>
      <c r="G1569" t="s">
        <v>8454</v>
      </c>
      <c r="H1569" t="s">
        <v>8230</v>
      </c>
      <c r="I1569" t="s">
        <v>8454</v>
      </c>
      <c r="J1569" t="s">
        <v>12201</v>
      </c>
      <c r="K1569" t="s">
        <v>13286</v>
      </c>
    </row>
    <row r="1570" spans="1:11" s="3" customFormat="1" x14ac:dyDescent="0.25">
      <c r="A1570" t="s">
        <v>12202</v>
      </c>
      <c r="B1570" t="s">
        <v>12203</v>
      </c>
      <c r="C1570" s="111"/>
      <c r="D1570" s="128"/>
      <c r="E1570">
        <v>19</v>
      </c>
      <c r="F1570" t="s">
        <v>12204</v>
      </c>
      <c r="G1570" t="s">
        <v>12203</v>
      </c>
      <c r="H1570" t="s">
        <v>8230</v>
      </c>
      <c r="I1570" t="s">
        <v>12203</v>
      </c>
      <c r="J1570" t="s">
        <v>12204</v>
      </c>
      <c r="K1570" t="s">
        <v>13287</v>
      </c>
    </row>
    <row r="1571" spans="1:11" s="3" customFormat="1" x14ac:dyDescent="0.25">
      <c r="A1571" t="s">
        <v>12205</v>
      </c>
      <c r="B1571" t="s">
        <v>12206</v>
      </c>
      <c r="C1571" s="111"/>
      <c r="D1571" s="128"/>
      <c r="E1571">
        <v>1327</v>
      </c>
      <c r="F1571" t="s">
        <v>12207</v>
      </c>
      <c r="G1571" t="s">
        <v>12206</v>
      </c>
      <c r="H1571" t="s">
        <v>8230</v>
      </c>
      <c r="I1571" t="s">
        <v>12206</v>
      </c>
      <c r="J1571" t="s">
        <v>12207</v>
      </c>
      <c r="K1571" t="s">
        <v>13287</v>
      </c>
    </row>
    <row r="1572" spans="1:11" s="3" customFormat="1" x14ac:dyDescent="0.25">
      <c r="A1572" t="s">
        <v>12208</v>
      </c>
      <c r="B1572" t="s">
        <v>12209</v>
      </c>
      <c r="C1572" s="111"/>
      <c r="D1572" s="128"/>
      <c r="E1572">
        <v>455</v>
      </c>
      <c r="F1572" t="s">
        <v>12210</v>
      </c>
      <c r="G1572" t="s">
        <v>12209</v>
      </c>
      <c r="H1572" t="s">
        <v>8230</v>
      </c>
      <c r="I1572" t="s">
        <v>12209</v>
      </c>
      <c r="J1572" t="s">
        <v>12210</v>
      </c>
      <c r="K1572" t="s">
        <v>13286</v>
      </c>
    </row>
    <row r="1573" spans="1:11" s="3" customFormat="1" x14ac:dyDescent="0.25">
      <c r="A1573" t="s">
        <v>12211</v>
      </c>
      <c r="B1573" t="s">
        <v>12212</v>
      </c>
      <c r="C1573" s="111"/>
      <c r="D1573" s="128"/>
      <c r="E1573">
        <v>1075</v>
      </c>
      <c r="F1573" t="s">
        <v>12213</v>
      </c>
      <c r="G1573" t="s">
        <v>12212</v>
      </c>
      <c r="H1573" t="s">
        <v>8230</v>
      </c>
      <c r="I1573" t="s">
        <v>12212</v>
      </c>
      <c r="J1573" t="s">
        <v>12213</v>
      </c>
      <c r="K1573" t="s">
        <v>13286</v>
      </c>
    </row>
    <row r="1574" spans="1:11" s="3" customFormat="1" x14ac:dyDescent="0.25">
      <c r="A1574" t="s">
        <v>12214</v>
      </c>
      <c r="B1574" t="s">
        <v>12215</v>
      </c>
      <c r="C1574" s="111"/>
      <c r="D1574" s="128"/>
      <c r="E1574">
        <v>22</v>
      </c>
      <c r="F1574" t="s">
        <v>12216</v>
      </c>
      <c r="G1574" t="s">
        <v>12215</v>
      </c>
      <c r="H1574" t="s">
        <v>8230</v>
      </c>
      <c r="I1574" t="s">
        <v>12215</v>
      </c>
      <c r="J1574" t="s">
        <v>12216</v>
      </c>
      <c r="K1574" t="s">
        <v>13283</v>
      </c>
    </row>
    <row r="1575" spans="1:11" s="3" customFormat="1" x14ac:dyDescent="0.25">
      <c r="A1575" t="s">
        <v>12217</v>
      </c>
      <c r="B1575" t="s">
        <v>12218</v>
      </c>
      <c r="C1575" s="111"/>
      <c r="D1575" s="128"/>
      <c r="E1575"/>
      <c r="F1575" t="s">
        <v>12220</v>
      </c>
      <c r="G1575" t="s">
        <v>12219</v>
      </c>
      <c r="H1575" t="s">
        <v>8230</v>
      </c>
      <c r="I1575" t="s">
        <v>12218</v>
      </c>
      <c r="J1575" t="s">
        <v>12220</v>
      </c>
      <c r="K1575" t="s">
        <v>13258</v>
      </c>
    </row>
    <row r="1576" spans="1:11" s="3" customFormat="1" x14ac:dyDescent="0.25">
      <c r="A1576" s="112"/>
      <c r="D1576" s="111"/>
      <c r="E1576" s="111"/>
      <c r="F1576" s="112"/>
      <c r="G1576" s="111"/>
      <c r="H1576" s="111"/>
      <c r="J1576" s="111"/>
    </row>
    <row r="1577" spans="1:11" s="3" customFormat="1" x14ac:dyDescent="0.25">
      <c r="A1577" s="112"/>
      <c r="D1577" s="111"/>
      <c r="E1577" s="111"/>
      <c r="F1577" s="112"/>
      <c r="G1577" s="111"/>
      <c r="H1577" s="111"/>
      <c r="J1577" s="111"/>
    </row>
    <row r="1578" spans="1:11" s="3" customFormat="1" x14ac:dyDescent="0.25">
      <c r="A1578" s="112"/>
      <c r="D1578" s="111"/>
      <c r="E1578" s="111"/>
      <c r="F1578" s="112"/>
      <c r="G1578" s="111"/>
      <c r="H1578" s="111"/>
      <c r="J1578" s="111"/>
    </row>
    <row r="1579" spans="1:11" s="3" customFormat="1" x14ac:dyDescent="0.25">
      <c r="A1579" s="112"/>
      <c r="D1579" s="111"/>
      <c r="E1579" s="111"/>
      <c r="F1579" s="112"/>
      <c r="G1579" s="111"/>
      <c r="H1579" s="111"/>
      <c r="J1579" s="111"/>
    </row>
    <row r="1580" spans="1:11" s="3" customFormat="1" x14ac:dyDescent="0.25">
      <c r="A1580" s="112"/>
      <c r="D1580" s="111"/>
      <c r="E1580" s="111"/>
      <c r="F1580" s="112"/>
      <c r="G1580" s="111"/>
      <c r="H1580" s="111"/>
      <c r="J1580" s="111"/>
    </row>
    <row r="1581" spans="1:11" s="3" customFormat="1" x14ac:dyDescent="0.25">
      <c r="A1581" s="112"/>
      <c r="D1581" s="111"/>
      <c r="E1581" s="111"/>
      <c r="F1581" s="112"/>
      <c r="G1581" s="111"/>
      <c r="H1581" s="111"/>
      <c r="J1581" s="111"/>
    </row>
    <row r="1582" spans="1:11" s="3" customFormat="1" x14ac:dyDescent="0.25">
      <c r="A1582" s="112"/>
      <c r="D1582" s="111"/>
      <c r="E1582" s="111"/>
      <c r="F1582" s="112"/>
      <c r="G1582" s="111"/>
      <c r="H1582" s="111"/>
      <c r="J1582" s="111"/>
    </row>
    <row r="1583" spans="1:11" s="3" customFormat="1" x14ac:dyDescent="0.25">
      <c r="A1583" s="112"/>
      <c r="D1583" s="111"/>
      <c r="E1583" s="111"/>
      <c r="F1583" s="112"/>
      <c r="G1583" s="111"/>
      <c r="H1583" s="111"/>
      <c r="J1583" s="111"/>
    </row>
    <row r="1584" spans="1:11" s="3" customFormat="1" x14ac:dyDescent="0.25">
      <c r="A1584" s="112"/>
      <c r="D1584" s="111"/>
      <c r="E1584" s="111"/>
      <c r="F1584" s="112"/>
      <c r="G1584" s="111"/>
      <c r="H1584" s="111"/>
      <c r="J1584" s="111"/>
    </row>
    <row r="1585" spans="1:10" s="3" customFormat="1" x14ac:dyDescent="0.25">
      <c r="A1585" s="112"/>
      <c r="D1585" s="111"/>
      <c r="E1585" s="111"/>
      <c r="F1585" s="112"/>
      <c r="G1585" s="111"/>
      <c r="H1585" s="111"/>
      <c r="J1585" s="111"/>
    </row>
    <row r="1586" spans="1:10" s="3" customFormat="1" x14ac:dyDescent="0.25">
      <c r="A1586" s="112"/>
      <c r="D1586" s="111"/>
      <c r="E1586" s="111"/>
      <c r="F1586" s="112"/>
      <c r="G1586" s="111"/>
      <c r="H1586" s="111"/>
      <c r="J1586" s="111"/>
    </row>
    <row r="1587" spans="1:10" s="3" customFormat="1" x14ac:dyDescent="0.25">
      <c r="A1587" s="112"/>
      <c r="D1587" s="111"/>
      <c r="E1587" s="111"/>
      <c r="F1587" s="112"/>
      <c r="G1587" s="111"/>
      <c r="H1587" s="111"/>
      <c r="J1587" s="111"/>
    </row>
    <row r="1588" spans="1:10" s="3" customFormat="1" x14ac:dyDescent="0.25">
      <c r="A1588" s="112"/>
      <c r="D1588" s="111"/>
      <c r="E1588" s="111"/>
      <c r="F1588" s="112"/>
      <c r="G1588" s="111"/>
      <c r="H1588" s="111"/>
      <c r="J1588" s="111"/>
    </row>
    <row r="1589" spans="1:10" s="3" customFormat="1" x14ac:dyDescent="0.25">
      <c r="A1589" s="112"/>
      <c r="D1589" s="111"/>
      <c r="E1589" s="111"/>
      <c r="F1589" s="112"/>
      <c r="G1589" s="111"/>
      <c r="H1589" s="111"/>
      <c r="J1589" s="111"/>
    </row>
    <row r="1590" spans="1:10" s="3" customFormat="1" x14ac:dyDescent="0.25">
      <c r="A1590" s="112"/>
      <c r="D1590" s="111"/>
      <c r="E1590" s="111"/>
      <c r="F1590" s="112"/>
      <c r="G1590" s="111"/>
      <c r="H1590" s="111"/>
      <c r="J1590" s="111"/>
    </row>
    <row r="1591" spans="1:10" s="3" customFormat="1" x14ac:dyDescent="0.25">
      <c r="A1591" s="112"/>
      <c r="D1591" s="111"/>
      <c r="E1591" s="111"/>
      <c r="F1591" s="112"/>
      <c r="G1591" s="111"/>
      <c r="H1591" s="111"/>
      <c r="J1591" s="111"/>
    </row>
    <row r="1592" spans="1:10" s="3" customFormat="1" x14ac:dyDescent="0.25">
      <c r="A1592" s="112"/>
      <c r="D1592" s="111"/>
      <c r="E1592" s="111"/>
      <c r="F1592" s="112"/>
      <c r="G1592" s="111"/>
      <c r="H1592" s="111"/>
      <c r="J1592" s="111"/>
    </row>
    <row r="1593" spans="1:10" s="3" customFormat="1" x14ac:dyDescent="0.25">
      <c r="A1593" s="112"/>
      <c r="D1593" s="111"/>
      <c r="E1593" s="111"/>
      <c r="F1593" s="112"/>
      <c r="G1593" s="111"/>
      <c r="H1593" s="111"/>
      <c r="J1593" s="111"/>
    </row>
    <row r="1594" spans="1:10" s="3" customFormat="1" x14ac:dyDescent="0.25">
      <c r="A1594" s="112"/>
      <c r="D1594" s="111"/>
      <c r="E1594" s="111"/>
      <c r="F1594" s="112"/>
      <c r="G1594" s="111"/>
      <c r="H1594" s="111"/>
      <c r="J1594" s="111"/>
    </row>
    <row r="1595" spans="1:10" s="3" customFormat="1" x14ac:dyDescent="0.25">
      <c r="A1595" s="112"/>
      <c r="D1595" s="111"/>
      <c r="E1595" s="111"/>
      <c r="F1595" s="112"/>
      <c r="G1595" s="111"/>
      <c r="H1595" s="111"/>
      <c r="J1595" s="111"/>
    </row>
    <row r="1596" spans="1:10" s="3" customFormat="1" x14ac:dyDescent="0.25">
      <c r="A1596" s="112"/>
      <c r="D1596" s="111"/>
      <c r="E1596" s="111"/>
      <c r="F1596" s="112"/>
      <c r="G1596" s="111"/>
      <c r="H1596" s="111"/>
      <c r="J1596" s="111"/>
    </row>
    <row r="1597" spans="1:10" s="3" customFormat="1" x14ac:dyDescent="0.25">
      <c r="A1597" s="112"/>
      <c r="D1597" s="111"/>
      <c r="E1597" s="111"/>
      <c r="F1597" s="112"/>
      <c r="G1597" s="111"/>
      <c r="H1597" s="111"/>
      <c r="J1597" s="111"/>
    </row>
    <row r="1598" spans="1:10" s="3" customFormat="1" x14ac:dyDescent="0.25">
      <c r="A1598" s="112"/>
      <c r="D1598" s="111"/>
      <c r="E1598" s="111"/>
      <c r="F1598" s="112"/>
      <c r="G1598" s="111"/>
      <c r="H1598" s="111"/>
      <c r="J1598" s="111"/>
    </row>
    <row r="1599" spans="1:10" s="3" customFormat="1" x14ac:dyDescent="0.25">
      <c r="A1599" s="112"/>
      <c r="D1599" s="111"/>
      <c r="E1599" s="111"/>
      <c r="F1599" s="112"/>
      <c r="G1599" s="111"/>
      <c r="H1599" s="111"/>
      <c r="J1599" s="111"/>
    </row>
    <row r="1600" spans="1:10" s="3" customFormat="1" x14ac:dyDescent="0.25">
      <c r="A1600" s="112"/>
      <c r="D1600" s="111"/>
      <c r="E1600" s="111"/>
      <c r="F1600" s="112"/>
      <c r="G1600" s="111"/>
      <c r="H1600" s="111"/>
      <c r="J1600" s="111"/>
    </row>
    <row r="1601" spans="1:10" s="3" customFormat="1" x14ac:dyDescent="0.25">
      <c r="A1601" s="112"/>
      <c r="D1601" s="111"/>
      <c r="E1601" s="111"/>
      <c r="F1601" s="112"/>
      <c r="G1601" s="111"/>
      <c r="H1601" s="111"/>
      <c r="J1601" s="111"/>
    </row>
    <row r="1602" spans="1:10" s="3" customFormat="1" x14ac:dyDescent="0.25">
      <c r="A1602" s="112"/>
      <c r="D1602" s="111"/>
      <c r="E1602" s="111"/>
      <c r="F1602" s="112"/>
      <c r="G1602" s="111"/>
      <c r="H1602" s="111"/>
      <c r="J1602" s="111"/>
    </row>
    <row r="1603" spans="1:10" s="3" customFormat="1" x14ac:dyDescent="0.25">
      <c r="A1603" s="112"/>
      <c r="D1603" s="111"/>
      <c r="E1603" s="111"/>
      <c r="F1603" s="112"/>
      <c r="G1603" s="111"/>
      <c r="H1603" s="111"/>
      <c r="J1603" s="111"/>
    </row>
    <row r="1604" spans="1:10" s="3" customFormat="1" x14ac:dyDescent="0.25">
      <c r="A1604" s="112"/>
      <c r="D1604" s="111"/>
      <c r="E1604" s="111"/>
      <c r="F1604" s="112"/>
      <c r="G1604" s="111"/>
      <c r="H1604" s="111"/>
      <c r="J1604" s="111"/>
    </row>
    <row r="1605" spans="1:10" s="3" customFormat="1" x14ac:dyDescent="0.25">
      <c r="A1605" s="112"/>
      <c r="D1605" s="111"/>
      <c r="E1605" s="111"/>
      <c r="F1605" s="112"/>
      <c r="G1605" s="111"/>
      <c r="H1605" s="111"/>
      <c r="J1605" s="111"/>
    </row>
    <row r="1606" spans="1:10" s="3" customFormat="1" x14ac:dyDescent="0.25">
      <c r="A1606" s="112"/>
      <c r="D1606" s="111"/>
      <c r="E1606" s="111"/>
      <c r="F1606" s="112"/>
      <c r="G1606" s="111"/>
      <c r="H1606" s="111"/>
      <c r="J1606" s="111"/>
    </row>
    <row r="1607" spans="1:10" s="3" customFormat="1" x14ac:dyDescent="0.25">
      <c r="A1607" s="112"/>
      <c r="D1607" s="111"/>
      <c r="E1607" s="111"/>
      <c r="F1607" s="112"/>
      <c r="G1607" s="111"/>
      <c r="H1607" s="111"/>
      <c r="J1607" s="111"/>
    </row>
    <row r="1608" spans="1:10" s="3" customFormat="1" x14ac:dyDescent="0.25">
      <c r="A1608" s="112"/>
      <c r="D1608" s="111"/>
      <c r="E1608" s="111"/>
      <c r="F1608" s="112"/>
      <c r="G1608" s="111"/>
      <c r="H1608" s="111"/>
      <c r="J1608" s="111"/>
    </row>
    <row r="1609" spans="1:10" s="3" customFormat="1" x14ac:dyDescent="0.25">
      <c r="A1609" s="112"/>
      <c r="D1609" s="111"/>
      <c r="E1609" s="111"/>
      <c r="F1609" s="112"/>
      <c r="G1609" s="111"/>
      <c r="H1609" s="111"/>
      <c r="J1609" s="111"/>
    </row>
    <row r="1610" spans="1:10" s="3" customFormat="1" x14ac:dyDescent="0.25">
      <c r="A1610" s="112"/>
      <c r="D1610" s="111"/>
      <c r="E1610" s="111"/>
      <c r="F1610" s="112"/>
      <c r="G1610" s="111"/>
      <c r="H1610" s="111"/>
      <c r="J1610" s="111"/>
    </row>
    <row r="1611" spans="1:10" s="3" customFormat="1" x14ac:dyDescent="0.25">
      <c r="A1611" s="112"/>
      <c r="D1611" s="111"/>
      <c r="E1611" s="111"/>
      <c r="F1611" s="112"/>
      <c r="G1611" s="111"/>
      <c r="H1611" s="111"/>
      <c r="J1611" s="111"/>
    </row>
    <row r="1612" spans="1:10" s="3" customFormat="1" x14ac:dyDescent="0.25">
      <c r="A1612" s="112"/>
      <c r="D1612" s="111"/>
      <c r="E1612" s="111"/>
      <c r="F1612" s="112"/>
      <c r="G1612" s="111"/>
      <c r="H1612" s="111"/>
      <c r="J1612" s="111"/>
    </row>
    <row r="1613" spans="1:10" s="3" customFormat="1" x14ac:dyDescent="0.25">
      <c r="A1613" s="112"/>
      <c r="D1613" s="111"/>
      <c r="E1613" s="111"/>
      <c r="F1613" s="112"/>
      <c r="G1613" s="111"/>
      <c r="H1613" s="111"/>
      <c r="J1613" s="111"/>
    </row>
    <row r="1614" spans="1:10" s="3" customFormat="1" x14ac:dyDescent="0.25">
      <c r="A1614" s="112"/>
      <c r="D1614" s="111"/>
      <c r="E1614" s="111"/>
      <c r="F1614" s="112"/>
      <c r="G1614" s="111"/>
      <c r="H1614" s="111"/>
      <c r="J1614" s="111"/>
    </row>
    <row r="1615" spans="1:10" s="3" customFormat="1" x14ac:dyDescent="0.25">
      <c r="A1615" s="112"/>
      <c r="D1615" s="111"/>
      <c r="E1615" s="111"/>
      <c r="F1615" s="112"/>
      <c r="G1615" s="111"/>
      <c r="H1615" s="111"/>
      <c r="J1615" s="111"/>
    </row>
    <row r="1616" spans="1:10" s="3" customFormat="1" x14ac:dyDescent="0.25">
      <c r="A1616" s="112"/>
      <c r="D1616" s="111"/>
      <c r="E1616" s="111"/>
      <c r="F1616" s="112"/>
      <c r="G1616" s="111"/>
      <c r="H1616" s="111"/>
      <c r="J1616" s="111"/>
    </row>
    <row r="1617" spans="1:10" s="3" customFormat="1" x14ac:dyDescent="0.25">
      <c r="A1617" s="112"/>
      <c r="D1617" s="111"/>
      <c r="E1617" s="111"/>
      <c r="F1617" s="112"/>
      <c r="G1617" s="111"/>
      <c r="H1617" s="111"/>
      <c r="J1617" s="111"/>
    </row>
    <row r="1618" spans="1:10" s="3" customFormat="1" x14ac:dyDescent="0.25">
      <c r="A1618" s="112"/>
      <c r="D1618" s="111"/>
      <c r="E1618" s="111"/>
      <c r="F1618" s="112"/>
      <c r="G1618" s="111"/>
      <c r="H1618" s="111"/>
      <c r="J1618" s="111"/>
    </row>
    <row r="1619" spans="1:10" s="3" customFormat="1" x14ac:dyDescent="0.25">
      <c r="A1619" s="112"/>
      <c r="D1619" s="111"/>
      <c r="E1619" s="111"/>
      <c r="F1619" s="112"/>
      <c r="G1619" s="111"/>
      <c r="H1619" s="111"/>
      <c r="J1619" s="111"/>
    </row>
    <row r="1620" spans="1:10" s="3" customFormat="1" x14ac:dyDescent="0.25">
      <c r="A1620" s="112"/>
      <c r="D1620" s="111"/>
      <c r="E1620" s="111"/>
      <c r="F1620" s="112"/>
      <c r="G1620" s="111"/>
      <c r="H1620" s="111"/>
      <c r="J1620" s="111"/>
    </row>
    <row r="1621" spans="1:10" s="3" customFormat="1" x14ac:dyDescent="0.25">
      <c r="A1621" s="112"/>
      <c r="D1621" s="111"/>
      <c r="E1621" s="111"/>
      <c r="F1621" s="112"/>
      <c r="G1621" s="111"/>
      <c r="H1621" s="111"/>
      <c r="J1621" s="111"/>
    </row>
    <row r="1622" spans="1:10" s="3" customFormat="1" x14ac:dyDescent="0.25">
      <c r="A1622" s="112"/>
      <c r="D1622" s="111"/>
      <c r="E1622" s="111"/>
      <c r="F1622" s="112"/>
      <c r="G1622" s="111"/>
      <c r="H1622" s="111"/>
      <c r="J1622" s="111"/>
    </row>
    <row r="1623" spans="1:10" s="3" customFormat="1" x14ac:dyDescent="0.25">
      <c r="A1623" s="112"/>
      <c r="D1623" s="111"/>
      <c r="E1623" s="111"/>
      <c r="F1623" s="112"/>
      <c r="G1623" s="111"/>
      <c r="H1623" s="111"/>
      <c r="J1623" s="111"/>
    </row>
    <row r="1624" spans="1:10" s="3" customFormat="1" x14ac:dyDescent="0.25">
      <c r="A1624" s="112"/>
      <c r="D1624" s="111"/>
      <c r="E1624" s="111"/>
      <c r="F1624" s="112"/>
      <c r="G1624" s="111"/>
      <c r="H1624" s="111"/>
      <c r="J1624" s="111"/>
    </row>
    <row r="1625" spans="1:10" s="3" customFormat="1" x14ac:dyDescent="0.25">
      <c r="A1625" s="112"/>
      <c r="D1625" s="111"/>
      <c r="E1625" s="111"/>
      <c r="F1625" s="112"/>
      <c r="G1625" s="111"/>
      <c r="H1625" s="111"/>
      <c r="J1625" s="111"/>
    </row>
    <row r="1626" spans="1:10" s="3" customFormat="1" x14ac:dyDescent="0.25">
      <c r="A1626" s="112"/>
      <c r="D1626" s="111"/>
      <c r="E1626" s="111"/>
      <c r="F1626" s="112"/>
      <c r="G1626" s="111"/>
      <c r="H1626" s="111"/>
      <c r="J1626" s="111"/>
    </row>
    <row r="1627" spans="1:10" s="3" customFormat="1" x14ac:dyDescent="0.25">
      <c r="A1627" s="112"/>
      <c r="D1627" s="111"/>
      <c r="E1627" s="111"/>
      <c r="F1627" s="112"/>
      <c r="G1627" s="111"/>
      <c r="H1627" s="111"/>
      <c r="J1627" s="111"/>
    </row>
    <row r="1628" spans="1:10" s="3" customFormat="1" x14ac:dyDescent="0.25">
      <c r="A1628" s="112"/>
      <c r="D1628" s="111"/>
      <c r="E1628" s="111"/>
      <c r="F1628" s="112"/>
      <c r="G1628" s="111"/>
      <c r="H1628" s="111"/>
      <c r="J1628" s="111"/>
    </row>
    <row r="1629" spans="1:10" s="3" customFormat="1" x14ac:dyDescent="0.25">
      <c r="A1629" s="112"/>
      <c r="D1629" s="111"/>
      <c r="E1629" s="111"/>
      <c r="F1629" s="112"/>
      <c r="G1629" s="111"/>
      <c r="H1629" s="111"/>
      <c r="J1629" s="111"/>
    </row>
    <row r="1630" spans="1:10" s="3" customFormat="1" x14ac:dyDescent="0.25">
      <c r="A1630" s="112"/>
      <c r="D1630" s="111"/>
      <c r="E1630" s="111"/>
      <c r="F1630" s="112"/>
      <c r="G1630" s="111"/>
      <c r="H1630" s="111"/>
      <c r="J1630" s="111"/>
    </row>
    <row r="1631" spans="1:10" s="3" customFormat="1" x14ac:dyDescent="0.25">
      <c r="A1631" s="112"/>
      <c r="D1631" s="111"/>
      <c r="E1631" s="111"/>
      <c r="F1631" s="112"/>
      <c r="G1631" s="111"/>
      <c r="H1631" s="111"/>
      <c r="J1631" s="111"/>
    </row>
    <row r="1632" spans="1:10" s="3" customFormat="1" x14ac:dyDescent="0.25">
      <c r="A1632" s="112"/>
      <c r="D1632" s="111"/>
      <c r="E1632" s="111"/>
      <c r="F1632" s="112"/>
      <c r="G1632" s="111"/>
      <c r="H1632" s="111"/>
      <c r="J1632" s="111"/>
    </row>
    <row r="1633" spans="1:10" s="3" customFormat="1" x14ac:dyDescent="0.25">
      <c r="A1633" s="112"/>
      <c r="D1633" s="111"/>
      <c r="E1633" s="111"/>
      <c r="F1633" s="112"/>
      <c r="G1633" s="111"/>
      <c r="H1633" s="111"/>
      <c r="J1633" s="111"/>
    </row>
    <row r="1634" spans="1:10" s="3" customFormat="1" x14ac:dyDescent="0.25">
      <c r="A1634" s="112"/>
      <c r="D1634" s="111"/>
      <c r="E1634" s="111"/>
      <c r="F1634" s="112"/>
      <c r="G1634" s="111"/>
      <c r="H1634" s="111"/>
      <c r="J1634" s="111"/>
    </row>
    <row r="1635" spans="1:10" s="3" customFormat="1" x14ac:dyDescent="0.25">
      <c r="A1635" s="112"/>
      <c r="D1635" s="111"/>
      <c r="E1635" s="111"/>
      <c r="F1635" s="112"/>
      <c r="G1635" s="111"/>
      <c r="H1635" s="111"/>
      <c r="J1635" s="111"/>
    </row>
    <row r="1636" spans="1:10" s="3" customFormat="1" x14ac:dyDescent="0.25">
      <c r="A1636" s="112"/>
      <c r="D1636" s="111"/>
      <c r="E1636" s="111"/>
      <c r="F1636" s="112"/>
      <c r="G1636" s="111"/>
      <c r="H1636" s="111"/>
      <c r="J1636" s="111"/>
    </row>
    <row r="1637" spans="1:10" s="3" customFormat="1" x14ac:dyDescent="0.25">
      <c r="A1637" s="112"/>
      <c r="D1637" s="111"/>
      <c r="E1637" s="111"/>
      <c r="F1637" s="112"/>
      <c r="G1637" s="111"/>
      <c r="H1637" s="111"/>
      <c r="J1637" s="111"/>
    </row>
    <row r="1638" spans="1:10" s="3" customFormat="1" x14ac:dyDescent="0.25">
      <c r="A1638" s="112"/>
      <c r="D1638" s="111"/>
      <c r="E1638" s="111"/>
      <c r="F1638" s="112"/>
      <c r="G1638" s="111"/>
      <c r="H1638" s="111"/>
      <c r="J1638" s="111"/>
    </row>
    <row r="1639" spans="1:10" s="3" customFormat="1" x14ac:dyDescent="0.25">
      <c r="A1639" s="112"/>
      <c r="D1639" s="111"/>
      <c r="E1639" s="111"/>
      <c r="F1639" s="112"/>
      <c r="G1639" s="111"/>
      <c r="H1639" s="111"/>
      <c r="J1639" s="111"/>
    </row>
    <row r="1640" spans="1:10" s="3" customFormat="1" x14ac:dyDescent="0.25">
      <c r="A1640" s="112"/>
      <c r="D1640" s="111"/>
      <c r="E1640" s="111"/>
      <c r="F1640" s="112"/>
      <c r="G1640" s="111"/>
      <c r="H1640" s="111"/>
      <c r="J1640" s="111"/>
    </row>
    <row r="1641" spans="1:10" s="3" customFormat="1" x14ac:dyDescent="0.25">
      <c r="A1641" s="112"/>
      <c r="D1641" s="111"/>
      <c r="E1641" s="111"/>
      <c r="F1641" s="112"/>
      <c r="G1641" s="111"/>
      <c r="H1641" s="111"/>
      <c r="J1641" s="111"/>
    </row>
    <row r="1642" spans="1:10" s="3" customFormat="1" x14ac:dyDescent="0.25">
      <c r="A1642" s="112"/>
      <c r="D1642" s="111"/>
      <c r="E1642" s="111"/>
      <c r="F1642" s="112"/>
      <c r="G1642" s="111"/>
      <c r="H1642" s="111"/>
      <c r="J1642" s="111"/>
    </row>
    <row r="1643" spans="1:10" s="3" customFormat="1" x14ac:dyDescent="0.25">
      <c r="A1643" s="112"/>
      <c r="D1643" s="111"/>
      <c r="E1643" s="111"/>
      <c r="F1643" s="112"/>
      <c r="G1643" s="111"/>
      <c r="H1643" s="111"/>
      <c r="J1643" s="111"/>
    </row>
    <row r="1644" spans="1:10" s="3" customFormat="1" x14ac:dyDescent="0.25">
      <c r="A1644" s="112"/>
      <c r="D1644" s="111"/>
      <c r="E1644" s="111"/>
      <c r="F1644" s="112"/>
      <c r="G1644" s="111"/>
      <c r="H1644" s="111"/>
      <c r="J1644" s="111"/>
    </row>
    <row r="1645" spans="1:10" s="3" customFormat="1" x14ac:dyDescent="0.25">
      <c r="A1645" s="112"/>
      <c r="D1645" s="111"/>
      <c r="E1645" s="111"/>
      <c r="F1645" s="112"/>
      <c r="G1645" s="111"/>
      <c r="H1645" s="111"/>
      <c r="J1645" s="111"/>
    </row>
    <row r="1646" spans="1:10" s="3" customFormat="1" x14ac:dyDescent="0.25">
      <c r="A1646" s="112"/>
      <c r="D1646" s="111"/>
      <c r="E1646" s="111"/>
      <c r="F1646" s="112"/>
      <c r="G1646" s="111"/>
      <c r="H1646" s="111"/>
      <c r="J1646" s="111"/>
    </row>
    <row r="1647" spans="1:10" s="3" customFormat="1" x14ac:dyDescent="0.25">
      <c r="A1647" s="112"/>
      <c r="D1647" s="111"/>
      <c r="E1647" s="111"/>
      <c r="F1647" s="112"/>
      <c r="G1647" s="111"/>
      <c r="H1647" s="111"/>
      <c r="J1647" s="111"/>
    </row>
    <row r="1648" spans="1:10" s="3" customFormat="1" x14ac:dyDescent="0.25">
      <c r="A1648" s="112"/>
      <c r="D1648" s="111"/>
      <c r="E1648" s="111"/>
      <c r="F1648" s="112"/>
      <c r="G1648" s="111"/>
      <c r="H1648" s="111"/>
      <c r="J1648" s="111"/>
    </row>
    <row r="1649" spans="1:10" s="3" customFormat="1" x14ac:dyDescent="0.25">
      <c r="A1649" s="112"/>
      <c r="D1649" s="111"/>
      <c r="E1649" s="111"/>
      <c r="F1649" s="112"/>
      <c r="G1649" s="111"/>
      <c r="H1649" s="111"/>
      <c r="J1649" s="111"/>
    </row>
    <row r="1650" spans="1:10" s="3" customFormat="1" x14ac:dyDescent="0.25">
      <c r="A1650" s="112"/>
      <c r="D1650" s="111"/>
      <c r="E1650" s="111"/>
      <c r="F1650" s="112"/>
      <c r="G1650" s="111"/>
      <c r="H1650" s="111"/>
      <c r="J1650" s="111"/>
    </row>
    <row r="1651" spans="1:10" s="3" customFormat="1" x14ac:dyDescent="0.25">
      <c r="A1651" s="112"/>
      <c r="D1651" s="111"/>
      <c r="E1651" s="111"/>
      <c r="F1651" s="112"/>
      <c r="G1651" s="111"/>
      <c r="H1651" s="111"/>
      <c r="J1651" s="111"/>
    </row>
    <row r="1652" spans="1:10" s="3" customFormat="1" x14ac:dyDescent="0.25">
      <c r="A1652" s="112"/>
      <c r="D1652" s="111"/>
      <c r="E1652" s="111"/>
      <c r="F1652" s="112"/>
      <c r="G1652" s="111"/>
      <c r="H1652" s="111"/>
      <c r="J1652" s="111"/>
    </row>
    <row r="1653" spans="1:10" s="3" customFormat="1" x14ac:dyDescent="0.25">
      <c r="A1653" s="112"/>
      <c r="D1653" s="111"/>
      <c r="E1653" s="111"/>
      <c r="F1653" s="112"/>
      <c r="G1653" s="111"/>
      <c r="H1653" s="111"/>
      <c r="J1653" s="111"/>
    </row>
    <row r="1654" spans="1:10" s="3" customFormat="1" x14ac:dyDescent="0.25">
      <c r="A1654" s="112"/>
      <c r="D1654" s="111"/>
      <c r="E1654" s="111"/>
      <c r="F1654" s="112"/>
      <c r="G1654" s="111"/>
      <c r="H1654" s="111"/>
      <c r="J1654" s="111"/>
    </row>
    <row r="1655" spans="1:10" s="3" customFormat="1" x14ac:dyDescent="0.25">
      <c r="A1655" s="112"/>
      <c r="D1655" s="111"/>
      <c r="E1655" s="111"/>
      <c r="F1655" s="112"/>
      <c r="G1655" s="111"/>
      <c r="H1655" s="111"/>
      <c r="J1655" s="111"/>
    </row>
    <row r="1656" spans="1:10" s="3" customFormat="1" x14ac:dyDescent="0.25">
      <c r="A1656" s="112"/>
      <c r="D1656" s="111"/>
      <c r="E1656" s="111"/>
      <c r="F1656" s="112"/>
      <c r="G1656" s="111"/>
      <c r="H1656" s="111"/>
      <c r="J1656" s="111"/>
    </row>
    <row r="1657" spans="1:10" s="3" customFormat="1" x14ac:dyDescent="0.25">
      <c r="A1657" s="112"/>
      <c r="D1657" s="111"/>
      <c r="E1657" s="111"/>
      <c r="F1657" s="112"/>
      <c r="G1657" s="111"/>
      <c r="H1657" s="111"/>
      <c r="J1657" s="111"/>
    </row>
    <row r="1658" spans="1:10" s="3" customFormat="1" x14ac:dyDescent="0.25">
      <c r="A1658" s="112"/>
      <c r="D1658" s="111"/>
      <c r="E1658" s="111"/>
      <c r="F1658" s="112"/>
      <c r="G1658" s="111"/>
      <c r="H1658" s="111"/>
      <c r="J1658" s="111"/>
    </row>
    <row r="1659" spans="1:10" s="3" customFormat="1" x14ac:dyDescent="0.25">
      <c r="A1659" s="112"/>
      <c r="D1659" s="111"/>
      <c r="E1659" s="111"/>
      <c r="F1659" s="112"/>
      <c r="G1659" s="111"/>
      <c r="H1659" s="111"/>
      <c r="J1659" s="111"/>
    </row>
    <row r="1660" spans="1:10" s="3" customFormat="1" x14ac:dyDescent="0.25">
      <c r="A1660" s="112"/>
      <c r="D1660" s="111"/>
      <c r="E1660" s="111"/>
      <c r="F1660" s="112"/>
      <c r="G1660" s="111"/>
      <c r="H1660" s="111"/>
      <c r="J1660" s="111"/>
    </row>
    <row r="1661" spans="1:10" s="3" customFormat="1" x14ac:dyDescent="0.25">
      <c r="A1661" s="112"/>
      <c r="D1661" s="111"/>
      <c r="E1661" s="111"/>
      <c r="F1661" s="112"/>
      <c r="G1661" s="111"/>
      <c r="H1661" s="111"/>
      <c r="J1661" s="111"/>
    </row>
    <row r="1662" spans="1:10" s="3" customFormat="1" x14ac:dyDescent="0.25">
      <c r="A1662" s="112"/>
      <c r="D1662" s="111"/>
      <c r="E1662" s="111"/>
      <c r="F1662" s="112"/>
      <c r="G1662" s="111"/>
      <c r="H1662" s="111"/>
      <c r="J1662" s="111"/>
    </row>
    <row r="1663" spans="1:10" s="3" customFormat="1" x14ac:dyDescent="0.25">
      <c r="A1663" s="112"/>
      <c r="D1663" s="111"/>
      <c r="E1663" s="111"/>
      <c r="F1663" s="112"/>
      <c r="G1663" s="111"/>
      <c r="H1663" s="111"/>
      <c r="J1663" s="111"/>
    </row>
    <row r="1664" spans="1:10" s="3" customFormat="1" x14ac:dyDescent="0.25">
      <c r="A1664" s="112"/>
      <c r="D1664" s="111"/>
      <c r="E1664" s="111"/>
      <c r="F1664" s="112"/>
      <c r="G1664" s="111"/>
      <c r="H1664" s="111"/>
      <c r="J1664" s="111"/>
    </row>
    <row r="1665" spans="1:10" s="3" customFormat="1" x14ac:dyDescent="0.25">
      <c r="A1665" s="112"/>
      <c r="D1665" s="111"/>
      <c r="E1665" s="111"/>
      <c r="F1665" s="112"/>
      <c r="G1665" s="111"/>
      <c r="H1665" s="111"/>
      <c r="J1665" s="111"/>
    </row>
    <row r="1666" spans="1:10" s="3" customFormat="1" x14ac:dyDescent="0.25">
      <c r="A1666" s="112"/>
      <c r="D1666" s="111"/>
      <c r="E1666" s="111"/>
      <c r="F1666" s="112"/>
      <c r="G1666" s="111"/>
      <c r="H1666" s="111"/>
      <c r="J1666" s="111"/>
    </row>
    <row r="1667" spans="1:10" s="3" customFormat="1" x14ac:dyDescent="0.25">
      <c r="A1667" s="112"/>
      <c r="D1667" s="111"/>
      <c r="E1667" s="111"/>
      <c r="F1667" s="112"/>
      <c r="G1667" s="111"/>
      <c r="H1667" s="111"/>
      <c r="J1667" s="111"/>
    </row>
    <row r="1668" spans="1:10" s="3" customFormat="1" x14ac:dyDescent="0.25">
      <c r="A1668" s="112"/>
      <c r="D1668" s="111"/>
      <c r="E1668" s="111"/>
      <c r="F1668" s="112"/>
      <c r="G1668" s="111"/>
      <c r="H1668" s="111"/>
      <c r="J1668" s="111"/>
    </row>
    <row r="1669" spans="1:10" s="3" customFormat="1" x14ac:dyDescent="0.25">
      <c r="A1669" s="112"/>
      <c r="D1669" s="111"/>
      <c r="E1669" s="111"/>
      <c r="F1669" s="112"/>
      <c r="G1669" s="111"/>
      <c r="H1669" s="111"/>
      <c r="J1669" s="111"/>
    </row>
    <row r="1670" spans="1:10" s="3" customFormat="1" x14ac:dyDescent="0.25">
      <c r="A1670" s="112"/>
      <c r="D1670" s="111"/>
      <c r="E1670" s="111"/>
      <c r="F1670" s="112"/>
      <c r="G1670" s="111"/>
      <c r="H1670" s="111"/>
      <c r="J1670" s="111"/>
    </row>
    <row r="1671" spans="1:10" s="3" customFormat="1" x14ac:dyDescent="0.25">
      <c r="A1671" s="112"/>
      <c r="D1671" s="111"/>
      <c r="E1671" s="111"/>
      <c r="F1671" s="112"/>
      <c r="G1671" s="111"/>
      <c r="H1671" s="111"/>
      <c r="J1671" s="111"/>
    </row>
    <row r="1672" spans="1:10" s="3" customFormat="1" x14ac:dyDescent="0.25">
      <c r="A1672" s="112"/>
      <c r="D1672" s="111"/>
      <c r="E1672" s="111"/>
      <c r="F1672" s="112"/>
      <c r="G1672" s="111"/>
      <c r="H1672" s="111"/>
      <c r="J1672" s="111"/>
    </row>
    <row r="1673" spans="1:10" s="3" customFormat="1" x14ac:dyDescent="0.25">
      <c r="A1673" s="112"/>
      <c r="D1673" s="111"/>
      <c r="E1673" s="111"/>
      <c r="F1673" s="112"/>
      <c r="G1673" s="111"/>
      <c r="H1673" s="111"/>
      <c r="J1673" s="111"/>
    </row>
    <row r="1674" spans="1:10" s="3" customFormat="1" x14ac:dyDescent="0.25">
      <c r="A1674" s="112"/>
      <c r="D1674" s="111"/>
      <c r="E1674" s="111"/>
      <c r="F1674" s="112"/>
      <c r="G1674" s="111"/>
      <c r="H1674" s="111"/>
      <c r="J1674" s="111"/>
    </row>
    <row r="1675" spans="1:10" s="3" customFormat="1" x14ac:dyDescent="0.25">
      <c r="A1675" s="112"/>
      <c r="D1675" s="111"/>
      <c r="E1675" s="111"/>
      <c r="F1675" s="112"/>
      <c r="G1675" s="111"/>
      <c r="H1675" s="111"/>
      <c r="J1675" s="111"/>
    </row>
    <row r="1676" spans="1:10" s="3" customFormat="1" x14ac:dyDescent="0.25">
      <c r="A1676" s="112"/>
      <c r="D1676" s="111"/>
      <c r="E1676" s="111"/>
      <c r="F1676" s="112"/>
      <c r="G1676" s="111"/>
      <c r="H1676" s="111"/>
      <c r="J1676" s="111"/>
    </row>
    <row r="1677" spans="1:10" s="3" customFormat="1" x14ac:dyDescent="0.25">
      <c r="A1677" s="112"/>
      <c r="D1677" s="111"/>
      <c r="E1677" s="111"/>
      <c r="F1677" s="112"/>
      <c r="G1677" s="111"/>
      <c r="H1677" s="111"/>
      <c r="J1677" s="111"/>
    </row>
    <row r="1678" spans="1:10" s="3" customFormat="1" x14ac:dyDescent="0.25">
      <c r="A1678" s="112"/>
      <c r="D1678" s="111"/>
      <c r="E1678" s="111"/>
      <c r="F1678" s="112"/>
      <c r="G1678" s="111"/>
      <c r="H1678" s="111"/>
      <c r="J1678" s="111"/>
    </row>
    <row r="1679" spans="1:10" s="3" customFormat="1" x14ac:dyDescent="0.25">
      <c r="A1679" s="112"/>
      <c r="D1679" s="111"/>
      <c r="E1679" s="111"/>
      <c r="F1679" s="112"/>
      <c r="G1679" s="111"/>
      <c r="H1679" s="111"/>
      <c r="J1679" s="111"/>
    </row>
    <row r="1680" spans="1:10" s="3" customFormat="1" x14ac:dyDescent="0.25">
      <c r="A1680" s="112"/>
      <c r="D1680" s="111"/>
      <c r="E1680" s="111"/>
      <c r="F1680" s="112"/>
      <c r="G1680" s="111"/>
      <c r="H1680" s="111"/>
      <c r="J1680" s="111"/>
    </row>
    <row r="1681" spans="1:10" s="3" customFormat="1" x14ac:dyDescent="0.25">
      <c r="A1681" s="112"/>
      <c r="D1681" s="111"/>
      <c r="E1681" s="111"/>
      <c r="F1681" s="112"/>
      <c r="G1681" s="111"/>
      <c r="H1681" s="111"/>
      <c r="J1681" s="111"/>
    </row>
    <row r="1682" spans="1:10" s="3" customFormat="1" x14ac:dyDescent="0.25">
      <c r="A1682" s="112"/>
      <c r="D1682" s="111"/>
      <c r="E1682" s="111"/>
      <c r="F1682" s="112"/>
      <c r="G1682" s="111"/>
      <c r="H1682" s="111"/>
      <c r="J1682" s="111"/>
    </row>
    <row r="1683" spans="1:10" s="3" customFormat="1" x14ac:dyDescent="0.25">
      <c r="A1683" s="112"/>
      <c r="D1683" s="111"/>
      <c r="E1683" s="111"/>
      <c r="F1683" s="112"/>
      <c r="G1683" s="111"/>
      <c r="H1683" s="111"/>
      <c r="J1683" s="111"/>
    </row>
    <row r="1684" spans="1:10" s="3" customFormat="1" x14ac:dyDescent="0.25">
      <c r="A1684" s="112"/>
      <c r="D1684" s="111"/>
      <c r="E1684" s="111"/>
      <c r="F1684" s="112"/>
      <c r="G1684" s="111"/>
      <c r="H1684" s="111"/>
      <c r="J1684" s="111"/>
    </row>
    <row r="1685" spans="1:10" s="3" customFormat="1" x14ac:dyDescent="0.25">
      <c r="A1685" s="112"/>
      <c r="D1685" s="111"/>
      <c r="E1685" s="111"/>
      <c r="F1685" s="112"/>
      <c r="G1685" s="111"/>
      <c r="H1685" s="111"/>
      <c r="J1685" s="111"/>
    </row>
    <row r="1686" spans="1:10" s="3" customFormat="1" x14ac:dyDescent="0.25">
      <c r="A1686" s="112"/>
      <c r="D1686" s="111"/>
      <c r="E1686" s="111"/>
      <c r="F1686" s="112"/>
      <c r="G1686" s="111"/>
      <c r="H1686" s="111"/>
      <c r="J1686" s="111"/>
    </row>
    <row r="1687" spans="1:10" s="3" customFormat="1" x14ac:dyDescent="0.25">
      <c r="A1687" s="112"/>
      <c r="D1687" s="111"/>
      <c r="E1687" s="111"/>
      <c r="F1687" s="112"/>
      <c r="G1687" s="111"/>
      <c r="H1687" s="111"/>
      <c r="J1687" s="111"/>
    </row>
    <row r="1688" spans="1:10" s="3" customFormat="1" x14ac:dyDescent="0.25">
      <c r="A1688" s="112"/>
      <c r="D1688" s="111"/>
      <c r="E1688" s="111"/>
      <c r="F1688" s="112"/>
      <c r="G1688" s="111"/>
      <c r="H1688" s="111"/>
      <c r="J1688" s="111"/>
    </row>
    <row r="1689" spans="1:10" s="3" customFormat="1" x14ac:dyDescent="0.25">
      <c r="A1689" s="112"/>
      <c r="D1689" s="111"/>
      <c r="E1689" s="111"/>
      <c r="F1689" s="112"/>
      <c r="G1689" s="111"/>
      <c r="H1689" s="111"/>
      <c r="J1689" s="111"/>
    </row>
    <row r="1690" spans="1:10" s="3" customFormat="1" x14ac:dyDescent="0.25">
      <c r="A1690" s="112"/>
      <c r="D1690" s="111"/>
      <c r="E1690" s="111"/>
      <c r="F1690" s="112"/>
      <c r="G1690" s="111"/>
      <c r="H1690" s="111"/>
      <c r="J1690" s="111"/>
    </row>
    <row r="1691" spans="1:10" s="3" customFormat="1" x14ac:dyDescent="0.25">
      <c r="A1691" s="112"/>
      <c r="D1691" s="111"/>
      <c r="E1691" s="111"/>
      <c r="F1691" s="112"/>
      <c r="G1691" s="111"/>
      <c r="H1691" s="111"/>
      <c r="J1691" s="111"/>
    </row>
    <row r="1692" spans="1:10" s="3" customFormat="1" x14ac:dyDescent="0.25">
      <c r="A1692" s="112"/>
      <c r="D1692" s="111"/>
      <c r="E1692" s="111"/>
      <c r="F1692" s="112"/>
      <c r="G1692" s="111"/>
      <c r="H1692" s="111"/>
      <c r="J1692" s="111"/>
    </row>
    <row r="1693" spans="1:10" s="3" customFormat="1" x14ac:dyDescent="0.25">
      <c r="A1693" s="112"/>
      <c r="D1693" s="111"/>
      <c r="E1693" s="111"/>
      <c r="F1693" s="112"/>
      <c r="G1693" s="111"/>
      <c r="H1693" s="111"/>
      <c r="J1693" s="111"/>
    </row>
    <row r="1694" spans="1:10" s="3" customFormat="1" x14ac:dyDescent="0.25">
      <c r="A1694" s="112"/>
      <c r="D1694" s="111"/>
      <c r="E1694" s="111"/>
      <c r="F1694" s="112"/>
      <c r="G1694" s="111"/>
      <c r="H1694" s="111"/>
      <c r="J1694" s="111"/>
    </row>
    <row r="1695" spans="1:10" s="3" customFormat="1" x14ac:dyDescent="0.25">
      <c r="A1695" s="112"/>
      <c r="D1695" s="111"/>
      <c r="E1695" s="111"/>
      <c r="F1695" s="112"/>
      <c r="G1695" s="111"/>
      <c r="H1695" s="111"/>
      <c r="J1695" s="111"/>
    </row>
    <row r="1696" spans="1:10" s="3" customFormat="1" x14ac:dyDescent="0.25">
      <c r="A1696" s="112"/>
      <c r="D1696" s="111"/>
      <c r="E1696" s="111"/>
      <c r="F1696" s="112"/>
      <c r="G1696" s="111"/>
      <c r="H1696" s="111"/>
      <c r="J1696" s="111"/>
    </row>
    <row r="1697" spans="1:10" s="3" customFormat="1" x14ac:dyDescent="0.25">
      <c r="A1697" s="112"/>
      <c r="D1697" s="111"/>
      <c r="E1697" s="111"/>
      <c r="F1697" s="112"/>
      <c r="G1697" s="111"/>
      <c r="H1697" s="111"/>
      <c r="J1697" s="111"/>
    </row>
    <row r="1698" spans="1:10" s="3" customFormat="1" x14ac:dyDescent="0.25">
      <c r="A1698" s="112"/>
      <c r="D1698" s="111"/>
      <c r="E1698" s="111"/>
      <c r="F1698" s="112"/>
      <c r="G1698" s="111"/>
      <c r="H1698" s="111"/>
      <c r="J1698" s="111"/>
    </row>
    <row r="1699" spans="1:10" s="3" customFormat="1" x14ac:dyDescent="0.25">
      <c r="A1699" s="112"/>
      <c r="D1699" s="111"/>
      <c r="E1699" s="111"/>
      <c r="F1699" s="112"/>
      <c r="G1699" s="111"/>
      <c r="H1699" s="111"/>
      <c r="J1699" s="111"/>
    </row>
    <row r="1700" spans="1:10" s="3" customFormat="1" x14ac:dyDescent="0.25">
      <c r="A1700" s="112"/>
      <c r="D1700" s="111"/>
      <c r="E1700" s="111"/>
      <c r="F1700" s="112"/>
      <c r="G1700" s="111"/>
      <c r="H1700" s="111"/>
      <c r="J1700" s="111"/>
    </row>
    <row r="1701" spans="1:10" s="3" customFormat="1" x14ac:dyDescent="0.25">
      <c r="A1701" s="112"/>
      <c r="D1701" s="111"/>
      <c r="E1701" s="111"/>
      <c r="F1701" s="112"/>
      <c r="G1701" s="111"/>
      <c r="H1701" s="111"/>
      <c r="J1701" s="111"/>
    </row>
    <row r="1702" spans="1:10" s="3" customFormat="1" x14ac:dyDescent="0.25">
      <c r="A1702" s="112"/>
      <c r="D1702" s="111"/>
      <c r="E1702" s="111"/>
      <c r="F1702" s="112"/>
      <c r="G1702" s="111"/>
      <c r="H1702" s="111"/>
      <c r="J1702" s="111"/>
    </row>
    <row r="1703" spans="1:10" s="3" customFormat="1" x14ac:dyDescent="0.25">
      <c r="A1703" s="112"/>
      <c r="D1703" s="111"/>
      <c r="E1703" s="111"/>
      <c r="F1703" s="112"/>
      <c r="G1703" s="111"/>
      <c r="H1703" s="111"/>
      <c r="J1703" s="111"/>
    </row>
    <row r="1704" spans="1:10" s="3" customFormat="1" x14ac:dyDescent="0.25">
      <c r="A1704" s="112"/>
      <c r="D1704" s="111"/>
      <c r="E1704" s="111"/>
      <c r="F1704" s="112"/>
      <c r="G1704" s="111"/>
      <c r="H1704" s="111"/>
      <c r="J1704" s="111"/>
    </row>
    <row r="1705" spans="1:10" s="3" customFormat="1" x14ac:dyDescent="0.25">
      <c r="A1705" s="112"/>
      <c r="D1705" s="111"/>
      <c r="E1705" s="111"/>
      <c r="F1705" s="112"/>
      <c r="G1705" s="111"/>
      <c r="H1705" s="111"/>
      <c r="J1705" s="111"/>
    </row>
    <row r="1706" spans="1:10" s="3" customFormat="1" x14ac:dyDescent="0.25">
      <c r="A1706" s="112"/>
      <c r="D1706" s="111"/>
      <c r="E1706" s="111"/>
      <c r="F1706" s="112"/>
      <c r="G1706" s="111"/>
      <c r="H1706" s="111"/>
      <c r="J1706" s="111"/>
    </row>
    <row r="1707" spans="1:10" s="3" customFormat="1" x14ac:dyDescent="0.25">
      <c r="A1707" s="112"/>
      <c r="D1707" s="111"/>
      <c r="E1707" s="111"/>
      <c r="F1707" s="112"/>
      <c r="G1707" s="111"/>
      <c r="H1707" s="111"/>
      <c r="J1707" s="111"/>
    </row>
    <row r="1708" spans="1:10" s="3" customFormat="1" x14ac:dyDescent="0.25">
      <c r="A1708" s="112"/>
      <c r="D1708" s="111"/>
      <c r="E1708" s="111"/>
      <c r="F1708" s="112"/>
      <c r="G1708" s="111"/>
      <c r="H1708" s="111"/>
      <c r="J1708" s="111"/>
    </row>
    <row r="1709" spans="1:10" s="3" customFormat="1" x14ac:dyDescent="0.25">
      <c r="A1709" s="112"/>
      <c r="D1709" s="111"/>
      <c r="E1709" s="111"/>
      <c r="F1709" s="112"/>
      <c r="G1709" s="111"/>
      <c r="H1709" s="111"/>
      <c r="J1709" s="111"/>
    </row>
    <row r="1710" spans="1:10" s="3" customFormat="1" x14ac:dyDescent="0.25">
      <c r="A1710" s="112"/>
      <c r="D1710" s="111"/>
      <c r="E1710" s="111"/>
      <c r="F1710" s="112"/>
      <c r="G1710" s="111"/>
      <c r="H1710" s="111"/>
      <c r="J1710" s="111"/>
    </row>
    <row r="1711" spans="1:10" s="3" customFormat="1" x14ac:dyDescent="0.25">
      <c r="A1711" s="112"/>
      <c r="D1711" s="111"/>
      <c r="E1711" s="111"/>
      <c r="F1711" s="112"/>
      <c r="G1711" s="111"/>
      <c r="H1711" s="111"/>
      <c r="J1711" s="111"/>
    </row>
    <row r="1712" spans="1:10" s="3" customFormat="1" x14ac:dyDescent="0.25">
      <c r="A1712" s="112"/>
      <c r="D1712" s="111"/>
      <c r="E1712" s="111"/>
      <c r="F1712" s="112"/>
      <c r="G1712" s="111"/>
      <c r="H1712" s="111"/>
      <c r="J1712" s="111"/>
    </row>
    <row r="1713" spans="1:10" s="3" customFormat="1" x14ac:dyDescent="0.25">
      <c r="A1713" s="112"/>
      <c r="D1713" s="111"/>
      <c r="E1713" s="111"/>
      <c r="F1713" s="112"/>
      <c r="G1713" s="111"/>
      <c r="H1713" s="111"/>
      <c r="J1713" s="111"/>
    </row>
    <row r="1714" spans="1:10" s="3" customFormat="1" x14ac:dyDescent="0.25">
      <c r="A1714" s="112"/>
      <c r="D1714" s="111"/>
      <c r="E1714" s="111"/>
      <c r="F1714" s="112"/>
      <c r="G1714" s="111"/>
      <c r="H1714" s="111"/>
      <c r="J1714" s="111"/>
    </row>
    <row r="1715" spans="1:10" s="3" customFormat="1" x14ac:dyDescent="0.25">
      <c r="A1715" s="112"/>
      <c r="D1715" s="111"/>
      <c r="E1715" s="111"/>
      <c r="F1715" s="112"/>
      <c r="G1715" s="111"/>
      <c r="H1715" s="111"/>
      <c r="J1715" s="111"/>
    </row>
    <row r="1716" spans="1:10" s="3" customFormat="1" x14ac:dyDescent="0.25">
      <c r="A1716" s="112"/>
      <c r="D1716" s="111"/>
      <c r="E1716" s="111"/>
      <c r="F1716" s="112"/>
      <c r="G1716" s="111"/>
      <c r="H1716" s="111"/>
      <c r="J1716" s="111"/>
    </row>
    <row r="1717" spans="1:10" s="3" customFormat="1" x14ac:dyDescent="0.25">
      <c r="A1717" s="112"/>
      <c r="D1717" s="111"/>
      <c r="E1717" s="111"/>
      <c r="F1717" s="112"/>
      <c r="G1717" s="111"/>
      <c r="H1717" s="111"/>
      <c r="J1717" s="111"/>
    </row>
    <row r="1718" spans="1:10" s="3" customFormat="1" x14ac:dyDescent="0.25">
      <c r="A1718" s="112"/>
      <c r="D1718" s="111"/>
      <c r="E1718" s="111"/>
      <c r="F1718" s="112"/>
      <c r="G1718" s="111"/>
      <c r="H1718" s="111"/>
      <c r="J1718" s="111"/>
    </row>
    <row r="1719" spans="1:10" s="3" customFormat="1" x14ac:dyDescent="0.25">
      <c r="A1719" s="112"/>
      <c r="D1719" s="111"/>
      <c r="E1719" s="111"/>
      <c r="F1719" s="112"/>
      <c r="G1719" s="111"/>
      <c r="H1719" s="111"/>
      <c r="J1719" s="111"/>
    </row>
    <row r="1720" spans="1:10" s="3" customFormat="1" x14ac:dyDescent="0.25">
      <c r="A1720" s="112"/>
      <c r="D1720" s="111"/>
      <c r="E1720" s="111"/>
      <c r="F1720" s="112"/>
      <c r="G1720" s="111"/>
      <c r="H1720" s="111"/>
      <c r="J1720" s="111"/>
    </row>
    <row r="1721" spans="1:10" s="3" customFormat="1" x14ac:dyDescent="0.25">
      <c r="A1721" s="112"/>
      <c r="D1721" s="111"/>
      <c r="E1721" s="111"/>
      <c r="F1721" s="112"/>
      <c r="G1721" s="111"/>
      <c r="H1721" s="111"/>
      <c r="J1721" s="111"/>
    </row>
    <row r="1722" spans="1:10" s="3" customFormat="1" x14ac:dyDescent="0.25">
      <c r="A1722" s="112"/>
      <c r="D1722" s="111"/>
      <c r="E1722" s="111"/>
      <c r="F1722" s="112"/>
      <c r="G1722" s="111"/>
      <c r="H1722" s="111"/>
      <c r="J1722" s="111"/>
    </row>
    <row r="1723" spans="1:10" s="3" customFormat="1" x14ac:dyDescent="0.25">
      <c r="A1723" s="112"/>
      <c r="D1723" s="111"/>
      <c r="E1723" s="111"/>
      <c r="F1723" s="112"/>
      <c r="G1723" s="111"/>
      <c r="H1723" s="111"/>
      <c r="J1723" s="111"/>
    </row>
    <row r="1724" spans="1:10" s="3" customFormat="1" x14ac:dyDescent="0.25">
      <c r="A1724" s="112"/>
      <c r="D1724" s="111"/>
      <c r="E1724" s="111"/>
      <c r="F1724" s="112"/>
      <c r="G1724" s="111"/>
      <c r="H1724" s="111"/>
      <c r="J1724" s="111"/>
    </row>
    <row r="1725" spans="1:10" s="3" customFormat="1" x14ac:dyDescent="0.25">
      <c r="A1725" s="112"/>
      <c r="D1725" s="111"/>
      <c r="E1725" s="111"/>
      <c r="F1725" s="112"/>
      <c r="G1725" s="111"/>
      <c r="H1725" s="111"/>
      <c r="J1725" s="111"/>
    </row>
    <row r="1726" spans="1:10" s="3" customFormat="1" x14ac:dyDescent="0.25">
      <c r="A1726" s="112"/>
      <c r="D1726" s="111"/>
      <c r="E1726" s="111"/>
      <c r="F1726" s="112"/>
      <c r="G1726" s="111"/>
      <c r="H1726" s="111"/>
      <c r="J1726" s="111"/>
    </row>
    <row r="1727" spans="1:10" s="3" customFormat="1" x14ac:dyDescent="0.25">
      <c r="A1727" s="112"/>
      <c r="D1727" s="111"/>
      <c r="E1727" s="111"/>
      <c r="F1727" s="112"/>
      <c r="G1727" s="111"/>
      <c r="H1727" s="111"/>
      <c r="J1727" s="111"/>
    </row>
    <row r="1728" spans="1:10" s="3" customFormat="1" x14ac:dyDescent="0.25">
      <c r="A1728" s="112"/>
      <c r="D1728" s="111"/>
      <c r="E1728" s="111"/>
      <c r="F1728" s="112"/>
      <c r="G1728" s="111"/>
      <c r="H1728" s="111"/>
      <c r="J1728" s="111"/>
    </row>
    <row r="1729" spans="1:10" s="3" customFormat="1" x14ac:dyDescent="0.25">
      <c r="A1729" s="112"/>
      <c r="D1729" s="111"/>
      <c r="E1729" s="111"/>
      <c r="F1729" s="112"/>
      <c r="G1729" s="111"/>
      <c r="H1729" s="111"/>
      <c r="J1729" s="111"/>
    </row>
    <row r="1730" spans="1:10" s="3" customFormat="1" x14ac:dyDescent="0.25">
      <c r="A1730" s="112"/>
      <c r="D1730" s="111"/>
      <c r="E1730" s="111"/>
      <c r="F1730" s="112"/>
      <c r="G1730" s="111"/>
      <c r="H1730" s="111"/>
      <c r="J1730" s="111"/>
    </row>
    <row r="1731" spans="1:10" s="3" customFormat="1" x14ac:dyDescent="0.25">
      <c r="A1731" s="112"/>
      <c r="D1731" s="111"/>
      <c r="E1731" s="111"/>
      <c r="F1731" s="112"/>
      <c r="G1731" s="111"/>
      <c r="H1731" s="111"/>
      <c r="J1731" s="111"/>
    </row>
    <row r="1732" spans="1:10" s="3" customFormat="1" x14ac:dyDescent="0.25">
      <c r="A1732" s="112"/>
      <c r="D1732" s="111"/>
      <c r="E1732" s="111"/>
      <c r="F1732" s="112"/>
      <c r="G1732" s="111"/>
      <c r="H1732" s="111"/>
      <c r="J1732" s="111"/>
    </row>
    <row r="1733" spans="1:10" s="3" customFormat="1" x14ac:dyDescent="0.25">
      <c r="A1733" s="112"/>
      <c r="D1733" s="111"/>
      <c r="E1733" s="111"/>
      <c r="F1733" s="112"/>
      <c r="G1733" s="111"/>
      <c r="H1733" s="111"/>
      <c r="J1733" s="111"/>
    </row>
    <row r="1734" spans="1:10" s="3" customFormat="1" x14ac:dyDescent="0.25">
      <c r="A1734" s="112"/>
      <c r="D1734" s="111"/>
      <c r="E1734" s="111"/>
      <c r="F1734" s="112"/>
      <c r="G1734" s="111"/>
      <c r="H1734" s="111"/>
      <c r="J1734" s="111"/>
    </row>
    <row r="1735" spans="1:10" s="3" customFormat="1" x14ac:dyDescent="0.25">
      <c r="A1735" s="112"/>
      <c r="D1735" s="111"/>
      <c r="E1735" s="111"/>
      <c r="F1735" s="112"/>
      <c r="G1735" s="111"/>
      <c r="H1735" s="111"/>
      <c r="J1735" s="111"/>
    </row>
    <row r="1736" spans="1:10" s="3" customFormat="1" x14ac:dyDescent="0.25">
      <c r="A1736" s="112"/>
      <c r="D1736" s="111"/>
      <c r="E1736" s="111"/>
      <c r="F1736" s="112"/>
      <c r="G1736" s="111"/>
      <c r="H1736" s="111"/>
      <c r="J1736" s="111"/>
    </row>
    <row r="1737" spans="1:10" s="3" customFormat="1" x14ac:dyDescent="0.25">
      <c r="A1737" s="112"/>
      <c r="D1737" s="111"/>
      <c r="E1737" s="111"/>
      <c r="F1737" s="112"/>
      <c r="G1737" s="111"/>
      <c r="H1737" s="111"/>
      <c r="J1737" s="111"/>
    </row>
    <row r="1738" spans="1:10" s="3" customFormat="1" x14ac:dyDescent="0.25">
      <c r="A1738" s="112"/>
      <c r="D1738" s="111"/>
      <c r="E1738" s="111"/>
      <c r="F1738" s="112"/>
      <c r="G1738" s="111"/>
      <c r="H1738" s="111"/>
      <c r="J1738" s="111"/>
    </row>
    <row r="1739" spans="1:10" s="3" customFormat="1" x14ac:dyDescent="0.25">
      <c r="A1739" s="112"/>
      <c r="D1739" s="111"/>
      <c r="E1739" s="111"/>
      <c r="F1739" s="112"/>
      <c r="G1739" s="111"/>
      <c r="H1739" s="111"/>
      <c r="J1739" s="111"/>
    </row>
    <row r="1740" spans="1:10" s="3" customFormat="1" x14ac:dyDescent="0.25">
      <c r="A1740" s="112"/>
      <c r="D1740" s="111"/>
      <c r="E1740" s="111"/>
      <c r="F1740" s="112"/>
      <c r="G1740" s="111"/>
      <c r="H1740" s="111"/>
      <c r="J1740" s="111"/>
    </row>
    <row r="1741" spans="1:10" s="3" customFormat="1" x14ac:dyDescent="0.25">
      <c r="A1741" s="112"/>
      <c r="D1741" s="111"/>
      <c r="E1741" s="111"/>
      <c r="F1741" s="112"/>
      <c r="G1741" s="111"/>
      <c r="H1741" s="111"/>
      <c r="J1741" s="111"/>
    </row>
    <row r="1742" spans="1:10" s="3" customFormat="1" x14ac:dyDescent="0.25">
      <c r="A1742" s="112"/>
      <c r="D1742" s="111"/>
      <c r="E1742" s="111"/>
      <c r="F1742" s="112"/>
      <c r="G1742" s="111"/>
      <c r="H1742" s="111"/>
      <c r="J1742" s="111"/>
    </row>
    <row r="1743" spans="1:10" s="3" customFormat="1" x14ac:dyDescent="0.25">
      <c r="A1743" s="112"/>
      <c r="D1743" s="111"/>
      <c r="E1743" s="111"/>
      <c r="F1743" s="112"/>
      <c r="G1743" s="111"/>
      <c r="H1743" s="111"/>
      <c r="J1743" s="111"/>
    </row>
    <row r="1744" spans="1:10" s="3" customFormat="1" x14ac:dyDescent="0.25">
      <c r="A1744" s="112"/>
      <c r="D1744" s="111"/>
      <c r="E1744" s="111"/>
      <c r="F1744" s="112"/>
      <c r="G1744" s="111"/>
      <c r="H1744" s="111"/>
      <c r="J1744" s="111"/>
    </row>
    <row r="1745" spans="1:10" s="3" customFormat="1" x14ac:dyDescent="0.25">
      <c r="A1745" s="112"/>
      <c r="D1745" s="111"/>
      <c r="E1745" s="111"/>
      <c r="F1745" s="112"/>
      <c r="G1745" s="111"/>
      <c r="H1745" s="111"/>
      <c r="J1745" s="111"/>
    </row>
    <row r="1746" spans="1:10" s="3" customFormat="1" x14ac:dyDescent="0.25">
      <c r="A1746" s="112"/>
      <c r="D1746" s="111"/>
      <c r="E1746" s="111"/>
      <c r="F1746" s="112"/>
      <c r="G1746" s="111"/>
      <c r="H1746" s="111"/>
      <c r="J1746" s="111"/>
    </row>
    <row r="1747" spans="1:10" s="3" customFormat="1" x14ac:dyDescent="0.25">
      <c r="A1747" s="112"/>
      <c r="D1747" s="111"/>
      <c r="E1747" s="111"/>
      <c r="F1747" s="112"/>
      <c r="G1747" s="111"/>
      <c r="H1747" s="111"/>
      <c r="J1747" s="111"/>
    </row>
    <row r="1748" spans="1:10" s="3" customFormat="1" x14ac:dyDescent="0.25">
      <c r="A1748" s="112"/>
      <c r="D1748" s="111"/>
      <c r="E1748" s="111"/>
      <c r="F1748" s="112"/>
      <c r="G1748" s="111"/>
      <c r="H1748" s="111"/>
      <c r="J1748" s="111"/>
    </row>
    <row r="1749" spans="1:10" s="3" customFormat="1" x14ac:dyDescent="0.25">
      <c r="A1749" s="112"/>
      <c r="D1749" s="111"/>
      <c r="E1749" s="111"/>
      <c r="F1749" s="112"/>
      <c r="G1749" s="111"/>
      <c r="H1749" s="111"/>
      <c r="J1749" s="111"/>
    </row>
    <row r="1750" spans="1:10" s="3" customFormat="1" x14ac:dyDescent="0.25">
      <c r="A1750" s="112"/>
      <c r="D1750" s="111"/>
      <c r="E1750" s="111"/>
      <c r="F1750" s="112"/>
      <c r="G1750" s="111"/>
      <c r="H1750" s="111"/>
      <c r="J1750" s="111"/>
    </row>
    <row r="1751" spans="1:10" s="3" customFormat="1" x14ac:dyDescent="0.25">
      <c r="A1751" s="112"/>
      <c r="D1751" s="111"/>
      <c r="E1751" s="111"/>
      <c r="F1751" s="112"/>
      <c r="G1751" s="111"/>
      <c r="H1751" s="111"/>
      <c r="J1751" s="111"/>
    </row>
    <row r="1752" spans="1:10" s="3" customFormat="1" x14ac:dyDescent="0.25">
      <c r="A1752" s="112"/>
      <c r="D1752" s="111"/>
      <c r="E1752" s="111"/>
      <c r="F1752" s="112"/>
      <c r="G1752" s="111"/>
      <c r="H1752" s="111"/>
      <c r="J1752" s="111"/>
    </row>
    <row r="1753" spans="1:10" s="3" customFormat="1" x14ac:dyDescent="0.25">
      <c r="A1753" s="112"/>
      <c r="D1753" s="111"/>
      <c r="E1753" s="111"/>
      <c r="F1753" s="112"/>
      <c r="G1753" s="111"/>
      <c r="H1753" s="111"/>
      <c r="J1753" s="111"/>
    </row>
    <row r="1754" spans="1:10" s="3" customFormat="1" x14ac:dyDescent="0.25">
      <c r="A1754" s="112"/>
      <c r="D1754" s="111"/>
      <c r="E1754" s="111"/>
      <c r="F1754" s="112"/>
      <c r="G1754" s="111"/>
      <c r="H1754" s="111"/>
      <c r="J1754" s="111"/>
    </row>
    <row r="1755" spans="1:10" s="3" customFormat="1" x14ac:dyDescent="0.25">
      <c r="A1755" s="112"/>
      <c r="D1755" s="111"/>
      <c r="E1755" s="111"/>
      <c r="F1755" s="112"/>
      <c r="G1755" s="111"/>
      <c r="H1755" s="111"/>
      <c r="J1755" s="111"/>
    </row>
    <row r="1756" spans="1:10" s="3" customFormat="1" x14ac:dyDescent="0.25">
      <c r="A1756" s="112"/>
      <c r="D1756" s="111"/>
      <c r="E1756" s="111"/>
      <c r="F1756" s="112"/>
      <c r="G1756" s="111"/>
      <c r="H1756" s="111"/>
      <c r="J1756" s="111"/>
    </row>
    <row r="1757" spans="1:10" s="3" customFormat="1" x14ac:dyDescent="0.25">
      <c r="A1757" s="112"/>
      <c r="D1757" s="111"/>
      <c r="E1757" s="111"/>
      <c r="F1757" s="112"/>
      <c r="G1757" s="111"/>
      <c r="H1757" s="111"/>
      <c r="J1757" s="111"/>
    </row>
    <row r="1758" spans="1:10" s="3" customFormat="1" x14ac:dyDescent="0.25">
      <c r="A1758" s="112"/>
      <c r="D1758" s="111"/>
      <c r="E1758" s="111"/>
      <c r="F1758" s="112"/>
      <c r="G1758" s="111"/>
      <c r="H1758" s="111"/>
      <c r="J1758" s="111"/>
    </row>
    <row r="1759" spans="1:10" s="3" customFormat="1" x14ac:dyDescent="0.25">
      <c r="A1759" s="112"/>
      <c r="D1759" s="111"/>
      <c r="E1759" s="111"/>
      <c r="F1759" s="112"/>
      <c r="G1759" s="111"/>
      <c r="H1759" s="111"/>
      <c r="J1759" s="111"/>
    </row>
    <row r="1760" spans="1:10" s="3" customFormat="1" x14ac:dyDescent="0.25">
      <c r="A1760" s="112"/>
      <c r="D1760" s="111"/>
      <c r="E1760" s="111"/>
      <c r="F1760" s="112"/>
      <c r="G1760" s="111"/>
      <c r="H1760" s="111"/>
      <c r="J1760" s="111"/>
    </row>
    <row r="1761" spans="1:10" s="3" customFormat="1" x14ac:dyDescent="0.25">
      <c r="A1761" s="112"/>
      <c r="D1761" s="111"/>
      <c r="E1761" s="111"/>
      <c r="F1761" s="112"/>
      <c r="G1761" s="111"/>
      <c r="H1761" s="111"/>
      <c r="J1761" s="111"/>
    </row>
    <row r="1762" spans="1:10" s="3" customFormat="1" x14ac:dyDescent="0.25">
      <c r="A1762" s="112"/>
      <c r="D1762" s="111"/>
      <c r="E1762" s="111"/>
      <c r="F1762" s="112"/>
      <c r="G1762" s="111"/>
      <c r="H1762" s="111"/>
      <c r="J1762" s="111"/>
    </row>
    <row r="1763" spans="1:10" s="3" customFormat="1" x14ac:dyDescent="0.25">
      <c r="A1763" s="112"/>
      <c r="D1763" s="111"/>
      <c r="E1763" s="111"/>
      <c r="F1763" s="112"/>
      <c r="G1763" s="111"/>
      <c r="H1763" s="111"/>
      <c r="J1763" s="111"/>
    </row>
    <row r="1764" spans="1:10" s="3" customFormat="1" x14ac:dyDescent="0.25">
      <c r="A1764" s="112"/>
      <c r="D1764" s="111"/>
      <c r="E1764" s="111"/>
      <c r="F1764" s="112"/>
      <c r="G1764" s="111"/>
      <c r="H1764" s="111"/>
      <c r="J1764" s="111"/>
    </row>
    <row r="1765" spans="1:10" s="3" customFormat="1" x14ac:dyDescent="0.25">
      <c r="A1765" s="112"/>
      <c r="D1765" s="111"/>
      <c r="E1765" s="111"/>
      <c r="F1765" s="112"/>
      <c r="G1765" s="111"/>
      <c r="H1765" s="111"/>
      <c r="J1765" s="111"/>
    </row>
    <row r="1766" spans="1:10" s="3" customFormat="1" x14ac:dyDescent="0.25">
      <c r="A1766" s="112"/>
      <c r="D1766" s="111"/>
      <c r="E1766" s="111"/>
      <c r="F1766" s="112"/>
      <c r="G1766" s="111"/>
      <c r="H1766" s="111"/>
      <c r="J1766" s="111"/>
    </row>
    <row r="1767" spans="1:10" s="3" customFormat="1" x14ac:dyDescent="0.25">
      <c r="A1767" s="112"/>
      <c r="D1767" s="111"/>
      <c r="E1767" s="111"/>
      <c r="F1767" s="112"/>
      <c r="G1767" s="111"/>
      <c r="H1767" s="111"/>
      <c r="J1767" s="111"/>
    </row>
    <row r="1768" spans="1:10" s="3" customFormat="1" x14ac:dyDescent="0.25">
      <c r="A1768" s="112"/>
      <c r="D1768" s="111"/>
      <c r="E1768" s="111"/>
      <c r="F1768" s="112"/>
      <c r="G1768" s="111"/>
      <c r="H1768" s="111"/>
      <c r="J1768" s="111"/>
    </row>
    <row r="1769" spans="1:10" s="3" customFormat="1" x14ac:dyDescent="0.25">
      <c r="A1769" s="112"/>
      <c r="D1769" s="111"/>
      <c r="E1769" s="111"/>
      <c r="F1769" s="112"/>
      <c r="G1769" s="111"/>
      <c r="H1769" s="111"/>
      <c r="J1769" s="111"/>
    </row>
    <row r="1770" spans="1:10" s="3" customFormat="1" x14ac:dyDescent="0.25">
      <c r="A1770" s="112"/>
      <c r="D1770" s="111"/>
      <c r="E1770" s="111"/>
      <c r="F1770" s="112"/>
      <c r="G1770" s="111"/>
      <c r="H1770" s="111"/>
      <c r="J1770" s="111"/>
    </row>
    <row r="1771" spans="1:10" s="3" customFormat="1" x14ac:dyDescent="0.25">
      <c r="A1771" s="112"/>
      <c r="D1771" s="111"/>
      <c r="E1771" s="111"/>
      <c r="F1771" s="112"/>
      <c r="G1771" s="111"/>
      <c r="H1771" s="111"/>
      <c r="J1771" s="111"/>
    </row>
    <row r="1772" spans="1:10" s="3" customFormat="1" x14ac:dyDescent="0.25">
      <c r="A1772" s="112"/>
      <c r="D1772" s="111"/>
      <c r="E1772" s="111"/>
      <c r="F1772" s="112"/>
      <c r="G1772" s="111"/>
      <c r="H1772" s="111"/>
      <c r="J1772" s="111"/>
    </row>
    <row r="1773" spans="1:10" s="3" customFormat="1" x14ac:dyDescent="0.25">
      <c r="A1773" s="112"/>
      <c r="D1773" s="111"/>
      <c r="E1773" s="111"/>
      <c r="F1773" s="112"/>
      <c r="G1773" s="111"/>
      <c r="H1773" s="111"/>
      <c r="J1773" s="111"/>
    </row>
    <row r="1774" spans="1:10" s="3" customFormat="1" x14ac:dyDescent="0.25">
      <c r="A1774" s="112"/>
      <c r="D1774" s="111"/>
      <c r="E1774" s="111"/>
      <c r="F1774" s="112"/>
      <c r="G1774" s="111"/>
      <c r="H1774" s="111"/>
      <c r="J1774" s="111"/>
    </row>
    <row r="1775" spans="1:10" s="3" customFormat="1" x14ac:dyDescent="0.25">
      <c r="A1775" s="112"/>
      <c r="D1775" s="111"/>
      <c r="E1775" s="111"/>
      <c r="F1775" s="112"/>
      <c r="G1775" s="111"/>
      <c r="H1775" s="111"/>
      <c r="J1775" s="111"/>
    </row>
    <row r="1776" spans="1:10" s="3" customFormat="1" x14ac:dyDescent="0.25">
      <c r="A1776" s="112"/>
      <c r="D1776" s="111"/>
      <c r="E1776" s="111"/>
      <c r="F1776" s="112"/>
      <c r="G1776" s="111"/>
      <c r="H1776" s="111"/>
      <c r="J1776" s="111"/>
    </row>
    <row r="1777" spans="1:10" s="3" customFormat="1" x14ac:dyDescent="0.25">
      <c r="A1777" s="112"/>
      <c r="D1777" s="111"/>
      <c r="E1777" s="111"/>
      <c r="F1777" s="112"/>
      <c r="G1777" s="111"/>
      <c r="H1777" s="111"/>
      <c r="J1777" s="111"/>
    </row>
    <row r="1778" spans="1:10" s="3" customFormat="1" x14ac:dyDescent="0.25">
      <c r="A1778" s="112"/>
      <c r="D1778" s="111"/>
      <c r="E1778" s="111"/>
      <c r="F1778" s="112"/>
      <c r="G1778" s="111"/>
      <c r="H1778" s="111"/>
      <c r="J1778" s="111"/>
    </row>
    <row r="1779" spans="1:10" s="3" customFormat="1" x14ac:dyDescent="0.25">
      <c r="A1779" s="112"/>
      <c r="D1779" s="111"/>
      <c r="E1779" s="111"/>
      <c r="F1779" s="112"/>
      <c r="G1779" s="111"/>
      <c r="H1779" s="111"/>
      <c r="J1779" s="111"/>
    </row>
    <row r="1780" spans="1:10" s="3" customFormat="1" x14ac:dyDescent="0.25">
      <c r="A1780" s="112"/>
      <c r="D1780" s="111"/>
      <c r="E1780" s="111"/>
      <c r="F1780" s="112"/>
      <c r="G1780" s="111"/>
      <c r="H1780" s="111"/>
      <c r="J1780" s="111"/>
    </row>
    <row r="1781" spans="1:10" s="3" customFormat="1" x14ac:dyDescent="0.25">
      <c r="A1781" s="112"/>
      <c r="D1781" s="111"/>
      <c r="E1781" s="111"/>
      <c r="F1781" s="112"/>
      <c r="G1781" s="111"/>
      <c r="H1781" s="111"/>
      <c r="J1781" s="111"/>
    </row>
    <row r="1782" spans="1:10" s="3" customFormat="1" x14ac:dyDescent="0.25">
      <c r="A1782" s="112"/>
      <c r="D1782" s="111"/>
      <c r="E1782" s="111"/>
      <c r="F1782" s="112"/>
      <c r="G1782" s="111"/>
      <c r="H1782" s="111"/>
      <c r="J1782" s="111"/>
    </row>
    <row r="1783" spans="1:10" s="3" customFormat="1" x14ac:dyDescent="0.25">
      <c r="A1783" s="112"/>
      <c r="D1783" s="111"/>
      <c r="E1783" s="111"/>
      <c r="F1783" s="112"/>
      <c r="G1783" s="111"/>
      <c r="H1783" s="111"/>
      <c r="J1783" s="111"/>
    </row>
    <row r="1784" spans="1:10" s="3" customFormat="1" x14ac:dyDescent="0.25">
      <c r="A1784" s="112"/>
      <c r="D1784" s="111"/>
      <c r="E1784" s="111"/>
      <c r="F1784" s="112"/>
      <c r="G1784" s="111"/>
      <c r="H1784" s="111"/>
      <c r="J1784" s="111"/>
    </row>
    <row r="1785" spans="1:10" s="3" customFormat="1" x14ac:dyDescent="0.25">
      <c r="A1785" s="112"/>
      <c r="D1785" s="111"/>
      <c r="E1785" s="111"/>
      <c r="F1785" s="112"/>
      <c r="G1785" s="111"/>
      <c r="H1785" s="111"/>
      <c r="J1785" s="111"/>
    </row>
    <row r="1786" spans="1:10" s="3" customFormat="1" x14ac:dyDescent="0.25">
      <c r="A1786" s="112"/>
      <c r="D1786" s="111"/>
      <c r="E1786" s="111"/>
      <c r="F1786" s="112"/>
      <c r="G1786" s="111"/>
      <c r="H1786" s="111"/>
      <c r="J1786" s="111"/>
    </row>
    <row r="1787" spans="1:10" s="3" customFormat="1" x14ac:dyDescent="0.25">
      <c r="A1787" s="112"/>
      <c r="D1787" s="111"/>
      <c r="E1787" s="111"/>
      <c r="F1787" s="112"/>
      <c r="G1787" s="111"/>
      <c r="H1787" s="111"/>
      <c r="J1787" s="111"/>
    </row>
    <row r="1788" spans="1:10" s="3" customFormat="1" x14ac:dyDescent="0.25">
      <c r="A1788" s="112"/>
      <c r="D1788" s="111"/>
      <c r="E1788" s="111"/>
      <c r="F1788" s="112"/>
      <c r="G1788" s="111"/>
      <c r="H1788" s="111"/>
      <c r="J1788" s="111"/>
    </row>
    <row r="1789" spans="1:10" s="3" customFormat="1" x14ac:dyDescent="0.25">
      <c r="A1789" s="112"/>
      <c r="D1789" s="111"/>
      <c r="E1789" s="111"/>
      <c r="F1789" s="112"/>
      <c r="G1789" s="111"/>
      <c r="H1789" s="111"/>
      <c r="J1789" s="111"/>
    </row>
    <row r="1790" spans="1:10" s="3" customFormat="1" x14ac:dyDescent="0.25">
      <c r="A1790" s="112"/>
      <c r="D1790" s="111"/>
      <c r="E1790" s="111"/>
      <c r="F1790" s="112"/>
      <c r="G1790" s="111"/>
      <c r="H1790" s="111"/>
      <c r="J1790" s="111"/>
    </row>
    <row r="1791" spans="1:10" s="3" customFormat="1" x14ac:dyDescent="0.25">
      <c r="A1791" s="112"/>
      <c r="D1791" s="111"/>
      <c r="E1791" s="111"/>
      <c r="F1791" s="112"/>
      <c r="G1791" s="111"/>
      <c r="H1791" s="111"/>
      <c r="J1791" s="111"/>
    </row>
    <row r="1792" spans="1:10" s="3" customFormat="1" x14ac:dyDescent="0.25">
      <c r="A1792" s="112"/>
      <c r="D1792" s="111"/>
      <c r="E1792" s="111"/>
      <c r="F1792" s="112"/>
      <c r="G1792" s="111"/>
      <c r="H1792" s="111"/>
      <c r="J1792" s="111"/>
    </row>
    <row r="1793" spans="1:10" s="3" customFormat="1" x14ac:dyDescent="0.25">
      <c r="A1793" s="112"/>
      <c r="D1793" s="111"/>
      <c r="E1793" s="111"/>
      <c r="F1793" s="112"/>
      <c r="G1793" s="111"/>
      <c r="H1793" s="111"/>
      <c r="J1793" s="111"/>
    </row>
    <row r="1794" spans="1:10" s="3" customFormat="1" x14ac:dyDescent="0.25">
      <c r="A1794" s="112"/>
      <c r="D1794" s="111"/>
      <c r="E1794" s="111"/>
      <c r="F1794" s="112"/>
      <c r="G1794" s="111"/>
      <c r="H1794" s="111"/>
      <c r="J1794" s="111"/>
    </row>
    <row r="1795" spans="1:10" s="3" customFormat="1" x14ac:dyDescent="0.25">
      <c r="A1795" s="112"/>
      <c r="D1795" s="111"/>
      <c r="E1795" s="111"/>
      <c r="F1795" s="112"/>
      <c r="G1795" s="111"/>
      <c r="H1795" s="111"/>
      <c r="J1795" s="111"/>
    </row>
    <row r="1796" spans="1:10" s="3" customFormat="1" x14ac:dyDescent="0.25">
      <c r="A1796" s="112"/>
      <c r="D1796" s="111"/>
      <c r="E1796" s="111"/>
      <c r="F1796" s="112"/>
      <c r="G1796" s="111"/>
      <c r="H1796" s="111"/>
      <c r="J1796" s="111"/>
    </row>
    <row r="1797" spans="1:10" s="3" customFormat="1" x14ac:dyDescent="0.25">
      <c r="A1797" s="112"/>
      <c r="D1797" s="111"/>
      <c r="E1797" s="111"/>
      <c r="F1797" s="112"/>
      <c r="G1797" s="111"/>
      <c r="H1797" s="111"/>
      <c r="J1797" s="111"/>
    </row>
    <row r="1798" spans="1:10" s="3" customFormat="1" x14ac:dyDescent="0.25">
      <c r="A1798" s="112"/>
      <c r="D1798" s="111"/>
      <c r="E1798" s="111"/>
      <c r="F1798" s="112"/>
      <c r="G1798" s="111"/>
      <c r="H1798" s="111"/>
      <c r="J1798" s="111"/>
    </row>
    <row r="1799" spans="1:10" s="3" customFormat="1" x14ac:dyDescent="0.25">
      <c r="A1799" s="112"/>
      <c r="D1799" s="111"/>
      <c r="E1799" s="111"/>
      <c r="F1799" s="112"/>
      <c r="G1799" s="111"/>
      <c r="H1799" s="111"/>
      <c r="J1799" s="111"/>
    </row>
    <row r="1800" spans="1:10" s="3" customFormat="1" x14ac:dyDescent="0.25">
      <c r="A1800" s="112"/>
      <c r="D1800" s="111"/>
      <c r="E1800" s="111"/>
      <c r="F1800" s="112"/>
      <c r="G1800" s="111"/>
      <c r="H1800" s="111"/>
      <c r="J1800" s="111"/>
    </row>
    <row r="1801" spans="1:10" s="3" customFormat="1" x14ac:dyDescent="0.25">
      <c r="A1801" s="112"/>
      <c r="D1801" s="111"/>
      <c r="E1801" s="111"/>
      <c r="F1801" s="112"/>
      <c r="G1801" s="111"/>
      <c r="H1801" s="111"/>
      <c r="J1801" s="111"/>
    </row>
    <row r="1802" spans="1:10" s="3" customFormat="1" x14ac:dyDescent="0.25">
      <c r="A1802" s="112"/>
      <c r="D1802" s="111"/>
      <c r="E1802" s="111"/>
      <c r="F1802" s="112"/>
      <c r="G1802" s="111"/>
      <c r="H1802" s="111"/>
      <c r="J1802" s="111"/>
    </row>
    <row r="1803" spans="1:10" s="3" customFormat="1" x14ac:dyDescent="0.25">
      <c r="A1803" s="112"/>
      <c r="D1803" s="111"/>
      <c r="E1803" s="111"/>
      <c r="F1803" s="112"/>
      <c r="G1803" s="111"/>
      <c r="H1803" s="111"/>
      <c r="J1803" s="111"/>
    </row>
    <row r="1804" spans="1:10" s="3" customFormat="1" x14ac:dyDescent="0.25">
      <c r="A1804" s="112"/>
      <c r="D1804" s="111"/>
      <c r="E1804" s="111"/>
      <c r="F1804" s="112"/>
      <c r="G1804" s="111"/>
      <c r="H1804" s="111"/>
      <c r="J1804" s="111"/>
    </row>
    <row r="1805" spans="1:10" s="3" customFormat="1" x14ac:dyDescent="0.25">
      <c r="A1805" s="112"/>
      <c r="D1805" s="111"/>
      <c r="E1805" s="111"/>
      <c r="F1805" s="112"/>
      <c r="G1805" s="111"/>
      <c r="H1805" s="111"/>
      <c r="J1805" s="111"/>
    </row>
    <row r="1806" spans="1:10" s="3" customFormat="1" x14ac:dyDescent="0.25">
      <c r="A1806" s="112"/>
      <c r="D1806" s="111"/>
      <c r="E1806" s="111"/>
      <c r="F1806" s="112"/>
      <c r="G1806" s="111"/>
      <c r="H1806" s="111"/>
      <c r="J1806" s="111"/>
    </row>
    <row r="1807" spans="1:10" s="3" customFormat="1" x14ac:dyDescent="0.25">
      <c r="A1807" s="112"/>
      <c r="D1807" s="111"/>
      <c r="E1807" s="111"/>
      <c r="F1807" s="112"/>
      <c r="G1807" s="111"/>
      <c r="H1807" s="111"/>
      <c r="J1807" s="111"/>
    </row>
    <row r="1808" spans="1:10" s="3" customFormat="1" x14ac:dyDescent="0.25">
      <c r="A1808" s="112"/>
      <c r="D1808" s="111"/>
      <c r="E1808" s="111"/>
      <c r="F1808" s="112"/>
      <c r="G1808" s="111"/>
      <c r="H1808" s="111"/>
      <c r="J1808" s="111"/>
    </row>
    <row r="1809" spans="1:10" s="3" customFormat="1" x14ac:dyDescent="0.25">
      <c r="A1809" s="112"/>
      <c r="D1809" s="111"/>
      <c r="E1809" s="111"/>
      <c r="F1809" s="112"/>
      <c r="G1809" s="111"/>
      <c r="H1809" s="111"/>
      <c r="J1809" s="111"/>
    </row>
    <row r="1810" spans="1:10" s="3" customFormat="1" x14ac:dyDescent="0.25">
      <c r="A1810" s="112"/>
      <c r="D1810" s="111"/>
      <c r="E1810" s="111"/>
      <c r="F1810" s="112"/>
      <c r="G1810" s="111"/>
      <c r="H1810" s="111"/>
      <c r="J1810" s="111"/>
    </row>
    <row r="1811" spans="1:10" s="3" customFormat="1" x14ac:dyDescent="0.25">
      <c r="A1811" s="112"/>
      <c r="D1811" s="111"/>
      <c r="E1811" s="111"/>
      <c r="F1811" s="112"/>
      <c r="G1811" s="111"/>
      <c r="H1811" s="111"/>
      <c r="J1811" s="111"/>
    </row>
    <row r="1812" spans="1:10" s="3" customFormat="1" x14ac:dyDescent="0.25">
      <c r="A1812" s="112"/>
      <c r="D1812" s="111"/>
      <c r="E1812" s="111"/>
      <c r="F1812" s="112"/>
      <c r="G1812" s="111"/>
      <c r="H1812" s="111"/>
      <c r="J1812" s="111"/>
    </row>
    <row r="1813" spans="1:10" s="3" customFormat="1" x14ac:dyDescent="0.25">
      <c r="A1813" s="112"/>
      <c r="D1813" s="111"/>
      <c r="E1813" s="111"/>
      <c r="F1813" s="112"/>
      <c r="G1813" s="111"/>
      <c r="H1813" s="111"/>
      <c r="J1813" s="111"/>
    </row>
    <row r="1814" spans="1:10" s="3" customFormat="1" x14ac:dyDescent="0.25">
      <c r="A1814" s="112"/>
      <c r="D1814" s="111"/>
      <c r="E1814" s="111"/>
      <c r="F1814" s="112"/>
      <c r="G1814" s="111"/>
      <c r="H1814" s="111"/>
      <c r="J1814" s="111"/>
    </row>
    <row r="1815" spans="1:10" s="3" customFormat="1" x14ac:dyDescent="0.25">
      <c r="A1815" s="112"/>
      <c r="D1815" s="111"/>
      <c r="E1815" s="111"/>
      <c r="F1815" s="112"/>
      <c r="G1815" s="111"/>
      <c r="H1815" s="111"/>
      <c r="J1815" s="111"/>
    </row>
    <row r="1816" spans="1:10" s="3" customFormat="1" x14ac:dyDescent="0.25">
      <c r="A1816" s="112"/>
      <c r="D1816" s="111"/>
      <c r="E1816" s="111"/>
      <c r="F1816" s="112"/>
      <c r="G1816" s="111"/>
      <c r="H1816" s="111"/>
      <c r="J1816" s="111"/>
    </row>
    <row r="1817" spans="1:10" s="3" customFormat="1" x14ac:dyDescent="0.25">
      <c r="A1817" s="112"/>
      <c r="D1817" s="111"/>
      <c r="E1817" s="111"/>
      <c r="F1817" s="112"/>
      <c r="G1817" s="111"/>
      <c r="H1817" s="111"/>
      <c r="J1817" s="111"/>
    </row>
    <row r="1818" spans="1:10" s="3" customFormat="1" x14ac:dyDescent="0.25">
      <c r="A1818" s="112"/>
      <c r="D1818" s="111"/>
      <c r="E1818" s="111"/>
      <c r="F1818" s="112"/>
      <c r="G1818" s="111"/>
      <c r="H1818" s="111"/>
      <c r="J1818" s="111"/>
    </row>
    <row r="1819" spans="1:10" s="3" customFormat="1" x14ac:dyDescent="0.25">
      <c r="A1819" s="112"/>
      <c r="D1819" s="111"/>
      <c r="E1819" s="111"/>
      <c r="F1819" s="112"/>
      <c r="G1819" s="111"/>
      <c r="H1819" s="111"/>
      <c r="J1819" s="111"/>
    </row>
    <row r="1820" spans="1:10" s="3" customFormat="1" x14ac:dyDescent="0.25">
      <c r="A1820" s="112"/>
      <c r="D1820" s="111"/>
      <c r="E1820" s="111"/>
      <c r="F1820" s="112"/>
      <c r="G1820" s="111"/>
      <c r="H1820" s="111"/>
      <c r="J1820" s="111"/>
    </row>
    <row r="1821" spans="1:10" s="3" customFormat="1" x14ac:dyDescent="0.25">
      <c r="A1821" s="112"/>
      <c r="D1821" s="111"/>
      <c r="E1821" s="111"/>
      <c r="F1821" s="112"/>
      <c r="G1821" s="111"/>
      <c r="H1821" s="111"/>
      <c r="J1821" s="111"/>
    </row>
    <row r="1822" spans="1:10" s="3" customFormat="1" x14ac:dyDescent="0.25">
      <c r="A1822" s="112"/>
      <c r="D1822" s="111"/>
      <c r="E1822" s="111"/>
      <c r="F1822" s="112"/>
      <c r="G1822" s="111"/>
      <c r="H1822" s="111"/>
      <c r="J1822" s="111"/>
    </row>
    <row r="1823" spans="1:10" s="3" customFormat="1" x14ac:dyDescent="0.25">
      <c r="A1823" s="112"/>
      <c r="D1823" s="111"/>
      <c r="E1823" s="111"/>
      <c r="F1823" s="112"/>
      <c r="G1823" s="111"/>
      <c r="H1823" s="111"/>
      <c r="J1823" s="111"/>
    </row>
    <row r="1824" spans="1:10" s="3" customFormat="1" x14ac:dyDescent="0.25">
      <c r="A1824" s="112"/>
      <c r="D1824" s="111"/>
      <c r="E1824" s="111"/>
      <c r="F1824" s="112"/>
      <c r="G1824" s="111"/>
      <c r="H1824" s="111"/>
      <c r="J1824" s="111"/>
    </row>
    <row r="1825" spans="1:10" s="3" customFormat="1" x14ac:dyDescent="0.25">
      <c r="A1825" s="112"/>
      <c r="D1825" s="111"/>
      <c r="E1825" s="111"/>
      <c r="F1825" s="112"/>
      <c r="G1825" s="111"/>
      <c r="H1825" s="111"/>
      <c r="J1825" s="111"/>
    </row>
    <row r="1826" spans="1:10" s="3" customFormat="1" x14ac:dyDescent="0.25">
      <c r="A1826" s="112"/>
      <c r="D1826" s="111"/>
      <c r="E1826" s="111"/>
      <c r="F1826" s="112"/>
      <c r="G1826" s="111"/>
      <c r="H1826" s="111"/>
      <c r="J1826" s="111"/>
    </row>
    <row r="1827" spans="1:10" s="3" customFormat="1" x14ac:dyDescent="0.25">
      <c r="A1827" s="112"/>
      <c r="D1827" s="111"/>
      <c r="E1827" s="111"/>
      <c r="F1827" s="112"/>
      <c r="G1827" s="111"/>
      <c r="H1827" s="111"/>
      <c r="J1827" s="111"/>
    </row>
    <row r="1828" spans="1:10" s="3" customFormat="1" x14ac:dyDescent="0.25">
      <c r="A1828" s="112"/>
      <c r="D1828" s="111"/>
      <c r="E1828" s="111"/>
      <c r="F1828" s="112"/>
      <c r="G1828" s="111"/>
      <c r="H1828" s="111"/>
      <c r="J1828" s="111"/>
    </row>
    <row r="1829" spans="1:10" s="3" customFormat="1" x14ac:dyDescent="0.25">
      <c r="A1829" s="112"/>
      <c r="D1829" s="111"/>
      <c r="E1829" s="111"/>
      <c r="F1829" s="112"/>
      <c r="G1829" s="111"/>
      <c r="H1829" s="111"/>
      <c r="J1829" s="111"/>
    </row>
    <row r="1830" spans="1:10" s="3" customFormat="1" x14ac:dyDescent="0.25">
      <c r="A1830" s="112"/>
      <c r="D1830" s="111"/>
      <c r="E1830" s="111"/>
      <c r="F1830" s="112"/>
      <c r="G1830" s="111"/>
      <c r="H1830" s="111"/>
      <c r="J1830" s="111"/>
    </row>
    <row r="1831" spans="1:10" s="3" customFormat="1" x14ac:dyDescent="0.25">
      <c r="A1831" s="112"/>
      <c r="D1831" s="111"/>
      <c r="E1831" s="111"/>
      <c r="F1831" s="112"/>
      <c r="G1831" s="111"/>
      <c r="H1831" s="111"/>
      <c r="J1831" s="111"/>
    </row>
    <row r="1832" spans="1:10" s="3" customFormat="1" x14ac:dyDescent="0.25">
      <c r="A1832" s="112"/>
      <c r="D1832" s="111"/>
      <c r="E1832" s="111"/>
      <c r="F1832" s="112"/>
      <c r="G1832" s="111"/>
      <c r="H1832" s="111"/>
      <c r="J1832" s="111"/>
    </row>
    <row r="1833" spans="1:10" s="3" customFormat="1" x14ac:dyDescent="0.25">
      <c r="A1833" s="112"/>
      <c r="D1833" s="111"/>
      <c r="E1833" s="111"/>
      <c r="F1833" s="112"/>
      <c r="G1833" s="111"/>
      <c r="H1833" s="111"/>
      <c r="J1833" s="111"/>
    </row>
    <row r="1834" spans="1:10" s="3" customFormat="1" x14ac:dyDescent="0.25">
      <c r="A1834" s="112"/>
      <c r="D1834" s="111"/>
      <c r="E1834" s="111"/>
      <c r="F1834" s="112"/>
      <c r="G1834" s="111"/>
      <c r="H1834" s="111"/>
      <c r="J1834" s="111"/>
    </row>
    <row r="1835" spans="1:10" s="3" customFormat="1" x14ac:dyDescent="0.25">
      <c r="A1835" s="112"/>
      <c r="D1835" s="111"/>
      <c r="E1835" s="111"/>
      <c r="F1835" s="112"/>
      <c r="G1835" s="111"/>
      <c r="H1835" s="111"/>
      <c r="J1835" s="111"/>
    </row>
    <row r="1836" spans="1:10" s="3" customFormat="1" x14ac:dyDescent="0.25">
      <c r="A1836" s="112"/>
      <c r="D1836" s="111"/>
      <c r="E1836" s="111"/>
      <c r="F1836" s="112"/>
      <c r="G1836" s="111"/>
      <c r="H1836" s="111"/>
      <c r="J1836" s="111"/>
    </row>
    <row r="1837" spans="1:10" s="3" customFormat="1" x14ac:dyDescent="0.25">
      <c r="A1837" s="112"/>
      <c r="D1837" s="111"/>
      <c r="E1837" s="111"/>
      <c r="F1837" s="112"/>
      <c r="G1837" s="111"/>
      <c r="H1837" s="111"/>
      <c r="J1837" s="111"/>
    </row>
    <row r="1838" spans="1:10" s="3" customFormat="1" x14ac:dyDescent="0.25">
      <c r="A1838" s="112"/>
      <c r="D1838" s="111"/>
      <c r="E1838" s="111"/>
      <c r="F1838" s="112"/>
      <c r="G1838" s="111"/>
      <c r="H1838" s="111"/>
      <c r="J1838" s="111"/>
    </row>
    <row r="1839" spans="1:10" s="3" customFormat="1" x14ac:dyDescent="0.25">
      <c r="A1839" s="112"/>
      <c r="D1839" s="111"/>
      <c r="E1839" s="111"/>
      <c r="F1839" s="112"/>
      <c r="G1839" s="111"/>
      <c r="H1839" s="111"/>
      <c r="J1839" s="111"/>
    </row>
    <row r="1840" spans="1:10" s="3" customFormat="1" x14ac:dyDescent="0.25">
      <c r="A1840" s="112"/>
      <c r="D1840" s="111"/>
      <c r="E1840" s="111"/>
      <c r="F1840" s="112"/>
      <c r="G1840" s="111"/>
      <c r="H1840" s="111"/>
      <c r="J1840" s="111"/>
    </row>
    <row r="1841" spans="1:10" s="3" customFormat="1" x14ac:dyDescent="0.25">
      <c r="A1841" s="112"/>
      <c r="D1841" s="111"/>
      <c r="E1841" s="111"/>
      <c r="F1841" s="112"/>
      <c r="G1841" s="111"/>
      <c r="H1841" s="111"/>
      <c r="J1841" s="111"/>
    </row>
    <row r="1842" spans="1:10" s="3" customFormat="1" x14ac:dyDescent="0.25">
      <c r="A1842" s="112"/>
      <c r="D1842" s="111"/>
      <c r="E1842" s="111"/>
      <c r="F1842" s="112"/>
      <c r="G1842" s="111"/>
      <c r="H1842" s="111"/>
      <c r="J1842" s="111"/>
    </row>
    <row r="1843" spans="1:10" s="3" customFormat="1" x14ac:dyDescent="0.25">
      <c r="A1843" s="112"/>
      <c r="D1843" s="111"/>
      <c r="E1843" s="111"/>
      <c r="F1843" s="112"/>
      <c r="G1843" s="111"/>
      <c r="H1843" s="111"/>
      <c r="J1843" s="111"/>
    </row>
    <row r="1844" spans="1:10" s="3" customFormat="1" x14ac:dyDescent="0.25">
      <c r="A1844" s="112"/>
      <c r="D1844" s="111"/>
      <c r="E1844" s="111"/>
      <c r="F1844" s="112"/>
      <c r="G1844" s="111"/>
      <c r="H1844" s="111"/>
      <c r="J1844" s="111"/>
    </row>
    <row r="1845" spans="1:10" s="3" customFormat="1" x14ac:dyDescent="0.25">
      <c r="A1845" s="112"/>
      <c r="D1845" s="111"/>
      <c r="E1845" s="111"/>
      <c r="F1845" s="112"/>
      <c r="G1845" s="111"/>
      <c r="H1845" s="111"/>
      <c r="J1845" s="111"/>
    </row>
    <row r="1846" spans="1:10" s="3" customFormat="1" x14ac:dyDescent="0.25">
      <c r="A1846" s="112"/>
      <c r="D1846" s="111"/>
      <c r="E1846" s="111"/>
      <c r="F1846" s="112"/>
      <c r="G1846" s="111"/>
      <c r="H1846" s="111"/>
      <c r="J1846" s="111"/>
    </row>
    <row r="1847" spans="1:10" s="3" customFormat="1" x14ac:dyDescent="0.25">
      <c r="A1847" s="112"/>
      <c r="D1847" s="111"/>
      <c r="E1847" s="111"/>
      <c r="F1847" s="112"/>
      <c r="G1847" s="111"/>
      <c r="H1847" s="111"/>
      <c r="J1847" s="111"/>
    </row>
    <row r="1848" spans="1:10" s="3" customFormat="1" x14ac:dyDescent="0.25">
      <c r="A1848" s="112"/>
      <c r="D1848" s="111"/>
      <c r="E1848" s="111"/>
      <c r="F1848" s="112"/>
      <c r="G1848" s="111"/>
      <c r="H1848" s="111"/>
      <c r="J1848" s="111"/>
    </row>
    <row r="1849" spans="1:10" s="3" customFormat="1" x14ac:dyDescent="0.25">
      <c r="A1849" s="112"/>
      <c r="D1849" s="111"/>
      <c r="E1849" s="111"/>
      <c r="F1849" s="112"/>
      <c r="G1849" s="111"/>
      <c r="H1849" s="111"/>
      <c r="J1849" s="111"/>
    </row>
    <row r="1850" spans="1:10" s="3" customFormat="1" x14ac:dyDescent="0.25">
      <c r="A1850" s="112"/>
      <c r="D1850" s="111"/>
      <c r="E1850" s="111"/>
      <c r="F1850" s="112"/>
      <c r="G1850" s="111"/>
      <c r="H1850" s="111"/>
      <c r="J1850" s="111"/>
    </row>
    <row r="1851" spans="1:10" s="3" customFormat="1" x14ac:dyDescent="0.25">
      <c r="A1851" s="112"/>
      <c r="D1851" s="111"/>
      <c r="E1851" s="111"/>
      <c r="F1851" s="112"/>
      <c r="G1851" s="111"/>
      <c r="H1851" s="111"/>
      <c r="J1851" s="111"/>
    </row>
    <row r="1852" spans="1:10" s="3" customFormat="1" x14ac:dyDescent="0.25">
      <c r="A1852" s="112"/>
      <c r="D1852" s="111"/>
      <c r="E1852" s="111"/>
      <c r="F1852" s="112"/>
      <c r="G1852" s="111"/>
      <c r="H1852" s="111"/>
      <c r="J1852" s="111"/>
    </row>
    <row r="1853" spans="1:10" s="3" customFormat="1" x14ac:dyDescent="0.25">
      <c r="A1853" s="112"/>
      <c r="D1853" s="111"/>
      <c r="E1853" s="111"/>
      <c r="F1853" s="112"/>
      <c r="G1853" s="111"/>
      <c r="H1853" s="111"/>
      <c r="J1853" s="111"/>
    </row>
    <row r="1854" spans="1:10" s="3" customFormat="1" x14ac:dyDescent="0.25">
      <c r="A1854" s="112"/>
      <c r="D1854" s="111"/>
      <c r="E1854" s="111"/>
      <c r="F1854" s="112"/>
      <c r="G1854" s="111"/>
      <c r="H1854" s="111"/>
      <c r="J1854" s="111"/>
    </row>
    <row r="1855" spans="1:10" s="3" customFormat="1" x14ac:dyDescent="0.25">
      <c r="A1855" s="112"/>
      <c r="D1855" s="111"/>
      <c r="E1855" s="111"/>
      <c r="F1855" s="112"/>
      <c r="G1855" s="111"/>
      <c r="H1855" s="111"/>
      <c r="J1855" s="111"/>
    </row>
    <row r="1856" spans="1:10" s="3" customFormat="1" x14ac:dyDescent="0.25">
      <c r="A1856" s="112"/>
      <c r="D1856" s="111"/>
      <c r="E1856" s="111"/>
      <c r="F1856" s="112"/>
      <c r="G1856" s="111"/>
      <c r="H1856" s="111"/>
      <c r="J1856" s="111"/>
    </row>
    <row r="1857" spans="1:10" s="3" customFormat="1" x14ac:dyDescent="0.25">
      <c r="A1857" s="112"/>
      <c r="D1857" s="111"/>
      <c r="E1857" s="111"/>
      <c r="F1857" s="112"/>
      <c r="G1857" s="111"/>
      <c r="H1857" s="111"/>
      <c r="J1857" s="111"/>
    </row>
    <row r="1858" spans="1:10" s="3" customFormat="1" x14ac:dyDescent="0.25">
      <c r="A1858" s="112"/>
      <c r="D1858" s="111"/>
      <c r="E1858" s="111"/>
      <c r="F1858" s="112"/>
      <c r="G1858" s="111"/>
      <c r="H1858" s="111"/>
      <c r="J1858" s="111"/>
    </row>
    <row r="1859" spans="1:10" s="3" customFormat="1" x14ac:dyDescent="0.25">
      <c r="A1859" s="112"/>
      <c r="D1859" s="111"/>
      <c r="E1859" s="111"/>
      <c r="F1859" s="112"/>
      <c r="G1859" s="111"/>
      <c r="H1859" s="111"/>
      <c r="J1859" s="111"/>
    </row>
    <row r="1860" spans="1:10" s="3" customFormat="1" x14ac:dyDescent="0.25">
      <c r="A1860" s="112"/>
      <c r="D1860" s="111"/>
      <c r="E1860" s="111"/>
      <c r="F1860" s="112"/>
      <c r="G1860" s="111"/>
      <c r="H1860" s="111"/>
      <c r="J1860" s="111"/>
    </row>
    <row r="1861" spans="1:10" s="3" customFormat="1" x14ac:dyDescent="0.25">
      <c r="A1861" s="112"/>
      <c r="D1861" s="111"/>
      <c r="E1861" s="111"/>
      <c r="F1861" s="112"/>
      <c r="G1861" s="111"/>
      <c r="H1861" s="111"/>
      <c r="J1861" s="111"/>
    </row>
    <row r="1862" spans="1:10" s="3" customFormat="1" x14ac:dyDescent="0.25">
      <c r="A1862" s="112"/>
      <c r="D1862" s="111"/>
      <c r="E1862" s="111"/>
      <c r="F1862" s="112"/>
      <c r="G1862" s="111"/>
      <c r="H1862" s="111"/>
      <c r="J1862" s="111"/>
    </row>
    <row r="1863" spans="1:10" s="3" customFormat="1" x14ac:dyDescent="0.25">
      <c r="A1863" s="112"/>
      <c r="D1863" s="111"/>
      <c r="E1863" s="111"/>
      <c r="F1863" s="112"/>
      <c r="G1863" s="111"/>
      <c r="H1863" s="111"/>
      <c r="J1863" s="111"/>
    </row>
    <row r="1864" spans="1:10" s="3" customFormat="1" x14ac:dyDescent="0.25">
      <c r="A1864" s="112"/>
      <c r="D1864" s="111"/>
      <c r="E1864" s="111"/>
      <c r="F1864" s="112"/>
      <c r="G1864" s="111"/>
      <c r="H1864" s="111"/>
      <c r="J1864" s="111"/>
    </row>
    <row r="1865" spans="1:10" s="3" customFormat="1" x14ac:dyDescent="0.25">
      <c r="A1865" s="112"/>
      <c r="D1865" s="111"/>
      <c r="E1865" s="111"/>
      <c r="F1865" s="112"/>
      <c r="G1865" s="111"/>
      <c r="H1865" s="111"/>
      <c r="J1865" s="111"/>
    </row>
    <row r="1866" spans="1:10" s="3" customFormat="1" x14ac:dyDescent="0.25">
      <c r="A1866" s="112"/>
      <c r="D1866" s="111"/>
      <c r="E1866" s="111"/>
      <c r="F1866" s="112"/>
      <c r="G1866" s="111"/>
      <c r="H1866" s="111"/>
      <c r="J1866" s="111"/>
    </row>
    <row r="1867" spans="1:10" s="3" customFormat="1" x14ac:dyDescent="0.25">
      <c r="A1867" s="112"/>
      <c r="D1867" s="111"/>
      <c r="E1867" s="111"/>
      <c r="F1867" s="112"/>
      <c r="G1867" s="111"/>
      <c r="H1867" s="111"/>
      <c r="J1867" s="111"/>
    </row>
    <row r="1868" spans="1:10" s="3" customFormat="1" x14ac:dyDescent="0.25">
      <c r="A1868" s="112"/>
      <c r="D1868" s="111"/>
      <c r="E1868" s="111"/>
      <c r="F1868" s="112"/>
      <c r="G1868" s="111"/>
      <c r="H1868" s="111"/>
      <c r="J1868" s="111"/>
    </row>
    <row r="1869" spans="1:10" s="3" customFormat="1" x14ac:dyDescent="0.25">
      <c r="A1869" s="112"/>
      <c r="D1869" s="111"/>
      <c r="E1869" s="111"/>
      <c r="F1869" s="112"/>
      <c r="G1869" s="111"/>
      <c r="H1869" s="111"/>
      <c r="J1869" s="111"/>
    </row>
    <row r="1870" spans="1:10" s="3" customFormat="1" x14ac:dyDescent="0.25">
      <c r="A1870" s="112"/>
      <c r="D1870" s="111"/>
      <c r="E1870" s="111"/>
      <c r="F1870" s="112"/>
      <c r="G1870" s="111"/>
      <c r="H1870" s="111"/>
      <c r="J1870" s="111"/>
    </row>
    <row r="1871" spans="1:10" s="3" customFormat="1" x14ac:dyDescent="0.25">
      <c r="A1871" s="112"/>
      <c r="D1871" s="111"/>
      <c r="E1871" s="111"/>
      <c r="F1871" s="112"/>
      <c r="G1871" s="111"/>
      <c r="H1871" s="111"/>
      <c r="J1871" s="111"/>
    </row>
    <row r="1872" spans="1:10" s="3" customFormat="1" x14ac:dyDescent="0.25">
      <c r="A1872" s="112"/>
      <c r="D1872" s="111"/>
      <c r="E1872" s="111"/>
      <c r="F1872" s="112"/>
      <c r="G1872" s="111"/>
      <c r="H1872" s="111"/>
      <c r="J1872" s="111"/>
    </row>
    <row r="1873" spans="1:10" s="3" customFormat="1" x14ac:dyDescent="0.25">
      <c r="A1873" s="112"/>
      <c r="D1873" s="111"/>
      <c r="E1873" s="111"/>
      <c r="F1873" s="112"/>
      <c r="G1873" s="111"/>
      <c r="H1873" s="111"/>
      <c r="J1873" s="111"/>
    </row>
    <row r="1874" spans="1:10" s="3" customFormat="1" x14ac:dyDescent="0.25">
      <c r="A1874" s="112"/>
      <c r="D1874" s="111"/>
      <c r="E1874" s="111"/>
      <c r="F1874" s="112"/>
      <c r="G1874" s="111"/>
      <c r="H1874" s="111"/>
      <c r="J1874" s="111"/>
    </row>
    <row r="1875" spans="1:10" s="3" customFormat="1" x14ac:dyDescent="0.25">
      <c r="A1875" s="112"/>
      <c r="D1875" s="111"/>
      <c r="E1875" s="111"/>
      <c r="F1875" s="112"/>
      <c r="G1875" s="111"/>
      <c r="H1875" s="111"/>
      <c r="J1875" s="111"/>
    </row>
    <row r="1876" spans="1:10" s="3" customFormat="1" x14ac:dyDescent="0.25">
      <c r="A1876" s="112"/>
      <c r="D1876" s="111"/>
      <c r="E1876" s="111"/>
      <c r="F1876" s="112"/>
      <c r="G1876" s="111"/>
      <c r="H1876" s="111"/>
      <c r="J1876" s="111"/>
    </row>
    <row r="1877" spans="1:10" s="3" customFormat="1" x14ac:dyDescent="0.25">
      <c r="A1877" s="112"/>
      <c r="D1877" s="111"/>
      <c r="E1877" s="111"/>
      <c r="F1877" s="112"/>
      <c r="G1877" s="111"/>
      <c r="H1877" s="111"/>
      <c r="J1877" s="111"/>
    </row>
    <row r="1878" spans="1:10" s="3" customFormat="1" x14ac:dyDescent="0.25">
      <c r="A1878" s="112"/>
      <c r="D1878" s="111"/>
      <c r="E1878" s="111"/>
      <c r="F1878" s="112"/>
      <c r="G1878" s="111"/>
      <c r="H1878" s="111"/>
      <c r="J1878" s="111"/>
    </row>
    <row r="1879" spans="1:10" s="3" customFormat="1" x14ac:dyDescent="0.25">
      <c r="A1879" s="112"/>
      <c r="D1879" s="111"/>
      <c r="E1879" s="111"/>
      <c r="F1879" s="112"/>
      <c r="G1879" s="111"/>
      <c r="H1879" s="111"/>
      <c r="J1879" s="111"/>
    </row>
    <row r="1880" spans="1:10" s="3" customFormat="1" x14ac:dyDescent="0.25">
      <c r="A1880" s="112"/>
      <c r="D1880" s="111"/>
      <c r="E1880" s="111"/>
      <c r="F1880" s="112"/>
      <c r="G1880" s="111"/>
      <c r="H1880" s="111"/>
      <c r="J1880" s="111"/>
    </row>
    <row r="1881" spans="1:10" s="3" customFormat="1" x14ac:dyDescent="0.25">
      <c r="A1881" s="112"/>
      <c r="D1881" s="111"/>
      <c r="E1881" s="111"/>
      <c r="F1881" s="112"/>
      <c r="G1881" s="111"/>
      <c r="H1881" s="111"/>
      <c r="J1881" s="111"/>
    </row>
    <row r="1882" spans="1:10" s="3" customFormat="1" x14ac:dyDescent="0.25">
      <c r="A1882" s="112"/>
      <c r="D1882" s="111"/>
      <c r="E1882" s="111"/>
      <c r="F1882" s="112"/>
      <c r="G1882" s="111"/>
      <c r="H1882" s="111"/>
      <c r="J1882" s="111"/>
    </row>
    <row r="1883" spans="1:10" s="3" customFormat="1" x14ac:dyDescent="0.25">
      <c r="A1883" s="112"/>
      <c r="D1883" s="111"/>
      <c r="E1883" s="111"/>
      <c r="F1883" s="112"/>
      <c r="G1883" s="111"/>
      <c r="H1883" s="111"/>
      <c r="J1883" s="111"/>
    </row>
    <row r="1884" spans="1:10" s="3" customFormat="1" x14ac:dyDescent="0.25">
      <c r="A1884" s="112"/>
      <c r="D1884" s="111"/>
      <c r="E1884" s="111"/>
      <c r="F1884" s="112"/>
      <c r="G1884" s="111"/>
      <c r="H1884" s="111"/>
      <c r="J1884" s="111"/>
    </row>
    <row r="1885" spans="1:10" s="3" customFormat="1" x14ac:dyDescent="0.25">
      <c r="A1885" s="112"/>
      <c r="D1885" s="111"/>
      <c r="E1885" s="111"/>
      <c r="F1885" s="112"/>
      <c r="G1885" s="111"/>
      <c r="H1885" s="111"/>
      <c r="J1885" s="111"/>
    </row>
    <row r="1886" spans="1:10" s="3" customFormat="1" x14ac:dyDescent="0.25">
      <c r="A1886" s="112"/>
      <c r="D1886" s="111"/>
      <c r="E1886" s="111"/>
      <c r="F1886" s="112"/>
      <c r="G1886" s="111"/>
      <c r="H1886" s="111"/>
      <c r="J1886" s="111"/>
    </row>
    <row r="1887" spans="1:10" s="3" customFormat="1" x14ac:dyDescent="0.25">
      <c r="A1887" s="112"/>
      <c r="D1887" s="111"/>
      <c r="E1887" s="111"/>
      <c r="F1887" s="112"/>
      <c r="G1887" s="111"/>
      <c r="H1887" s="111"/>
      <c r="J1887" s="111"/>
    </row>
    <row r="1888" spans="1:10" s="3" customFormat="1" x14ac:dyDescent="0.25">
      <c r="A1888" s="112"/>
      <c r="D1888" s="111"/>
      <c r="E1888" s="111"/>
      <c r="F1888" s="112"/>
      <c r="G1888" s="111"/>
      <c r="H1888" s="111"/>
      <c r="J1888" s="111"/>
    </row>
    <row r="1889" spans="1:10" s="3" customFormat="1" x14ac:dyDescent="0.25">
      <c r="A1889" s="112"/>
      <c r="D1889" s="111"/>
      <c r="E1889" s="111"/>
      <c r="F1889" s="112"/>
      <c r="G1889" s="111"/>
      <c r="H1889" s="111"/>
      <c r="J1889" s="111"/>
    </row>
    <row r="1890" spans="1:10" s="3" customFormat="1" x14ac:dyDescent="0.25">
      <c r="A1890" s="112"/>
      <c r="D1890" s="111"/>
      <c r="E1890" s="111"/>
      <c r="F1890" s="112"/>
      <c r="G1890" s="111"/>
      <c r="H1890" s="111"/>
      <c r="J1890" s="111"/>
    </row>
    <row r="1891" spans="1:10" s="3" customFormat="1" x14ac:dyDescent="0.25">
      <c r="A1891" s="112"/>
      <c r="D1891" s="111"/>
      <c r="E1891" s="111"/>
      <c r="F1891" s="112"/>
      <c r="G1891" s="111"/>
      <c r="H1891" s="111"/>
      <c r="J1891" s="111"/>
    </row>
    <row r="1892" spans="1:10" s="3" customFormat="1" x14ac:dyDescent="0.25">
      <c r="A1892" s="112"/>
      <c r="D1892" s="111"/>
      <c r="E1892" s="111"/>
      <c r="F1892" s="112"/>
      <c r="G1892" s="111"/>
      <c r="H1892" s="111"/>
      <c r="J1892" s="111"/>
    </row>
    <row r="1893" spans="1:10" s="3" customFormat="1" x14ac:dyDescent="0.25">
      <c r="A1893" s="112"/>
      <c r="D1893" s="111"/>
      <c r="E1893" s="111"/>
      <c r="F1893" s="112"/>
      <c r="G1893" s="111"/>
      <c r="H1893" s="111"/>
      <c r="J1893" s="111"/>
    </row>
    <row r="1894" spans="1:10" s="3" customFormat="1" x14ac:dyDescent="0.25">
      <c r="A1894" s="112"/>
      <c r="D1894" s="111"/>
      <c r="E1894" s="111"/>
      <c r="F1894" s="112"/>
      <c r="G1894" s="111"/>
      <c r="H1894" s="111"/>
      <c r="J1894" s="111"/>
    </row>
    <row r="1895" spans="1:10" s="3" customFormat="1" x14ac:dyDescent="0.25">
      <c r="A1895" s="112"/>
      <c r="D1895" s="111"/>
      <c r="E1895" s="111"/>
      <c r="F1895" s="112"/>
      <c r="G1895" s="111"/>
      <c r="H1895" s="111"/>
      <c r="J1895" s="111"/>
    </row>
    <row r="1896" spans="1:10" s="3" customFormat="1" x14ac:dyDescent="0.25">
      <c r="A1896" s="112"/>
      <c r="D1896" s="111"/>
      <c r="E1896" s="111"/>
      <c r="F1896" s="112"/>
      <c r="G1896" s="111"/>
      <c r="H1896" s="111"/>
      <c r="J1896" s="111"/>
    </row>
    <row r="1897" spans="1:10" s="3" customFormat="1" x14ac:dyDescent="0.25">
      <c r="A1897" s="112"/>
      <c r="D1897" s="111"/>
      <c r="E1897" s="111"/>
      <c r="F1897" s="112"/>
      <c r="G1897" s="111"/>
      <c r="H1897" s="111"/>
      <c r="J1897" s="111"/>
    </row>
    <row r="1898" spans="1:10" s="3" customFormat="1" x14ac:dyDescent="0.25">
      <c r="A1898" s="112"/>
      <c r="D1898" s="111"/>
      <c r="E1898" s="111"/>
      <c r="F1898" s="112"/>
      <c r="G1898" s="111"/>
      <c r="H1898" s="111"/>
      <c r="J1898" s="111"/>
    </row>
    <row r="1899" spans="1:10" s="3" customFormat="1" x14ac:dyDescent="0.25">
      <c r="A1899" s="112"/>
      <c r="D1899" s="111"/>
      <c r="E1899" s="111"/>
      <c r="F1899" s="112"/>
      <c r="G1899" s="111"/>
      <c r="H1899" s="111"/>
      <c r="J1899" s="111"/>
    </row>
    <row r="1900" spans="1:10" s="3" customFormat="1" x14ac:dyDescent="0.25">
      <c r="A1900" s="112"/>
      <c r="D1900" s="111"/>
      <c r="E1900" s="111"/>
      <c r="F1900" s="112"/>
      <c r="G1900" s="111"/>
      <c r="H1900" s="111"/>
      <c r="J1900" s="111"/>
    </row>
    <row r="1901" spans="1:10" s="3" customFormat="1" x14ac:dyDescent="0.25">
      <c r="A1901" s="112"/>
      <c r="D1901" s="111"/>
      <c r="E1901" s="111"/>
      <c r="F1901" s="112"/>
      <c r="G1901" s="111"/>
      <c r="H1901" s="111"/>
      <c r="J1901" s="111"/>
    </row>
    <row r="1902" spans="1:10" s="3" customFormat="1" x14ac:dyDescent="0.25">
      <c r="A1902" s="112"/>
      <c r="D1902" s="111"/>
      <c r="E1902" s="111"/>
      <c r="F1902" s="112"/>
      <c r="G1902" s="111"/>
      <c r="H1902" s="111"/>
      <c r="J1902" s="111"/>
    </row>
    <row r="1903" spans="1:10" s="3" customFormat="1" x14ac:dyDescent="0.25">
      <c r="A1903" s="112"/>
      <c r="D1903" s="111"/>
      <c r="E1903" s="111"/>
      <c r="F1903" s="112"/>
      <c r="G1903" s="111"/>
      <c r="H1903" s="111"/>
      <c r="J1903" s="111"/>
    </row>
    <row r="1904" spans="1:10" s="3" customFormat="1" x14ac:dyDescent="0.25">
      <c r="A1904" s="112"/>
      <c r="D1904" s="111"/>
      <c r="E1904" s="111"/>
      <c r="F1904" s="112"/>
      <c r="G1904" s="111"/>
      <c r="H1904" s="111"/>
      <c r="J1904" s="111"/>
    </row>
    <row r="1905" spans="1:10" s="3" customFormat="1" x14ac:dyDescent="0.25">
      <c r="A1905" s="112"/>
      <c r="D1905" s="111"/>
      <c r="E1905" s="111"/>
      <c r="F1905" s="112"/>
      <c r="G1905" s="111"/>
      <c r="H1905" s="111"/>
      <c r="J1905" s="111"/>
    </row>
    <row r="1906" spans="1:10" s="3" customFormat="1" x14ac:dyDescent="0.25">
      <c r="A1906" s="112"/>
      <c r="D1906" s="111"/>
      <c r="E1906" s="111"/>
      <c r="F1906" s="112"/>
      <c r="G1906" s="111"/>
      <c r="H1906" s="111"/>
      <c r="J1906" s="111"/>
    </row>
    <row r="1907" spans="1:10" s="3" customFormat="1" x14ac:dyDescent="0.25">
      <c r="A1907" s="112"/>
      <c r="D1907" s="111"/>
      <c r="E1907" s="111"/>
      <c r="F1907" s="112"/>
      <c r="G1907" s="111"/>
      <c r="H1907" s="111"/>
      <c r="J1907" s="111"/>
    </row>
    <row r="1908" spans="1:10" s="3" customFormat="1" x14ac:dyDescent="0.25">
      <c r="A1908" s="112"/>
      <c r="D1908" s="111"/>
      <c r="E1908" s="111"/>
      <c r="F1908" s="112"/>
      <c r="G1908" s="111"/>
      <c r="H1908" s="111"/>
      <c r="J1908" s="111"/>
    </row>
    <row r="1909" spans="1:10" s="3" customFormat="1" x14ac:dyDescent="0.25">
      <c r="A1909" s="112"/>
      <c r="D1909" s="111"/>
      <c r="E1909" s="111"/>
      <c r="F1909" s="112"/>
      <c r="G1909" s="111"/>
      <c r="H1909" s="111"/>
      <c r="J1909" s="111"/>
    </row>
    <row r="1910" spans="1:10" s="3" customFormat="1" x14ac:dyDescent="0.25">
      <c r="A1910" s="112"/>
      <c r="D1910" s="111"/>
      <c r="E1910" s="111"/>
      <c r="F1910" s="112"/>
      <c r="G1910" s="111"/>
      <c r="H1910" s="111"/>
      <c r="J1910" s="111"/>
    </row>
    <row r="1911" spans="1:10" s="3" customFormat="1" x14ac:dyDescent="0.25">
      <c r="A1911" s="112"/>
      <c r="D1911" s="111"/>
      <c r="E1911" s="111"/>
      <c r="F1911" s="112"/>
      <c r="G1911" s="111"/>
      <c r="H1911" s="111"/>
      <c r="J1911" s="111"/>
    </row>
    <row r="1912" spans="1:10" s="3" customFormat="1" x14ac:dyDescent="0.25">
      <c r="A1912" s="112"/>
      <c r="D1912" s="111"/>
      <c r="E1912" s="111"/>
      <c r="F1912" s="112"/>
      <c r="G1912" s="111"/>
      <c r="H1912" s="111"/>
      <c r="J1912" s="111"/>
    </row>
    <row r="1913" spans="1:10" s="3" customFormat="1" x14ac:dyDescent="0.25">
      <c r="A1913" s="112"/>
      <c r="D1913" s="111"/>
      <c r="E1913" s="111"/>
      <c r="F1913" s="112"/>
      <c r="G1913" s="111"/>
      <c r="H1913" s="111"/>
      <c r="J1913" s="111"/>
    </row>
    <row r="1914" spans="1:10" s="3" customFormat="1" x14ac:dyDescent="0.25">
      <c r="A1914" s="112"/>
      <c r="D1914" s="111"/>
      <c r="E1914" s="111"/>
      <c r="F1914" s="112"/>
      <c r="G1914" s="111"/>
      <c r="H1914" s="111"/>
      <c r="J1914" s="111"/>
    </row>
    <row r="1915" spans="1:10" s="3" customFormat="1" x14ac:dyDescent="0.25">
      <c r="A1915" s="112"/>
      <c r="D1915" s="111"/>
      <c r="E1915" s="111"/>
      <c r="F1915" s="112"/>
      <c r="G1915" s="111"/>
      <c r="H1915" s="111"/>
      <c r="J1915" s="111"/>
    </row>
    <row r="1916" spans="1:10" s="3" customFormat="1" x14ac:dyDescent="0.25">
      <c r="A1916" s="112"/>
      <c r="D1916" s="111"/>
      <c r="E1916" s="111"/>
      <c r="F1916" s="112"/>
      <c r="G1916" s="111"/>
      <c r="H1916" s="111"/>
      <c r="J1916" s="111"/>
    </row>
    <row r="1917" spans="1:10" s="3" customFormat="1" x14ac:dyDescent="0.25">
      <c r="A1917" s="112"/>
      <c r="D1917" s="111"/>
      <c r="E1917" s="111"/>
      <c r="F1917" s="112"/>
      <c r="G1917" s="111"/>
      <c r="H1917" s="111"/>
      <c r="J1917" s="111"/>
    </row>
    <row r="1918" spans="1:10" s="3" customFormat="1" x14ac:dyDescent="0.25">
      <c r="A1918" s="112"/>
      <c r="D1918" s="111"/>
      <c r="E1918" s="111"/>
      <c r="F1918" s="112"/>
      <c r="G1918" s="111"/>
      <c r="H1918" s="111"/>
      <c r="J1918" s="111"/>
    </row>
    <row r="1919" spans="1:10" s="3" customFormat="1" x14ac:dyDescent="0.25">
      <c r="A1919" s="112"/>
      <c r="D1919" s="111"/>
      <c r="E1919" s="111"/>
      <c r="F1919" s="112"/>
      <c r="G1919" s="111"/>
      <c r="H1919" s="111"/>
      <c r="J1919" s="111"/>
    </row>
    <row r="1920" spans="1:10" s="3" customFormat="1" x14ac:dyDescent="0.25">
      <c r="A1920" s="112"/>
      <c r="D1920" s="111"/>
      <c r="E1920" s="111"/>
      <c r="F1920" s="112"/>
      <c r="G1920" s="111"/>
      <c r="H1920" s="111"/>
      <c r="J1920" s="111"/>
    </row>
    <row r="1921" spans="1:10" s="3" customFormat="1" x14ac:dyDescent="0.25">
      <c r="A1921" s="112"/>
      <c r="D1921" s="111"/>
      <c r="E1921" s="111"/>
      <c r="F1921" s="112"/>
      <c r="G1921" s="111"/>
      <c r="H1921" s="111"/>
      <c r="J1921" s="111"/>
    </row>
    <row r="1922" spans="1:10" s="3" customFormat="1" x14ac:dyDescent="0.25">
      <c r="A1922" s="112"/>
      <c r="D1922" s="111"/>
      <c r="E1922" s="111"/>
      <c r="F1922" s="112"/>
      <c r="G1922" s="111"/>
      <c r="H1922" s="111"/>
      <c r="J1922" s="111"/>
    </row>
    <row r="1923" spans="1:10" s="3" customFormat="1" x14ac:dyDescent="0.25">
      <c r="A1923" s="112"/>
      <c r="D1923" s="111"/>
      <c r="E1923" s="111"/>
      <c r="F1923" s="112"/>
      <c r="G1923" s="111"/>
      <c r="H1923" s="111"/>
      <c r="J1923" s="111"/>
    </row>
    <row r="1924" spans="1:10" s="3" customFormat="1" x14ac:dyDescent="0.25">
      <c r="A1924" s="112"/>
      <c r="D1924" s="111"/>
      <c r="E1924" s="111"/>
      <c r="F1924" s="112"/>
      <c r="G1924" s="111"/>
      <c r="H1924" s="111"/>
      <c r="J1924" s="111"/>
    </row>
    <row r="1925" spans="1:10" s="3" customFormat="1" x14ac:dyDescent="0.25">
      <c r="A1925" s="112"/>
      <c r="D1925" s="111"/>
      <c r="E1925" s="111"/>
      <c r="F1925" s="112"/>
      <c r="G1925" s="111"/>
      <c r="H1925" s="111"/>
      <c r="J1925" s="111"/>
    </row>
    <row r="1926" spans="1:10" s="3" customFormat="1" x14ac:dyDescent="0.25">
      <c r="A1926" s="112"/>
      <c r="D1926" s="111"/>
      <c r="E1926" s="111"/>
      <c r="F1926" s="112"/>
      <c r="G1926" s="111"/>
      <c r="H1926" s="111"/>
      <c r="J1926" s="111"/>
    </row>
    <row r="1927" spans="1:10" s="3" customFormat="1" x14ac:dyDescent="0.25">
      <c r="A1927" s="112"/>
      <c r="D1927" s="111"/>
      <c r="E1927" s="111"/>
      <c r="F1927" s="112"/>
      <c r="G1927" s="111"/>
      <c r="H1927" s="111"/>
      <c r="J1927" s="111"/>
    </row>
    <row r="1928" spans="1:10" s="3" customFormat="1" x14ac:dyDescent="0.25">
      <c r="A1928" s="112"/>
      <c r="D1928" s="111"/>
      <c r="E1928" s="111"/>
      <c r="F1928" s="112"/>
      <c r="G1928" s="111"/>
      <c r="H1928" s="111"/>
      <c r="J1928" s="111"/>
    </row>
    <row r="1929" spans="1:10" s="3" customFormat="1" x14ac:dyDescent="0.25">
      <c r="A1929" s="112"/>
      <c r="D1929" s="111"/>
      <c r="E1929" s="111"/>
      <c r="F1929" s="112"/>
      <c r="G1929" s="111"/>
      <c r="H1929" s="111"/>
      <c r="J1929" s="111"/>
    </row>
    <row r="1930" spans="1:10" s="3" customFormat="1" x14ac:dyDescent="0.25">
      <c r="A1930" s="112"/>
      <c r="D1930" s="111"/>
      <c r="E1930" s="111"/>
      <c r="F1930" s="112"/>
      <c r="G1930" s="111"/>
      <c r="H1930" s="111"/>
      <c r="J1930" s="111"/>
    </row>
    <row r="1931" spans="1:10" s="3" customFormat="1" x14ac:dyDescent="0.25">
      <c r="A1931" s="112"/>
      <c r="D1931" s="111"/>
      <c r="E1931" s="111"/>
      <c r="F1931" s="112"/>
      <c r="G1931" s="111"/>
      <c r="H1931" s="111"/>
      <c r="J1931" s="111"/>
    </row>
    <row r="1932" spans="1:10" s="3" customFormat="1" x14ac:dyDescent="0.25">
      <c r="A1932" s="112"/>
      <c r="D1932" s="111"/>
      <c r="E1932" s="111"/>
      <c r="F1932" s="112"/>
      <c r="G1932" s="111"/>
      <c r="H1932" s="111"/>
      <c r="J1932" s="111"/>
    </row>
    <row r="1933" spans="1:10" s="3" customFormat="1" x14ac:dyDescent="0.25">
      <c r="A1933" s="112"/>
      <c r="D1933" s="111"/>
      <c r="E1933" s="111"/>
      <c r="F1933" s="112"/>
      <c r="G1933" s="111"/>
      <c r="H1933" s="111"/>
      <c r="J1933" s="111"/>
    </row>
    <row r="1934" spans="1:10" s="3" customFormat="1" x14ac:dyDescent="0.25">
      <c r="A1934" s="112"/>
      <c r="D1934" s="111"/>
      <c r="E1934" s="111"/>
      <c r="F1934" s="112"/>
      <c r="G1934" s="111"/>
      <c r="H1934" s="111"/>
      <c r="J1934" s="111"/>
    </row>
    <row r="1935" spans="1:10" s="3" customFormat="1" x14ac:dyDescent="0.25">
      <c r="A1935" s="112"/>
      <c r="D1935" s="111"/>
      <c r="E1935" s="111"/>
      <c r="F1935" s="112"/>
      <c r="G1935" s="111"/>
      <c r="H1935" s="111"/>
      <c r="J1935" s="111"/>
    </row>
    <row r="1936" spans="1:10" s="3" customFormat="1" x14ac:dyDescent="0.25">
      <c r="A1936" s="112"/>
      <c r="D1936" s="111"/>
      <c r="E1936" s="111"/>
      <c r="F1936" s="112"/>
      <c r="G1936" s="111"/>
      <c r="H1936" s="111"/>
      <c r="J1936" s="111"/>
    </row>
    <row r="1937" spans="1:10" s="3" customFormat="1" x14ac:dyDescent="0.25">
      <c r="A1937" s="112"/>
      <c r="D1937" s="111"/>
      <c r="E1937" s="111"/>
      <c r="F1937" s="112"/>
      <c r="G1937" s="111"/>
      <c r="H1937" s="111"/>
      <c r="J1937" s="111"/>
    </row>
    <row r="1938" spans="1:10" s="3" customFormat="1" x14ac:dyDescent="0.25">
      <c r="A1938" s="112"/>
      <c r="D1938" s="111"/>
      <c r="E1938" s="111"/>
      <c r="F1938" s="112"/>
      <c r="G1938" s="111"/>
      <c r="H1938" s="111"/>
      <c r="J1938" s="111"/>
    </row>
    <row r="1939" spans="1:10" s="3" customFormat="1" x14ac:dyDescent="0.25">
      <c r="A1939" s="112"/>
      <c r="D1939" s="111"/>
      <c r="E1939" s="111"/>
      <c r="F1939" s="112"/>
      <c r="G1939" s="111"/>
      <c r="H1939" s="111"/>
      <c r="J1939" s="111"/>
    </row>
    <row r="1940" spans="1:10" s="3" customFormat="1" x14ac:dyDescent="0.25">
      <c r="A1940" s="112"/>
      <c r="D1940" s="111"/>
      <c r="E1940" s="111"/>
      <c r="F1940" s="112"/>
      <c r="G1940" s="111"/>
      <c r="H1940" s="111"/>
      <c r="J1940" s="111"/>
    </row>
    <row r="1941" spans="1:10" s="3" customFormat="1" x14ac:dyDescent="0.25">
      <c r="A1941" s="112"/>
      <c r="D1941" s="111"/>
      <c r="E1941" s="111"/>
      <c r="F1941" s="112"/>
      <c r="G1941" s="111"/>
      <c r="H1941" s="111"/>
      <c r="J1941" s="111"/>
    </row>
    <row r="1942" spans="1:10" s="3" customFormat="1" x14ac:dyDescent="0.25">
      <c r="A1942" s="112"/>
      <c r="D1942" s="111"/>
      <c r="E1942" s="111"/>
      <c r="F1942" s="112"/>
      <c r="G1942" s="111"/>
      <c r="H1942" s="111"/>
      <c r="J1942" s="111"/>
    </row>
    <row r="1943" spans="1:10" s="3" customFormat="1" x14ac:dyDescent="0.25">
      <c r="A1943" s="112"/>
      <c r="D1943" s="111"/>
      <c r="E1943" s="111"/>
      <c r="F1943" s="112"/>
      <c r="G1943" s="111"/>
      <c r="H1943" s="111"/>
      <c r="J1943" s="111"/>
    </row>
    <row r="1944" spans="1:10" s="3" customFormat="1" x14ac:dyDescent="0.25">
      <c r="A1944" s="112"/>
      <c r="D1944" s="111"/>
      <c r="E1944" s="111"/>
      <c r="F1944" s="112"/>
      <c r="G1944" s="111"/>
      <c r="H1944" s="111"/>
      <c r="J1944" s="111"/>
    </row>
    <row r="1945" spans="1:10" s="3" customFormat="1" x14ac:dyDescent="0.25">
      <c r="A1945" s="112"/>
      <c r="D1945" s="111"/>
      <c r="E1945" s="111"/>
      <c r="F1945" s="112"/>
      <c r="G1945" s="111"/>
      <c r="H1945" s="111"/>
      <c r="J1945" s="111"/>
    </row>
    <row r="1946" spans="1:10" s="3" customFormat="1" x14ac:dyDescent="0.25">
      <c r="A1946" s="112"/>
      <c r="D1946" s="111"/>
      <c r="E1946" s="111"/>
      <c r="F1946" s="112"/>
      <c r="G1946" s="111"/>
      <c r="H1946" s="111"/>
      <c r="J1946" s="111"/>
    </row>
    <row r="1947" spans="1:10" s="3" customFormat="1" x14ac:dyDescent="0.25">
      <c r="A1947" s="112"/>
      <c r="D1947" s="111"/>
      <c r="E1947" s="111"/>
      <c r="F1947" s="112"/>
      <c r="G1947" s="111"/>
      <c r="H1947" s="111"/>
      <c r="J1947" s="111"/>
    </row>
    <row r="1948" spans="1:10" s="3" customFormat="1" x14ac:dyDescent="0.25">
      <c r="A1948" s="112"/>
      <c r="D1948" s="111"/>
      <c r="E1948" s="111"/>
      <c r="F1948" s="112"/>
      <c r="G1948" s="111"/>
      <c r="H1948" s="111"/>
      <c r="J1948" s="111"/>
    </row>
    <row r="1949" spans="1:10" s="3" customFormat="1" x14ac:dyDescent="0.25">
      <c r="A1949" s="112"/>
      <c r="D1949" s="111"/>
      <c r="E1949" s="111"/>
      <c r="F1949" s="112"/>
      <c r="G1949" s="111"/>
      <c r="H1949" s="111"/>
      <c r="J1949" s="111"/>
    </row>
    <row r="1950" spans="1:10" s="3" customFormat="1" x14ac:dyDescent="0.25">
      <c r="A1950" s="112"/>
      <c r="D1950" s="111"/>
      <c r="E1950" s="111"/>
      <c r="F1950" s="112"/>
      <c r="G1950" s="111"/>
      <c r="H1950" s="111"/>
      <c r="J1950" s="111"/>
    </row>
    <row r="1951" spans="1:10" s="3" customFormat="1" x14ac:dyDescent="0.25">
      <c r="A1951" s="112"/>
      <c r="D1951" s="111"/>
      <c r="E1951" s="111"/>
      <c r="F1951" s="112"/>
      <c r="G1951" s="111"/>
      <c r="H1951" s="111"/>
      <c r="J1951" s="111"/>
    </row>
    <row r="1952" spans="1:10" s="3" customFormat="1" x14ac:dyDescent="0.25">
      <c r="A1952" s="112"/>
      <c r="D1952" s="111"/>
      <c r="E1952" s="111"/>
      <c r="F1952" s="112"/>
      <c r="G1952" s="111"/>
      <c r="H1952" s="111"/>
      <c r="J1952" s="111"/>
    </row>
    <row r="1953" spans="1:10" s="3" customFormat="1" x14ac:dyDescent="0.25">
      <c r="A1953" s="112"/>
      <c r="D1953" s="111"/>
      <c r="E1953" s="111"/>
      <c r="F1953" s="112"/>
      <c r="G1953" s="111"/>
      <c r="H1953" s="111"/>
      <c r="J1953" s="111"/>
    </row>
    <row r="1954" spans="1:10" s="3" customFormat="1" x14ac:dyDescent="0.25">
      <c r="A1954" s="112"/>
      <c r="D1954" s="111"/>
      <c r="E1954" s="111"/>
      <c r="F1954" s="112"/>
      <c r="G1954" s="111"/>
      <c r="H1954" s="111"/>
      <c r="J1954" s="111"/>
    </row>
    <row r="1955" spans="1:10" s="3" customFormat="1" x14ac:dyDescent="0.25">
      <c r="A1955" s="112"/>
      <c r="D1955" s="111"/>
      <c r="E1955" s="111"/>
      <c r="F1955" s="112"/>
      <c r="G1955" s="111"/>
      <c r="H1955" s="111"/>
      <c r="J1955" s="111"/>
    </row>
    <row r="1956" spans="1:10" s="3" customFormat="1" x14ac:dyDescent="0.25">
      <c r="A1956" s="112"/>
      <c r="D1956" s="111"/>
      <c r="E1956" s="111"/>
      <c r="F1956" s="112"/>
      <c r="G1956" s="111"/>
      <c r="H1956" s="111"/>
      <c r="J1956" s="111"/>
    </row>
    <row r="1957" spans="1:10" s="3" customFormat="1" x14ac:dyDescent="0.25">
      <c r="A1957" s="112"/>
      <c r="D1957" s="111"/>
      <c r="E1957" s="111"/>
      <c r="F1957" s="112"/>
      <c r="G1957" s="111"/>
      <c r="H1957" s="111"/>
      <c r="J1957" s="111"/>
    </row>
    <row r="1958" spans="1:10" s="3" customFormat="1" x14ac:dyDescent="0.25">
      <c r="A1958" s="112"/>
      <c r="D1958" s="111"/>
      <c r="E1958" s="111"/>
      <c r="F1958" s="112"/>
      <c r="G1958" s="111"/>
      <c r="H1958" s="111"/>
      <c r="J1958" s="111"/>
    </row>
    <row r="1959" spans="1:10" s="3" customFormat="1" x14ac:dyDescent="0.25">
      <c r="A1959" s="112"/>
      <c r="D1959" s="111"/>
      <c r="E1959" s="111"/>
      <c r="F1959" s="112"/>
      <c r="G1959" s="111"/>
      <c r="H1959" s="111"/>
      <c r="J1959" s="111"/>
    </row>
    <row r="1960" spans="1:10" s="3" customFormat="1" x14ac:dyDescent="0.25">
      <c r="A1960" s="112"/>
      <c r="D1960" s="111"/>
      <c r="E1960" s="111"/>
      <c r="F1960" s="112"/>
      <c r="G1960" s="111"/>
      <c r="H1960" s="111"/>
      <c r="J1960" s="111"/>
    </row>
    <row r="1961" spans="1:10" s="3" customFormat="1" x14ac:dyDescent="0.25">
      <c r="A1961" s="112"/>
      <c r="D1961" s="111"/>
      <c r="E1961" s="111"/>
      <c r="F1961" s="112"/>
      <c r="G1961" s="111"/>
      <c r="H1961" s="111"/>
      <c r="J1961" s="111"/>
    </row>
    <row r="1962" spans="1:10" s="3" customFormat="1" x14ac:dyDescent="0.25">
      <c r="A1962" s="112"/>
      <c r="D1962" s="111"/>
      <c r="E1962" s="111"/>
      <c r="F1962" s="112"/>
      <c r="G1962" s="111"/>
      <c r="H1962" s="111"/>
      <c r="J1962" s="111"/>
    </row>
    <row r="1963" spans="1:10" s="3" customFormat="1" x14ac:dyDescent="0.25">
      <c r="A1963" s="112"/>
      <c r="D1963" s="111"/>
      <c r="E1963" s="111"/>
      <c r="F1963" s="112"/>
      <c r="G1963" s="111"/>
      <c r="H1963" s="111"/>
      <c r="J1963" s="111"/>
    </row>
    <row r="1964" spans="1:10" s="3" customFormat="1" x14ac:dyDescent="0.25">
      <c r="A1964" s="112"/>
      <c r="D1964" s="111"/>
      <c r="E1964" s="111"/>
      <c r="F1964" s="112"/>
      <c r="G1964" s="111"/>
      <c r="H1964" s="111"/>
      <c r="J1964" s="111"/>
    </row>
    <row r="1965" spans="1:10" s="3" customFormat="1" x14ac:dyDescent="0.25">
      <c r="A1965" s="112"/>
      <c r="D1965" s="111"/>
      <c r="E1965" s="111"/>
      <c r="F1965" s="112"/>
      <c r="G1965" s="111"/>
      <c r="H1965" s="111"/>
      <c r="J1965" s="111"/>
    </row>
    <row r="1966" spans="1:10" s="3" customFormat="1" x14ac:dyDescent="0.25">
      <c r="A1966" s="112"/>
      <c r="D1966" s="111"/>
      <c r="E1966" s="111"/>
      <c r="F1966" s="112"/>
      <c r="G1966" s="111"/>
      <c r="H1966" s="111"/>
      <c r="J1966" s="111"/>
    </row>
    <row r="1967" spans="1:10" s="3" customFormat="1" x14ac:dyDescent="0.25">
      <c r="A1967" s="112"/>
      <c r="D1967" s="111"/>
      <c r="E1967" s="111"/>
      <c r="F1967" s="112"/>
      <c r="G1967" s="111"/>
      <c r="H1967" s="111"/>
      <c r="J1967" s="111"/>
    </row>
    <row r="1968" spans="1:10" s="3" customFormat="1" x14ac:dyDescent="0.25">
      <c r="A1968" s="112"/>
      <c r="D1968" s="111"/>
      <c r="E1968" s="111"/>
      <c r="F1968" s="112"/>
      <c r="G1968" s="111"/>
      <c r="H1968" s="111"/>
      <c r="J1968" s="111"/>
    </row>
    <row r="1969" spans="1:10" s="3" customFormat="1" x14ac:dyDescent="0.25">
      <c r="A1969" s="112"/>
      <c r="D1969" s="111"/>
      <c r="E1969" s="111"/>
      <c r="F1969" s="112"/>
      <c r="G1969" s="111"/>
      <c r="H1969" s="111"/>
      <c r="J1969" s="111"/>
    </row>
    <row r="1970" spans="1:10" s="3" customFormat="1" x14ac:dyDescent="0.25">
      <c r="A1970" s="112"/>
      <c r="D1970" s="111"/>
      <c r="E1970" s="111"/>
      <c r="F1970" s="112"/>
      <c r="G1970" s="111"/>
      <c r="H1970" s="111"/>
      <c r="J1970" s="111"/>
    </row>
    <row r="1971" spans="1:10" s="3" customFormat="1" x14ac:dyDescent="0.25">
      <c r="A1971" s="112"/>
      <c r="D1971" s="111"/>
      <c r="E1971" s="111"/>
      <c r="F1971" s="112"/>
      <c r="G1971" s="111"/>
      <c r="H1971" s="111"/>
      <c r="J1971" s="111"/>
    </row>
    <row r="1972" spans="1:10" s="3" customFormat="1" x14ac:dyDescent="0.25">
      <c r="A1972" s="112"/>
      <c r="D1972" s="111"/>
      <c r="E1972" s="111"/>
      <c r="F1972" s="112"/>
      <c r="G1972" s="111"/>
      <c r="H1972" s="111"/>
      <c r="J1972" s="111"/>
    </row>
    <row r="1973" spans="1:10" s="3" customFormat="1" x14ac:dyDescent="0.25">
      <c r="A1973" s="112"/>
      <c r="D1973" s="111"/>
      <c r="E1973" s="111"/>
      <c r="F1973" s="112"/>
      <c r="G1973" s="111"/>
      <c r="H1973" s="111"/>
      <c r="J1973" s="111"/>
    </row>
    <row r="1974" spans="1:10" s="3" customFormat="1" x14ac:dyDescent="0.25">
      <c r="A1974" s="112"/>
      <c r="D1974" s="111"/>
      <c r="E1974" s="111"/>
      <c r="F1974" s="112"/>
      <c r="G1974" s="111"/>
      <c r="H1974" s="111"/>
      <c r="J1974" s="111"/>
    </row>
    <row r="1975" spans="1:10" s="3" customFormat="1" x14ac:dyDescent="0.25">
      <c r="A1975" s="112"/>
      <c r="D1975" s="111"/>
      <c r="E1975" s="111"/>
      <c r="F1975" s="112"/>
      <c r="G1975" s="111"/>
      <c r="H1975" s="111"/>
      <c r="J1975" s="111"/>
    </row>
    <row r="1976" spans="1:10" s="3" customFormat="1" x14ac:dyDescent="0.25">
      <c r="A1976" s="112"/>
      <c r="D1976" s="111"/>
      <c r="E1976" s="111"/>
      <c r="F1976" s="112"/>
      <c r="G1976" s="111"/>
      <c r="H1976" s="111"/>
      <c r="J1976" s="111"/>
    </row>
    <row r="1977" spans="1:10" s="3" customFormat="1" x14ac:dyDescent="0.25">
      <c r="A1977" s="112"/>
      <c r="D1977" s="111"/>
      <c r="E1977" s="111"/>
      <c r="F1977" s="112"/>
      <c r="G1977" s="111"/>
      <c r="H1977" s="111"/>
      <c r="J1977" s="111"/>
    </row>
    <row r="1978" spans="1:10" s="3" customFormat="1" x14ac:dyDescent="0.25">
      <c r="A1978" s="112"/>
      <c r="D1978" s="111"/>
      <c r="E1978" s="111"/>
      <c r="F1978" s="112"/>
      <c r="G1978" s="111"/>
      <c r="H1978" s="111"/>
      <c r="J1978" s="111"/>
    </row>
    <row r="1979" spans="1:10" s="3" customFormat="1" x14ac:dyDescent="0.25">
      <c r="A1979" s="112"/>
      <c r="D1979" s="111"/>
      <c r="E1979" s="111"/>
      <c r="F1979" s="112"/>
      <c r="G1979" s="111"/>
      <c r="H1979" s="111"/>
      <c r="J1979" s="111"/>
    </row>
    <row r="1980" spans="1:10" s="3" customFormat="1" x14ac:dyDescent="0.25">
      <c r="A1980" s="112"/>
      <c r="D1980" s="111"/>
      <c r="E1980" s="111"/>
      <c r="F1980" s="112"/>
      <c r="G1980" s="111"/>
      <c r="H1980" s="111"/>
      <c r="J1980" s="111"/>
    </row>
    <row r="1981" spans="1:10" s="3" customFormat="1" x14ac:dyDescent="0.25">
      <c r="A1981" s="112"/>
      <c r="D1981" s="111"/>
      <c r="E1981" s="111"/>
      <c r="F1981" s="112"/>
      <c r="G1981" s="111"/>
      <c r="H1981" s="111"/>
      <c r="J1981" s="111"/>
    </row>
    <row r="1982" spans="1:10" s="3" customFormat="1" x14ac:dyDescent="0.25">
      <c r="A1982" s="112"/>
      <c r="D1982" s="111"/>
      <c r="E1982" s="111"/>
      <c r="F1982" s="112"/>
      <c r="G1982" s="111"/>
      <c r="H1982" s="111"/>
      <c r="J1982" s="111"/>
    </row>
    <row r="1983" spans="1:10" s="3" customFormat="1" x14ac:dyDescent="0.25">
      <c r="A1983" s="112"/>
      <c r="D1983" s="111"/>
      <c r="E1983" s="111"/>
      <c r="F1983" s="112"/>
      <c r="G1983" s="111"/>
      <c r="H1983" s="111"/>
      <c r="J1983" s="111"/>
    </row>
    <row r="1984" spans="1:10" s="3" customFormat="1" x14ac:dyDescent="0.25">
      <c r="A1984" s="112"/>
      <c r="D1984" s="111"/>
      <c r="E1984" s="111"/>
      <c r="F1984" s="112"/>
      <c r="G1984" s="111"/>
      <c r="H1984" s="111"/>
      <c r="J1984" s="111"/>
    </row>
    <row r="1985" spans="1:10" s="3" customFormat="1" x14ac:dyDescent="0.25">
      <c r="A1985" s="112"/>
      <c r="D1985" s="111"/>
      <c r="E1985" s="111"/>
      <c r="F1985" s="112"/>
      <c r="G1985" s="111"/>
      <c r="H1985" s="111"/>
      <c r="J1985" s="111"/>
    </row>
    <row r="1986" spans="1:10" s="3" customFormat="1" x14ac:dyDescent="0.25">
      <c r="A1986" s="112"/>
      <c r="D1986" s="111"/>
      <c r="E1986" s="111"/>
      <c r="F1986" s="112"/>
      <c r="G1986" s="111"/>
      <c r="H1986" s="111"/>
      <c r="J1986" s="111"/>
    </row>
    <row r="1987" spans="1:10" s="3" customFormat="1" x14ac:dyDescent="0.25">
      <c r="A1987" s="112"/>
      <c r="D1987" s="111"/>
      <c r="E1987" s="111"/>
      <c r="F1987" s="112"/>
      <c r="G1987" s="111"/>
      <c r="H1987" s="111"/>
      <c r="J1987" s="111"/>
    </row>
    <row r="1988" spans="1:10" s="3" customFormat="1" x14ac:dyDescent="0.25">
      <c r="A1988" s="112"/>
      <c r="D1988" s="111"/>
      <c r="E1988" s="111"/>
      <c r="F1988" s="112"/>
      <c r="G1988" s="111"/>
      <c r="H1988" s="111"/>
      <c r="J1988" s="111"/>
    </row>
    <row r="1989" spans="1:10" s="3" customFormat="1" x14ac:dyDescent="0.25">
      <c r="A1989" s="112"/>
      <c r="D1989" s="111"/>
      <c r="E1989" s="111"/>
      <c r="F1989" s="112"/>
      <c r="G1989" s="111"/>
      <c r="H1989" s="111"/>
      <c r="J1989" s="111"/>
    </row>
    <row r="1990" spans="1:10" s="3" customFormat="1" x14ac:dyDescent="0.25">
      <c r="A1990" s="112"/>
      <c r="D1990" s="111"/>
      <c r="E1990" s="111"/>
      <c r="F1990" s="112"/>
      <c r="G1990" s="111"/>
      <c r="H1990" s="111"/>
      <c r="J1990" s="111"/>
    </row>
    <row r="1991" spans="1:10" s="3" customFormat="1" x14ac:dyDescent="0.25">
      <c r="A1991" s="112"/>
      <c r="D1991" s="111"/>
      <c r="E1991" s="111"/>
      <c r="F1991" s="112"/>
      <c r="G1991" s="111"/>
      <c r="H1991" s="111"/>
      <c r="J1991" s="111"/>
    </row>
    <row r="1992" spans="1:10" s="3" customFormat="1" x14ac:dyDescent="0.25">
      <c r="A1992" s="112"/>
      <c r="D1992" s="111"/>
      <c r="E1992" s="111"/>
      <c r="F1992" s="112"/>
      <c r="G1992" s="111"/>
      <c r="H1992" s="111"/>
      <c r="J1992" s="111"/>
    </row>
    <row r="1993" spans="1:10" s="3" customFormat="1" x14ac:dyDescent="0.25">
      <c r="A1993" s="112"/>
      <c r="D1993" s="111"/>
      <c r="E1993" s="111"/>
      <c r="F1993" s="112"/>
      <c r="G1993" s="111"/>
      <c r="H1993" s="111"/>
      <c r="J1993" s="111"/>
    </row>
    <row r="1994" spans="1:10" s="3" customFormat="1" x14ac:dyDescent="0.25">
      <c r="A1994" s="112"/>
      <c r="D1994" s="111"/>
      <c r="E1994" s="111"/>
      <c r="F1994" s="112"/>
      <c r="G1994" s="111"/>
      <c r="H1994" s="111"/>
      <c r="J1994" s="111"/>
    </row>
    <row r="1995" spans="1:10" s="3" customFormat="1" x14ac:dyDescent="0.25">
      <c r="A1995" s="112"/>
      <c r="D1995" s="111"/>
      <c r="E1995" s="111"/>
      <c r="F1995" s="112"/>
      <c r="G1995" s="111"/>
      <c r="H1995" s="111"/>
      <c r="J1995" s="111"/>
    </row>
    <row r="1996" spans="1:10" s="3" customFormat="1" x14ac:dyDescent="0.25">
      <c r="A1996" s="112"/>
      <c r="D1996" s="111"/>
      <c r="E1996" s="111"/>
      <c r="F1996" s="112"/>
      <c r="G1996" s="111"/>
      <c r="H1996" s="111"/>
      <c r="J1996" s="111"/>
    </row>
    <row r="1997" spans="1:10" s="3" customFormat="1" x14ac:dyDescent="0.25">
      <c r="A1997" s="112"/>
      <c r="D1997" s="111"/>
      <c r="E1997" s="111"/>
      <c r="F1997" s="112"/>
      <c r="G1997" s="111"/>
      <c r="H1997" s="111"/>
      <c r="J1997" s="111"/>
    </row>
    <row r="1998" spans="1:10" s="3" customFormat="1" x14ac:dyDescent="0.25">
      <c r="A1998" s="112"/>
      <c r="D1998" s="111"/>
      <c r="E1998" s="111"/>
      <c r="F1998" s="112"/>
      <c r="G1998" s="111"/>
      <c r="H1998" s="111"/>
      <c r="J1998" s="111"/>
    </row>
    <row r="1999" spans="1:10" s="3" customFormat="1" x14ac:dyDescent="0.25">
      <c r="A1999" s="112"/>
      <c r="D1999" s="111"/>
      <c r="E1999" s="111"/>
      <c r="F1999" s="112"/>
      <c r="G1999" s="111"/>
      <c r="H1999" s="111"/>
      <c r="J1999" s="111"/>
    </row>
    <row r="2000" spans="1:10" s="3" customFormat="1" x14ac:dyDescent="0.25">
      <c r="A2000" s="112"/>
      <c r="D2000" s="111"/>
      <c r="E2000" s="111"/>
      <c r="F2000" s="112"/>
      <c r="G2000" s="111"/>
      <c r="H2000" s="111"/>
      <c r="J2000" s="111"/>
    </row>
    <row r="2001" spans="1:10" s="3" customFormat="1" x14ac:dyDescent="0.25">
      <c r="A2001" s="112"/>
      <c r="D2001" s="111"/>
      <c r="E2001" s="111"/>
      <c r="F2001" s="112"/>
      <c r="G2001" s="111"/>
      <c r="H2001" s="111"/>
      <c r="J2001" s="111"/>
    </row>
    <row r="2002" spans="1:10" s="3" customFormat="1" x14ac:dyDescent="0.25">
      <c r="A2002" s="112"/>
      <c r="D2002" s="111"/>
      <c r="E2002" s="111"/>
      <c r="F2002" s="112"/>
      <c r="G2002" s="111"/>
      <c r="H2002" s="111"/>
      <c r="J2002" s="111"/>
    </row>
    <row r="2003" spans="1:10" s="3" customFormat="1" x14ac:dyDescent="0.25">
      <c r="A2003" s="112"/>
      <c r="D2003" s="111"/>
      <c r="E2003" s="111"/>
      <c r="F2003" s="112"/>
      <c r="G2003" s="111"/>
      <c r="H2003" s="111"/>
      <c r="J2003" s="111"/>
    </row>
    <row r="2004" spans="1:10" s="3" customFormat="1" x14ac:dyDescent="0.25">
      <c r="A2004" s="112"/>
      <c r="D2004" s="111"/>
      <c r="E2004" s="111"/>
      <c r="F2004" s="112"/>
      <c r="G2004" s="111"/>
      <c r="H2004" s="111"/>
      <c r="J2004" s="111"/>
    </row>
    <row r="2005" spans="1:10" s="3" customFormat="1" x14ac:dyDescent="0.25">
      <c r="A2005" s="112"/>
      <c r="D2005" s="111"/>
      <c r="E2005" s="111"/>
      <c r="F2005" s="112"/>
      <c r="G2005" s="111"/>
      <c r="H2005" s="111"/>
      <c r="J2005" s="111"/>
    </row>
    <row r="2006" spans="1:10" s="3" customFormat="1" x14ac:dyDescent="0.25">
      <c r="A2006" s="112"/>
      <c r="D2006" s="111"/>
      <c r="E2006" s="111"/>
      <c r="F2006" s="112"/>
      <c r="G2006" s="111"/>
      <c r="H2006" s="111"/>
      <c r="J2006" s="111"/>
    </row>
    <row r="2007" spans="1:10" s="3" customFormat="1" x14ac:dyDescent="0.25">
      <c r="A2007" s="112"/>
      <c r="D2007" s="111"/>
      <c r="E2007" s="111"/>
      <c r="F2007" s="112"/>
      <c r="G2007" s="111"/>
      <c r="H2007" s="111"/>
      <c r="J2007" s="111"/>
    </row>
    <row r="2008" spans="1:10" s="3" customFormat="1" x14ac:dyDescent="0.25">
      <c r="A2008" s="112"/>
      <c r="D2008" s="111"/>
      <c r="E2008" s="111"/>
      <c r="F2008" s="112"/>
      <c r="G2008" s="111"/>
      <c r="H2008" s="111"/>
      <c r="J2008" s="111"/>
    </row>
    <row r="2009" spans="1:10" s="3" customFormat="1" x14ac:dyDescent="0.25">
      <c r="A2009" s="112"/>
      <c r="D2009" s="111"/>
      <c r="E2009" s="111"/>
      <c r="F2009" s="112"/>
      <c r="G2009" s="111"/>
      <c r="H2009" s="111"/>
      <c r="J2009" s="111"/>
    </row>
    <row r="2010" spans="1:10" s="3" customFormat="1" x14ac:dyDescent="0.25">
      <c r="A2010" s="112"/>
      <c r="D2010" s="111"/>
      <c r="E2010" s="111"/>
      <c r="F2010" s="112"/>
      <c r="G2010" s="111"/>
      <c r="H2010" s="111"/>
      <c r="J2010" s="111"/>
    </row>
    <row r="2011" spans="1:10" s="3" customFormat="1" x14ac:dyDescent="0.25">
      <c r="A2011" s="112"/>
      <c r="D2011" s="111"/>
      <c r="E2011" s="111"/>
      <c r="F2011" s="112"/>
      <c r="G2011" s="111"/>
      <c r="H2011" s="111"/>
      <c r="J2011" s="111"/>
    </row>
    <row r="2012" spans="1:10" s="3" customFormat="1" x14ac:dyDescent="0.25">
      <c r="A2012" s="112"/>
      <c r="D2012" s="111"/>
      <c r="E2012" s="111"/>
      <c r="F2012" s="112"/>
      <c r="G2012" s="111"/>
      <c r="H2012" s="111"/>
      <c r="J2012" s="111"/>
    </row>
    <row r="2013" spans="1:10" s="3" customFormat="1" x14ac:dyDescent="0.25">
      <c r="A2013" s="112"/>
      <c r="D2013" s="111"/>
      <c r="E2013" s="111"/>
      <c r="F2013" s="112"/>
      <c r="G2013" s="111"/>
      <c r="H2013" s="111"/>
      <c r="J2013" s="111"/>
    </row>
    <row r="2014" spans="1:10" s="3" customFormat="1" x14ac:dyDescent="0.25">
      <c r="A2014" s="112"/>
      <c r="D2014" s="111"/>
      <c r="E2014" s="111"/>
      <c r="F2014" s="112"/>
      <c r="G2014" s="111"/>
      <c r="H2014" s="111"/>
      <c r="J2014" s="111"/>
    </row>
    <row r="2015" spans="1:10" s="3" customFormat="1" x14ac:dyDescent="0.25">
      <c r="A2015" s="112"/>
      <c r="D2015" s="111"/>
      <c r="E2015" s="111"/>
      <c r="F2015" s="112"/>
      <c r="G2015" s="111"/>
      <c r="H2015" s="111"/>
      <c r="J2015" s="111"/>
    </row>
    <row r="2016" spans="1:10" s="3" customFormat="1" x14ac:dyDescent="0.25">
      <c r="A2016" s="112"/>
      <c r="D2016" s="111"/>
      <c r="E2016" s="111"/>
      <c r="F2016" s="112"/>
      <c r="G2016" s="111"/>
      <c r="H2016" s="111"/>
      <c r="J2016" s="111"/>
    </row>
    <row r="2017" spans="1:10" s="3" customFormat="1" x14ac:dyDescent="0.25">
      <c r="A2017" s="112"/>
      <c r="D2017" s="111"/>
      <c r="E2017" s="111"/>
      <c r="F2017" s="112"/>
      <c r="G2017" s="111"/>
      <c r="H2017" s="111"/>
      <c r="J2017" s="111"/>
    </row>
    <row r="2018" spans="1:10" s="3" customFormat="1" x14ac:dyDescent="0.25">
      <c r="A2018" s="112"/>
      <c r="D2018" s="111"/>
      <c r="E2018" s="111"/>
      <c r="F2018" s="112"/>
      <c r="G2018" s="111"/>
      <c r="H2018" s="111"/>
      <c r="J2018" s="111"/>
    </row>
    <row r="2019" spans="1:10" s="3" customFormat="1" x14ac:dyDescent="0.25">
      <c r="A2019" s="112"/>
      <c r="D2019" s="111"/>
      <c r="E2019" s="111"/>
      <c r="F2019" s="112"/>
      <c r="G2019" s="111"/>
      <c r="H2019" s="111"/>
      <c r="J2019" s="111"/>
    </row>
    <row r="2020" spans="1:10" s="3" customFormat="1" x14ac:dyDescent="0.25">
      <c r="A2020" s="112"/>
      <c r="D2020" s="111"/>
      <c r="E2020" s="111"/>
      <c r="F2020" s="112"/>
      <c r="G2020" s="111"/>
      <c r="H2020" s="111"/>
      <c r="J2020" s="111"/>
    </row>
    <row r="2021" spans="1:10" s="3" customFormat="1" x14ac:dyDescent="0.25">
      <c r="A2021" s="112"/>
      <c r="D2021" s="111"/>
      <c r="E2021" s="111"/>
      <c r="F2021" s="112"/>
      <c r="G2021" s="111"/>
      <c r="H2021" s="111"/>
      <c r="J2021" s="111"/>
    </row>
    <row r="2022" spans="1:10" s="3" customFormat="1" x14ac:dyDescent="0.25">
      <c r="A2022" s="112"/>
      <c r="D2022" s="111"/>
      <c r="E2022" s="111"/>
      <c r="F2022" s="112"/>
      <c r="G2022" s="111"/>
      <c r="H2022" s="111"/>
      <c r="J2022" s="111"/>
    </row>
    <row r="2023" spans="1:10" s="3" customFormat="1" x14ac:dyDescent="0.25">
      <c r="A2023" s="112"/>
      <c r="D2023" s="111"/>
      <c r="E2023" s="111"/>
      <c r="F2023" s="112"/>
      <c r="G2023" s="111"/>
      <c r="H2023" s="111"/>
      <c r="J2023" s="111"/>
    </row>
    <row r="2024" spans="1:10" s="3" customFormat="1" x14ac:dyDescent="0.25">
      <c r="A2024" s="112"/>
      <c r="D2024" s="111"/>
      <c r="E2024" s="111"/>
      <c r="F2024" s="112"/>
      <c r="G2024" s="111"/>
      <c r="H2024" s="111"/>
      <c r="J2024" s="111"/>
    </row>
    <row r="2025" spans="1:10" s="3" customFormat="1" x14ac:dyDescent="0.25">
      <c r="A2025" s="112"/>
      <c r="D2025" s="111"/>
      <c r="E2025" s="111"/>
      <c r="F2025" s="112"/>
      <c r="G2025" s="111"/>
      <c r="H2025" s="111"/>
      <c r="J2025" s="111"/>
    </row>
    <row r="2026" spans="1:10" s="3" customFormat="1" x14ac:dyDescent="0.25">
      <c r="A2026" s="112"/>
      <c r="D2026" s="111"/>
      <c r="E2026" s="111"/>
      <c r="F2026" s="112"/>
      <c r="G2026" s="111"/>
      <c r="H2026" s="111"/>
      <c r="J2026" s="111"/>
    </row>
    <row r="2027" spans="1:10" s="3" customFormat="1" x14ac:dyDescent="0.25">
      <c r="A2027" s="112"/>
      <c r="D2027" s="111"/>
      <c r="E2027" s="111"/>
      <c r="F2027" s="112"/>
      <c r="G2027" s="111"/>
      <c r="H2027" s="111"/>
      <c r="J2027" s="111"/>
    </row>
    <row r="2028" spans="1:10" s="3" customFormat="1" x14ac:dyDescent="0.25">
      <c r="A2028" s="112"/>
      <c r="D2028" s="111"/>
      <c r="E2028" s="111"/>
      <c r="F2028" s="112"/>
      <c r="G2028" s="111"/>
      <c r="H2028" s="111"/>
      <c r="J2028" s="111"/>
    </row>
    <row r="2029" spans="1:10" s="3" customFormat="1" x14ac:dyDescent="0.25">
      <c r="A2029" s="112"/>
      <c r="D2029" s="111"/>
      <c r="E2029" s="111"/>
      <c r="F2029" s="112"/>
      <c r="G2029" s="111"/>
      <c r="H2029" s="111"/>
      <c r="J2029" s="111"/>
    </row>
    <row r="2030" spans="1:10" s="3" customFormat="1" x14ac:dyDescent="0.25">
      <c r="A2030" s="112"/>
      <c r="D2030" s="111"/>
      <c r="E2030" s="111"/>
      <c r="F2030" s="112"/>
      <c r="G2030" s="111"/>
      <c r="H2030" s="111"/>
      <c r="J2030" s="111"/>
    </row>
    <row r="2031" spans="1:10" s="3" customFormat="1" x14ac:dyDescent="0.25">
      <c r="A2031" s="112"/>
      <c r="D2031" s="111"/>
      <c r="E2031" s="111"/>
      <c r="F2031" s="112"/>
      <c r="G2031" s="111"/>
      <c r="H2031" s="111"/>
      <c r="J2031" s="111"/>
    </row>
    <row r="2032" spans="1:10" s="3" customFormat="1" x14ac:dyDescent="0.25">
      <c r="A2032" s="112"/>
      <c r="D2032" s="111"/>
      <c r="E2032" s="111"/>
      <c r="F2032" s="112"/>
      <c r="G2032" s="111"/>
      <c r="H2032" s="111"/>
      <c r="J2032" s="111"/>
    </row>
    <row r="2033" spans="1:10" s="3" customFormat="1" x14ac:dyDescent="0.25">
      <c r="A2033" s="112"/>
      <c r="D2033" s="111"/>
      <c r="E2033" s="111"/>
      <c r="F2033" s="112"/>
      <c r="G2033" s="111"/>
      <c r="H2033" s="111"/>
      <c r="J2033" s="111"/>
    </row>
    <row r="2034" spans="1:10" s="3" customFormat="1" x14ac:dyDescent="0.25">
      <c r="A2034" s="112"/>
      <c r="D2034" s="111"/>
      <c r="E2034" s="111"/>
      <c r="F2034" s="112"/>
      <c r="G2034" s="111"/>
      <c r="H2034" s="111"/>
      <c r="J2034" s="111"/>
    </row>
    <row r="2035" spans="1:10" s="3" customFormat="1" x14ac:dyDescent="0.25">
      <c r="A2035" s="112"/>
      <c r="D2035" s="111"/>
      <c r="E2035" s="111"/>
      <c r="F2035" s="112"/>
      <c r="G2035" s="111"/>
      <c r="H2035" s="111"/>
      <c r="J2035" s="111"/>
    </row>
    <row r="2036" spans="1:10" s="3" customFormat="1" x14ac:dyDescent="0.25">
      <c r="A2036" s="112"/>
      <c r="D2036" s="111"/>
      <c r="E2036" s="111"/>
      <c r="F2036" s="112"/>
      <c r="G2036" s="111"/>
      <c r="H2036" s="111"/>
      <c r="J2036" s="111"/>
    </row>
    <row r="2037" spans="1:10" s="3" customFormat="1" x14ac:dyDescent="0.25">
      <c r="A2037" s="112"/>
      <c r="D2037" s="111"/>
      <c r="E2037" s="111"/>
      <c r="F2037" s="112"/>
      <c r="G2037" s="111"/>
      <c r="H2037" s="111"/>
      <c r="J2037" s="111"/>
    </row>
    <row r="2038" spans="1:10" s="3" customFormat="1" x14ac:dyDescent="0.25">
      <c r="A2038" s="112"/>
      <c r="D2038" s="111"/>
      <c r="E2038" s="111"/>
      <c r="F2038" s="112"/>
      <c r="G2038" s="111"/>
      <c r="H2038" s="111"/>
      <c r="J2038" s="111"/>
    </row>
    <row r="2039" spans="1:10" s="3" customFormat="1" x14ac:dyDescent="0.25">
      <c r="A2039" s="112"/>
      <c r="D2039" s="111"/>
      <c r="E2039" s="111"/>
      <c r="F2039" s="112"/>
      <c r="G2039" s="111"/>
      <c r="H2039" s="111"/>
      <c r="J2039" s="111"/>
    </row>
    <row r="2040" spans="1:10" s="3" customFormat="1" x14ac:dyDescent="0.25">
      <c r="A2040" s="112"/>
      <c r="D2040" s="111"/>
      <c r="E2040" s="111"/>
      <c r="F2040" s="112"/>
      <c r="G2040" s="111"/>
      <c r="H2040" s="111"/>
      <c r="J2040" s="111"/>
    </row>
    <row r="2041" spans="1:10" s="3" customFormat="1" x14ac:dyDescent="0.25">
      <c r="A2041" s="112"/>
      <c r="D2041" s="111"/>
      <c r="E2041" s="111"/>
      <c r="F2041" s="112"/>
      <c r="G2041" s="111"/>
      <c r="H2041" s="111"/>
      <c r="J2041" s="111"/>
    </row>
    <row r="2042" spans="1:10" s="3" customFormat="1" x14ac:dyDescent="0.25">
      <c r="A2042" s="112"/>
      <c r="D2042" s="111"/>
      <c r="E2042" s="111"/>
      <c r="F2042" s="112"/>
      <c r="G2042" s="111"/>
      <c r="H2042" s="111"/>
      <c r="J2042" s="111"/>
    </row>
    <row r="2043" spans="1:10" s="3" customFormat="1" x14ac:dyDescent="0.25">
      <c r="A2043" s="112"/>
      <c r="D2043" s="111"/>
      <c r="E2043" s="111"/>
      <c r="F2043" s="112"/>
      <c r="G2043" s="111"/>
      <c r="H2043" s="111"/>
      <c r="J2043" s="111"/>
    </row>
    <row r="2044" spans="1:10" s="3" customFormat="1" x14ac:dyDescent="0.25">
      <c r="A2044" s="112"/>
      <c r="D2044" s="111"/>
      <c r="E2044" s="111"/>
      <c r="F2044" s="112"/>
      <c r="G2044" s="111"/>
      <c r="H2044" s="111"/>
      <c r="J2044" s="111"/>
    </row>
    <row r="2045" spans="1:10" s="3" customFormat="1" x14ac:dyDescent="0.25">
      <c r="A2045" s="112"/>
      <c r="D2045" s="111"/>
      <c r="E2045" s="111"/>
      <c r="F2045" s="112"/>
      <c r="G2045" s="111"/>
      <c r="H2045" s="111"/>
      <c r="J2045" s="111"/>
    </row>
    <row r="2046" spans="1:10" s="3" customFormat="1" x14ac:dyDescent="0.25">
      <c r="A2046" s="112"/>
      <c r="D2046" s="111"/>
      <c r="E2046" s="111"/>
      <c r="F2046" s="112"/>
      <c r="G2046" s="111"/>
      <c r="H2046" s="111"/>
      <c r="J2046" s="111"/>
    </row>
    <row r="2047" spans="1:10" s="3" customFormat="1" x14ac:dyDescent="0.25">
      <c r="A2047" s="112"/>
      <c r="D2047" s="111"/>
      <c r="E2047" s="111"/>
      <c r="F2047" s="112"/>
      <c r="G2047" s="111"/>
      <c r="H2047" s="111"/>
      <c r="J2047" s="111"/>
    </row>
    <row r="2048" spans="1:10" s="3" customFormat="1" x14ac:dyDescent="0.25">
      <c r="A2048" s="112"/>
      <c r="D2048" s="111"/>
      <c r="E2048" s="111"/>
      <c r="F2048" s="112"/>
      <c r="G2048" s="111"/>
      <c r="H2048" s="111"/>
      <c r="J2048" s="111"/>
    </row>
    <row r="2049" spans="1:10" s="3" customFormat="1" x14ac:dyDescent="0.25">
      <c r="A2049" s="112"/>
      <c r="D2049" s="111"/>
      <c r="E2049" s="111"/>
      <c r="F2049" s="112"/>
      <c r="G2049" s="111"/>
      <c r="H2049" s="111"/>
      <c r="J2049" s="111"/>
    </row>
    <row r="2050" spans="1:10" s="3" customFormat="1" x14ac:dyDescent="0.25">
      <c r="A2050" s="112"/>
      <c r="D2050" s="111"/>
      <c r="E2050" s="111"/>
      <c r="F2050" s="112"/>
      <c r="G2050" s="111"/>
      <c r="H2050" s="111"/>
      <c r="J2050" s="111"/>
    </row>
    <row r="2051" spans="1:10" s="3" customFormat="1" x14ac:dyDescent="0.25">
      <c r="A2051" s="112"/>
      <c r="D2051" s="111"/>
      <c r="E2051" s="111"/>
      <c r="F2051" s="112"/>
      <c r="G2051" s="111"/>
      <c r="H2051" s="111"/>
      <c r="J2051" s="111"/>
    </row>
    <row r="2052" spans="1:10" s="3" customFormat="1" x14ac:dyDescent="0.25">
      <c r="A2052" s="112"/>
      <c r="D2052" s="111"/>
      <c r="E2052" s="111"/>
      <c r="F2052" s="112"/>
      <c r="G2052" s="111"/>
      <c r="H2052" s="111"/>
      <c r="J2052" s="111"/>
    </row>
    <row r="2053" spans="1:10" s="3" customFormat="1" x14ac:dyDescent="0.25">
      <c r="A2053" s="112"/>
      <c r="D2053" s="111"/>
      <c r="E2053" s="111"/>
      <c r="F2053" s="112"/>
      <c r="G2053" s="111"/>
      <c r="H2053" s="111"/>
      <c r="J2053" s="111"/>
    </row>
    <row r="2054" spans="1:10" s="3" customFormat="1" x14ac:dyDescent="0.25">
      <c r="A2054" s="112"/>
      <c r="D2054" s="111"/>
      <c r="E2054" s="111"/>
      <c r="F2054" s="112"/>
      <c r="G2054" s="111"/>
      <c r="H2054" s="111"/>
      <c r="J2054" s="111"/>
    </row>
    <row r="2055" spans="1:10" s="3" customFormat="1" x14ac:dyDescent="0.25">
      <c r="A2055" s="112"/>
      <c r="D2055" s="111"/>
      <c r="E2055" s="111"/>
      <c r="F2055" s="112"/>
      <c r="G2055" s="111"/>
      <c r="H2055" s="111"/>
      <c r="J2055" s="111"/>
    </row>
    <row r="2056" spans="1:10" s="3" customFormat="1" x14ac:dyDescent="0.25">
      <c r="A2056" s="112"/>
      <c r="D2056" s="111"/>
      <c r="E2056" s="111"/>
      <c r="F2056" s="112"/>
      <c r="G2056" s="111"/>
      <c r="H2056" s="111"/>
      <c r="J2056" s="111"/>
    </row>
    <row r="2057" spans="1:10" s="3" customFormat="1" x14ac:dyDescent="0.25">
      <c r="A2057" s="112"/>
      <c r="D2057" s="111"/>
      <c r="E2057" s="111"/>
      <c r="F2057" s="112"/>
      <c r="G2057" s="111"/>
      <c r="H2057" s="111"/>
      <c r="J2057" s="111"/>
    </row>
    <row r="2058" spans="1:10" s="3" customFormat="1" x14ac:dyDescent="0.25">
      <c r="A2058" s="112"/>
      <c r="D2058" s="111"/>
      <c r="E2058" s="111"/>
      <c r="F2058" s="112"/>
      <c r="G2058" s="111"/>
      <c r="H2058" s="111"/>
      <c r="J2058" s="111"/>
    </row>
    <row r="2059" spans="1:10" s="3" customFormat="1" x14ac:dyDescent="0.25">
      <c r="A2059" s="112"/>
      <c r="D2059" s="111"/>
      <c r="E2059" s="111"/>
      <c r="F2059" s="112"/>
      <c r="G2059" s="111"/>
      <c r="H2059" s="111"/>
      <c r="J2059" s="111"/>
    </row>
    <row r="2060" spans="1:10" s="3" customFormat="1" x14ac:dyDescent="0.25">
      <c r="A2060" s="112"/>
      <c r="D2060" s="111"/>
      <c r="E2060" s="111"/>
      <c r="F2060" s="112"/>
      <c r="G2060" s="111"/>
      <c r="H2060" s="111"/>
      <c r="J2060" s="111"/>
    </row>
    <row r="2061" spans="1:10" s="3" customFormat="1" x14ac:dyDescent="0.25">
      <c r="A2061" s="112"/>
      <c r="D2061" s="111"/>
      <c r="E2061" s="111"/>
      <c r="F2061" s="112"/>
      <c r="G2061" s="111"/>
      <c r="H2061" s="111"/>
      <c r="J2061" s="111"/>
    </row>
    <row r="2062" spans="1:10" s="3" customFormat="1" x14ac:dyDescent="0.25">
      <c r="A2062" s="112"/>
      <c r="D2062" s="111"/>
      <c r="E2062" s="111"/>
      <c r="F2062" s="112"/>
      <c r="G2062" s="111"/>
      <c r="H2062" s="111"/>
      <c r="J2062" s="111"/>
    </row>
    <row r="2063" spans="1:10" s="3" customFormat="1" x14ac:dyDescent="0.25">
      <c r="A2063" s="112"/>
      <c r="D2063" s="111"/>
      <c r="E2063" s="111"/>
      <c r="F2063" s="112"/>
      <c r="G2063" s="111"/>
      <c r="H2063" s="111"/>
      <c r="J2063" s="111"/>
    </row>
    <row r="2064" spans="1:10" s="3" customFormat="1" x14ac:dyDescent="0.25">
      <c r="A2064" s="112"/>
      <c r="D2064" s="111"/>
      <c r="E2064" s="111"/>
      <c r="F2064" s="112"/>
      <c r="G2064" s="111"/>
      <c r="H2064" s="111"/>
      <c r="J2064" s="111"/>
    </row>
    <row r="2065" spans="1:10" s="3" customFormat="1" x14ac:dyDescent="0.25">
      <c r="A2065" s="112"/>
      <c r="D2065" s="111"/>
      <c r="E2065" s="111"/>
      <c r="F2065" s="112"/>
      <c r="G2065" s="111"/>
      <c r="H2065" s="111"/>
      <c r="J2065" s="111"/>
    </row>
    <row r="2066" spans="1:10" s="3" customFormat="1" x14ac:dyDescent="0.25">
      <c r="A2066" s="112"/>
      <c r="D2066" s="111"/>
      <c r="E2066" s="111"/>
      <c r="F2066" s="112"/>
      <c r="G2066" s="111"/>
      <c r="H2066" s="111"/>
      <c r="J2066" s="111"/>
    </row>
    <row r="2067" spans="1:10" s="3" customFormat="1" x14ac:dyDescent="0.25">
      <c r="A2067" s="112"/>
      <c r="D2067" s="111"/>
      <c r="E2067" s="111"/>
      <c r="F2067" s="112"/>
      <c r="G2067" s="111"/>
      <c r="H2067" s="111"/>
      <c r="J2067" s="111"/>
    </row>
    <row r="2068" spans="1:10" s="3" customFormat="1" x14ac:dyDescent="0.25">
      <c r="A2068" s="112"/>
      <c r="D2068" s="111"/>
      <c r="E2068" s="111"/>
      <c r="F2068" s="112"/>
      <c r="G2068" s="111"/>
      <c r="H2068" s="111"/>
      <c r="J2068" s="111"/>
    </row>
    <row r="2069" spans="1:10" s="3" customFormat="1" x14ac:dyDescent="0.25">
      <c r="A2069" s="112"/>
      <c r="D2069" s="111"/>
      <c r="E2069" s="111"/>
      <c r="F2069" s="112"/>
      <c r="G2069" s="111"/>
      <c r="H2069" s="111"/>
      <c r="J2069" s="111"/>
    </row>
    <row r="2070" spans="1:10" s="3" customFormat="1" x14ac:dyDescent="0.25">
      <c r="A2070" s="112"/>
      <c r="D2070" s="111"/>
      <c r="E2070" s="111"/>
      <c r="F2070" s="112"/>
      <c r="G2070" s="111"/>
      <c r="H2070" s="111"/>
      <c r="J2070" s="111"/>
    </row>
    <row r="2071" spans="1:10" s="3" customFormat="1" x14ac:dyDescent="0.25">
      <c r="A2071" s="112"/>
      <c r="D2071" s="111"/>
      <c r="E2071" s="111"/>
      <c r="F2071" s="112"/>
      <c r="G2071" s="111"/>
      <c r="H2071" s="111"/>
      <c r="J2071" s="111"/>
    </row>
    <row r="2072" spans="1:10" s="3" customFormat="1" x14ac:dyDescent="0.25">
      <c r="A2072" s="112"/>
      <c r="D2072" s="111"/>
      <c r="E2072" s="111"/>
      <c r="F2072" s="112"/>
      <c r="G2072" s="111"/>
      <c r="H2072" s="111"/>
      <c r="J2072" s="111"/>
    </row>
    <row r="2073" spans="1:10" s="3" customFormat="1" x14ac:dyDescent="0.25">
      <c r="A2073" s="112"/>
      <c r="D2073" s="111"/>
      <c r="E2073" s="111"/>
      <c r="F2073" s="112"/>
      <c r="G2073" s="111"/>
      <c r="H2073" s="111"/>
      <c r="J2073" s="111"/>
    </row>
    <row r="2074" spans="1:10" s="3" customFormat="1" x14ac:dyDescent="0.25">
      <c r="A2074" s="112"/>
      <c r="D2074" s="111"/>
      <c r="E2074" s="111"/>
      <c r="F2074" s="112"/>
      <c r="G2074" s="111"/>
      <c r="H2074" s="111"/>
      <c r="J2074" s="111"/>
    </row>
    <row r="2075" spans="1:10" s="3" customFormat="1" x14ac:dyDescent="0.25">
      <c r="A2075" s="112"/>
      <c r="D2075" s="111"/>
      <c r="E2075" s="111"/>
      <c r="F2075" s="112"/>
      <c r="G2075" s="111"/>
      <c r="H2075" s="111"/>
      <c r="J2075" s="111"/>
    </row>
    <row r="2076" spans="1:10" s="3" customFormat="1" x14ac:dyDescent="0.25">
      <c r="A2076" s="112"/>
      <c r="D2076" s="111"/>
      <c r="E2076" s="111"/>
      <c r="F2076" s="112"/>
      <c r="G2076" s="111"/>
      <c r="H2076" s="111"/>
      <c r="J2076" s="111"/>
    </row>
    <row r="2077" spans="1:10" s="3" customFormat="1" x14ac:dyDescent="0.25">
      <c r="A2077" s="112"/>
      <c r="D2077" s="111"/>
      <c r="E2077" s="111"/>
      <c r="F2077" s="112"/>
      <c r="G2077" s="111"/>
      <c r="H2077" s="111"/>
      <c r="J2077" s="111"/>
    </row>
    <row r="2078" spans="1:10" s="3" customFormat="1" x14ac:dyDescent="0.25">
      <c r="A2078" s="112"/>
      <c r="D2078" s="111"/>
      <c r="E2078" s="111"/>
      <c r="F2078" s="112"/>
      <c r="G2078" s="111"/>
      <c r="H2078" s="111"/>
      <c r="J2078" s="111"/>
    </row>
    <row r="2079" spans="1:10" s="3" customFormat="1" x14ac:dyDescent="0.25">
      <c r="A2079" s="112"/>
      <c r="D2079" s="111"/>
      <c r="E2079" s="111"/>
      <c r="F2079" s="112"/>
      <c r="G2079" s="111"/>
      <c r="H2079" s="111"/>
      <c r="J2079" s="111"/>
    </row>
    <row r="2080" spans="1:10" s="3" customFormat="1" x14ac:dyDescent="0.25">
      <c r="A2080" s="112"/>
      <c r="D2080" s="111"/>
      <c r="E2080" s="111"/>
      <c r="F2080" s="112"/>
      <c r="G2080" s="111"/>
      <c r="H2080" s="111"/>
      <c r="J2080" s="111"/>
    </row>
    <row r="2081" spans="1:10" s="3" customFormat="1" x14ac:dyDescent="0.25">
      <c r="A2081" s="112"/>
      <c r="D2081" s="111"/>
      <c r="E2081" s="111"/>
      <c r="F2081" s="112"/>
      <c r="G2081" s="111"/>
      <c r="H2081" s="111"/>
      <c r="J2081" s="111"/>
    </row>
    <row r="2082" spans="1:10" s="3" customFormat="1" x14ac:dyDescent="0.25">
      <c r="A2082" s="112"/>
      <c r="D2082" s="111"/>
      <c r="E2082" s="111"/>
      <c r="F2082" s="112"/>
      <c r="G2082" s="111"/>
      <c r="H2082" s="111"/>
      <c r="J2082" s="111"/>
    </row>
    <row r="2083" spans="1:10" s="3" customFormat="1" x14ac:dyDescent="0.25">
      <c r="A2083" s="112"/>
      <c r="D2083" s="111"/>
      <c r="E2083" s="111"/>
      <c r="F2083" s="112"/>
      <c r="G2083" s="111"/>
      <c r="H2083" s="111"/>
      <c r="J2083" s="111"/>
    </row>
    <row r="2084" spans="1:10" s="3" customFormat="1" x14ac:dyDescent="0.25">
      <c r="A2084" s="112"/>
      <c r="D2084" s="111"/>
      <c r="E2084" s="111"/>
      <c r="F2084" s="112"/>
      <c r="G2084" s="111"/>
      <c r="H2084" s="111"/>
      <c r="J2084" s="111"/>
    </row>
    <row r="2085" spans="1:10" s="3" customFormat="1" x14ac:dyDescent="0.25">
      <c r="A2085" s="112"/>
      <c r="D2085" s="111"/>
      <c r="E2085" s="111"/>
      <c r="F2085" s="112"/>
      <c r="G2085" s="111"/>
      <c r="H2085" s="111"/>
      <c r="J2085" s="111"/>
    </row>
    <row r="2086" spans="1:10" s="3" customFormat="1" x14ac:dyDescent="0.25">
      <c r="A2086" s="112"/>
      <c r="D2086" s="111"/>
      <c r="E2086" s="111"/>
      <c r="F2086" s="112"/>
      <c r="G2086" s="111"/>
      <c r="H2086" s="111"/>
      <c r="J2086" s="111"/>
    </row>
    <row r="2087" spans="1:10" s="3" customFormat="1" x14ac:dyDescent="0.25">
      <c r="A2087" s="112"/>
      <c r="D2087" s="111"/>
      <c r="E2087" s="111"/>
      <c r="F2087" s="112"/>
      <c r="G2087" s="111"/>
      <c r="H2087" s="111"/>
      <c r="J2087" s="111"/>
    </row>
    <row r="2088" spans="1:10" s="3" customFormat="1" x14ac:dyDescent="0.25">
      <c r="A2088" s="112"/>
      <c r="D2088" s="111"/>
      <c r="E2088" s="111"/>
      <c r="F2088" s="112"/>
      <c r="G2088" s="111"/>
      <c r="H2088" s="111"/>
      <c r="J2088" s="111"/>
    </row>
    <row r="2089" spans="1:10" s="3" customFormat="1" x14ac:dyDescent="0.25">
      <c r="A2089" s="112"/>
      <c r="D2089" s="111"/>
      <c r="E2089" s="111"/>
      <c r="F2089" s="112"/>
      <c r="G2089" s="111"/>
      <c r="H2089" s="111"/>
      <c r="J2089" s="111"/>
    </row>
    <row r="2090" spans="1:10" s="3" customFormat="1" x14ac:dyDescent="0.25">
      <c r="A2090" s="112"/>
      <c r="D2090" s="111"/>
      <c r="E2090" s="111"/>
      <c r="F2090" s="112"/>
      <c r="G2090" s="111"/>
      <c r="H2090" s="111"/>
      <c r="J2090" s="111"/>
    </row>
    <row r="2091" spans="1:10" s="3" customFormat="1" x14ac:dyDescent="0.25">
      <c r="A2091" s="112"/>
      <c r="D2091" s="111"/>
      <c r="E2091" s="111"/>
      <c r="F2091" s="112"/>
      <c r="G2091" s="111"/>
      <c r="H2091" s="111"/>
      <c r="J2091" s="111"/>
    </row>
    <row r="2092" spans="1:10" s="3" customFormat="1" x14ac:dyDescent="0.25">
      <c r="A2092" s="112"/>
      <c r="D2092" s="111"/>
      <c r="E2092" s="111"/>
      <c r="F2092" s="112"/>
      <c r="G2092" s="111"/>
      <c r="H2092" s="111"/>
      <c r="J2092" s="111"/>
    </row>
    <row r="2093" spans="1:10" s="3" customFormat="1" x14ac:dyDescent="0.25">
      <c r="A2093" s="112"/>
      <c r="D2093" s="111"/>
      <c r="E2093" s="111"/>
      <c r="F2093" s="112"/>
      <c r="G2093" s="111"/>
      <c r="H2093" s="111"/>
      <c r="J2093" s="111"/>
    </row>
    <row r="2094" spans="1:10" s="3" customFormat="1" x14ac:dyDescent="0.25">
      <c r="A2094" s="112"/>
      <c r="D2094" s="111"/>
      <c r="E2094" s="111"/>
      <c r="F2094" s="112"/>
      <c r="G2094" s="111"/>
      <c r="H2094" s="111"/>
      <c r="J2094" s="111"/>
    </row>
    <row r="2095" spans="1:10" s="3" customFormat="1" x14ac:dyDescent="0.25">
      <c r="A2095" s="112"/>
      <c r="D2095" s="111"/>
      <c r="E2095" s="111"/>
      <c r="F2095" s="112"/>
      <c r="G2095" s="111"/>
      <c r="H2095" s="111"/>
      <c r="J2095" s="111"/>
    </row>
    <row r="2096" spans="1:10" s="3" customFormat="1" x14ac:dyDescent="0.25">
      <c r="A2096" s="112"/>
      <c r="D2096" s="111"/>
      <c r="E2096" s="111"/>
      <c r="F2096" s="112"/>
      <c r="G2096" s="111"/>
      <c r="H2096" s="111"/>
      <c r="J2096" s="111"/>
    </row>
    <row r="2097" spans="1:10" s="3" customFormat="1" x14ac:dyDescent="0.25">
      <c r="A2097" s="112"/>
      <c r="D2097" s="111"/>
      <c r="E2097" s="111"/>
      <c r="F2097" s="112"/>
      <c r="G2097" s="111"/>
      <c r="H2097" s="111"/>
      <c r="J2097" s="111"/>
    </row>
    <row r="2098" spans="1:10" s="3" customFormat="1" x14ac:dyDescent="0.25">
      <c r="A2098" s="112"/>
      <c r="D2098" s="111"/>
      <c r="E2098" s="111"/>
      <c r="F2098" s="112"/>
      <c r="G2098" s="111"/>
      <c r="H2098" s="111"/>
      <c r="J2098" s="111"/>
    </row>
    <row r="2099" spans="1:10" s="3" customFormat="1" x14ac:dyDescent="0.25">
      <c r="A2099" s="112"/>
      <c r="D2099" s="111"/>
      <c r="E2099" s="111"/>
      <c r="F2099" s="112"/>
      <c r="G2099" s="111"/>
      <c r="H2099" s="111"/>
      <c r="J2099" s="111"/>
    </row>
    <row r="2100" spans="1:10" s="3" customFormat="1" x14ac:dyDescent="0.25">
      <c r="A2100" s="112"/>
      <c r="D2100" s="111"/>
      <c r="E2100" s="111"/>
      <c r="F2100" s="112"/>
      <c r="G2100" s="111"/>
      <c r="H2100" s="111"/>
      <c r="J2100" s="111"/>
    </row>
    <row r="2101" spans="1:10" s="3" customFormat="1" x14ac:dyDescent="0.25">
      <c r="A2101" s="112"/>
      <c r="D2101" s="111"/>
      <c r="E2101" s="111"/>
      <c r="F2101" s="112"/>
      <c r="G2101" s="111"/>
      <c r="H2101" s="111"/>
      <c r="J2101" s="111"/>
    </row>
    <row r="2102" spans="1:10" s="3" customFormat="1" x14ac:dyDescent="0.25">
      <c r="A2102" s="112"/>
      <c r="D2102" s="111"/>
      <c r="E2102" s="111"/>
      <c r="F2102" s="112"/>
      <c r="G2102" s="111"/>
      <c r="H2102" s="111"/>
      <c r="J2102" s="111"/>
    </row>
    <row r="2103" spans="1:10" s="3" customFormat="1" x14ac:dyDescent="0.25">
      <c r="A2103" s="112"/>
      <c r="D2103" s="111"/>
      <c r="E2103" s="111"/>
      <c r="F2103" s="112"/>
      <c r="G2103" s="111"/>
      <c r="H2103" s="111"/>
      <c r="J2103" s="111"/>
    </row>
    <row r="2104" spans="1:10" s="3" customFormat="1" x14ac:dyDescent="0.25">
      <c r="A2104" s="112"/>
      <c r="D2104" s="111"/>
      <c r="E2104" s="111"/>
      <c r="F2104" s="112"/>
      <c r="G2104" s="111"/>
      <c r="H2104" s="111"/>
      <c r="J2104" s="111"/>
    </row>
    <row r="2105" spans="1:10" s="3" customFormat="1" x14ac:dyDescent="0.25">
      <c r="A2105" s="112"/>
      <c r="D2105" s="111"/>
      <c r="E2105" s="111"/>
      <c r="F2105" s="112"/>
      <c r="G2105" s="111"/>
      <c r="H2105" s="111"/>
      <c r="J2105" s="111"/>
    </row>
    <row r="2106" spans="1:10" s="3" customFormat="1" x14ac:dyDescent="0.25">
      <c r="A2106" s="112"/>
      <c r="D2106" s="111"/>
      <c r="E2106" s="111"/>
      <c r="F2106" s="112"/>
      <c r="G2106" s="111"/>
      <c r="H2106" s="111"/>
      <c r="J2106" s="111"/>
    </row>
    <row r="2107" spans="1:10" s="3" customFormat="1" x14ac:dyDescent="0.25">
      <c r="A2107" s="112"/>
      <c r="D2107" s="111"/>
      <c r="E2107" s="111"/>
      <c r="F2107" s="112"/>
      <c r="G2107" s="111"/>
      <c r="H2107" s="111"/>
      <c r="J2107" s="111"/>
    </row>
    <row r="2108" spans="1:10" s="3" customFormat="1" x14ac:dyDescent="0.25">
      <c r="A2108" s="112"/>
      <c r="D2108" s="111"/>
      <c r="E2108" s="111"/>
      <c r="F2108" s="112"/>
      <c r="G2108" s="111"/>
      <c r="H2108" s="111"/>
      <c r="J2108" s="111"/>
    </row>
    <row r="2109" spans="1:10" s="3" customFormat="1" x14ac:dyDescent="0.25">
      <c r="A2109" s="112"/>
      <c r="D2109" s="111"/>
      <c r="E2109" s="111"/>
      <c r="F2109" s="112"/>
      <c r="G2109" s="111"/>
      <c r="H2109" s="111"/>
      <c r="J2109" s="111"/>
    </row>
    <row r="2110" spans="1:10" s="3" customFormat="1" x14ac:dyDescent="0.25">
      <c r="A2110" s="112"/>
      <c r="D2110" s="111"/>
      <c r="E2110" s="111"/>
      <c r="F2110" s="112"/>
      <c r="G2110" s="111"/>
      <c r="H2110" s="111"/>
      <c r="J2110" s="111"/>
    </row>
    <row r="2111" spans="1:10" s="3" customFormat="1" x14ac:dyDescent="0.25">
      <c r="A2111" s="112"/>
      <c r="D2111" s="111"/>
      <c r="E2111" s="111"/>
      <c r="F2111" s="112"/>
      <c r="G2111" s="111"/>
      <c r="H2111" s="111"/>
      <c r="J2111" s="111"/>
    </row>
    <row r="2112" spans="1:10" s="3" customFormat="1" x14ac:dyDescent="0.25">
      <c r="A2112" s="112"/>
      <c r="D2112" s="111"/>
      <c r="E2112" s="111"/>
      <c r="F2112" s="112"/>
      <c r="G2112" s="111"/>
      <c r="H2112" s="111"/>
      <c r="J2112" s="111"/>
    </row>
    <row r="2113" spans="1:10" s="3" customFormat="1" x14ac:dyDescent="0.25">
      <c r="A2113" s="112"/>
      <c r="D2113" s="111"/>
      <c r="E2113" s="111"/>
      <c r="F2113" s="112"/>
      <c r="G2113" s="111"/>
      <c r="H2113" s="111"/>
      <c r="J2113" s="111"/>
    </row>
    <row r="2114" spans="1:10" s="3" customFormat="1" x14ac:dyDescent="0.25">
      <c r="A2114" s="112"/>
      <c r="D2114" s="111"/>
      <c r="E2114" s="111"/>
      <c r="F2114" s="112"/>
      <c r="G2114" s="111"/>
      <c r="H2114" s="111"/>
      <c r="J2114" s="111"/>
    </row>
    <row r="2115" spans="1:10" s="3" customFormat="1" x14ac:dyDescent="0.25">
      <c r="A2115" s="112"/>
      <c r="D2115" s="111"/>
      <c r="E2115" s="111"/>
      <c r="F2115" s="112"/>
      <c r="G2115" s="111"/>
      <c r="H2115" s="111"/>
      <c r="J2115" s="111"/>
    </row>
    <row r="2116" spans="1:10" s="3" customFormat="1" x14ac:dyDescent="0.25">
      <c r="A2116" s="112"/>
      <c r="D2116" s="111"/>
      <c r="E2116" s="111"/>
      <c r="F2116" s="112"/>
      <c r="G2116" s="111"/>
      <c r="H2116" s="111"/>
      <c r="J2116" s="111"/>
    </row>
    <row r="2117" spans="1:10" s="3" customFormat="1" x14ac:dyDescent="0.25">
      <c r="A2117" s="112"/>
      <c r="D2117" s="111"/>
      <c r="E2117" s="111"/>
      <c r="F2117" s="112"/>
      <c r="G2117" s="111"/>
      <c r="H2117" s="111"/>
      <c r="J2117" s="111"/>
    </row>
    <row r="2118" spans="1:10" s="3" customFormat="1" x14ac:dyDescent="0.25">
      <c r="A2118" s="112"/>
      <c r="D2118" s="111"/>
      <c r="E2118" s="111"/>
      <c r="F2118" s="112"/>
      <c r="G2118" s="111"/>
      <c r="H2118" s="111"/>
      <c r="J2118" s="111"/>
    </row>
    <row r="2119" spans="1:10" s="3" customFormat="1" x14ac:dyDescent="0.25">
      <c r="A2119" s="112"/>
      <c r="D2119" s="111"/>
      <c r="E2119" s="111"/>
      <c r="F2119" s="112"/>
      <c r="G2119" s="111"/>
      <c r="H2119" s="111"/>
      <c r="J2119" s="111"/>
    </row>
    <row r="2120" spans="1:10" s="3" customFormat="1" x14ac:dyDescent="0.25">
      <c r="A2120" s="112"/>
      <c r="D2120" s="111"/>
      <c r="E2120" s="111"/>
      <c r="F2120" s="112"/>
      <c r="G2120" s="111"/>
      <c r="H2120" s="111"/>
      <c r="J2120" s="111"/>
    </row>
    <row r="2121" spans="1:10" s="3" customFormat="1" x14ac:dyDescent="0.25">
      <c r="A2121" s="112"/>
      <c r="D2121" s="111"/>
      <c r="E2121" s="111"/>
      <c r="F2121" s="112"/>
      <c r="G2121" s="111"/>
      <c r="H2121" s="111"/>
      <c r="J2121" s="111"/>
    </row>
    <row r="2122" spans="1:10" s="3" customFormat="1" x14ac:dyDescent="0.25">
      <c r="A2122" s="112"/>
      <c r="D2122" s="111"/>
      <c r="E2122" s="111"/>
      <c r="F2122" s="112"/>
      <c r="G2122" s="111"/>
      <c r="H2122" s="111"/>
      <c r="J2122" s="111"/>
    </row>
    <row r="2123" spans="1:10" s="3" customFormat="1" x14ac:dyDescent="0.25">
      <c r="A2123" s="112"/>
      <c r="D2123" s="111"/>
      <c r="E2123" s="111"/>
      <c r="F2123" s="112"/>
      <c r="G2123" s="111"/>
      <c r="H2123" s="111"/>
      <c r="J2123" s="111"/>
    </row>
    <row r="2124" spans="1:10" s="3" customFormat="1" x14ac:dyDescent="0.25">
      <c r="A2124" s="112"/>
      <c r="D2124" s="111"/>
      <c r="E2124" s="111"/>
      <c r="F2124" s="112"/>
      <c r="G2124" s="111"/>
      <c r="H2124" s="111"/>
      <c r="J2124" s="111"/>
    </row>
    <row r="2125" spans="1:10" s="3" customFormat="1" x14ac:dyDescent="0.25">
      <c r="A2125" s="112"/>
      <c r="D2125" s="111"/>
      <c r="E2125" s="111"/>
      <c r="F2125" s="112"/>
      <c r="G2125" s="111"/>
      <c r="H2125" s="111"/>
      <c r="J2125" s="111"/>
    </row>
    <row r="2126" spans="1:10" s="3" customFormat="1" x14ac:dyDescent="0.25">
      <c r="A2126" s="112"/>
      <c r="D2126" s="111"/>
      <c r="E2126" s="111"/>
      <c r="F2126" s="112"/>
      <c r="G2126" s="111"/>
      <c r="H2126" s="111"/>
      <c r="J2126" s="111"/>
    </row>
    <row r="2127" spans="1:10" s="3" customFormat="1" x14ac:dyDescent="0.25">
      <c r="A2127" s="112"/>
      <c r="D2127" s="111"/>
      <c r="E2127" s="111"/>
      <c r="F2127" s="112"/>
      <c r="G2127" s="111"/>
      <c r="H2127" s="111"/>
      <c r="J2127" s="111"/>
    </row>
    <row r="2128" spans="1:10" s="3" customFormat="1" x14ac:dyDescent="0.25">
      <c r="A2128" s="112"/>
      <c r="D2128" s="111"/>
      <c r="E2128" s="111"/>
      <c r="F2128" s="112"/>
      <c r="G2128" s="111"/>
      <c r="H2128" s="111"/>
      <c r="J2128" s="111"/>
    </row>
    <row r="2129" spans="1:10" s="3" customFormat="1" x14ac:dyDescent="0.25">
      <c r="A2129" s="112"/>
      <c r="D2129" s="111"/>
      <c r="E2129" s="111"/>
      <c r="F2129" s="112"/>
      <c r="G2129" s="111"/>
      <c r="H2129" s="111"/>
      <c r="J2129" s="111"/>
    </row>
    <row r="2130" spans="1:10" s="3" customFormat="1" x14ac:dyDescent="0.25">
      <c r="A2130" s="112"/>
      <c r="D2130" s="111"/>
      <c r="E2130" s="111"/>
      <c r="F2130" s="112"/>
      <c r="G2130" s="111"/>
      <c r="H2130" s="111"/>
      <c r="J2130" s="111"/>
    </row>
    <row r="2131" spans="1:10" s="3" customFormat="1" x14ac:dyDescent="0.25">
      <c r="A2131" s="112"/>
      <c r="D2131" s="111"/>
      <c r="E2131" s="111"/>
      <c r="F2131" s="112"/>
      <c r="G2131" s="111"/>
      <c r="H2131" s="111"/>
      <c r="J2131" s="111"/>
    </row>
    <row r="2132" spans="1:10" s="3" customFormat="1" x14ac:dyDescent="0.25">
      <c r="A2132" s="112"/>
      <c r="D2132" s="111"/>
      <c r="E2132" s="111"/>
      <c r="F2132" s="112"/>
      <c r="G2132" s="111"/>
      <c r="H2132" s="111"/>
      <c r="J2132" s="111"/>
    </row>
    <row r="2133" spans="1:10" s="3" customFormat="1" x14ac:dyDescent="0.25">
      <c r="A2133" s="112"/>
      <c r="D2133" s="111"/>
      <c r="E2133" s="111"/>
      <c r="F2133" s="112"/>
      <c r="G2133" s="111"/>
      <c r="H2133" s="111"/>
      <c r="J2133" s="111"/>
    </row>
    <row r="2134" spans="1:10" s="3" customFormat="1" x14ac:dyDescent="0.25">
      <c r="A2134" s="112"/>
      <c r="D2134" s="111"/>
      <c r="E2134" s="111"/>
      <c r="F2134" s="112"/>
      <c r="G2134" s="111"/>
      <c r="H2134" s="111"/>
      <c r="J2134" s="111"/>
    </row>
    <row r="2135" spans="1:10" s="3" customFormat="1" x14ac:dyDescent="0.25">
      <c r="A2135" s="112"/>
      <c r="D2135" s="111"/>
      <c r="E2135" s="111"/>
      <c r="F2135" s="112"/>
      <c r="G2135" s="111"/>
      <c r="H2135" s="111"/>
      <c r="J2135" s="111"/>
    </row>
    <row r="2136" spans="1:10" s="3" customFormat="1" x14ac:dyDescent="0.25">
      <c r="A2136" s="112"/>
      <c r="D2136" s="111"/>
      <c r="E2136" s="111"/>
      <c r="F2136" s="112"/>
      <c r="G2136" s="111"/>
      <c r="H2136" s="111"/>
      <c r="J2136" s="111"/>
    </row>
    <row r="2137" spans="1:10" s="3" customFormat="1" x14ac:dyDescent="0.25">
      <c r="A2137" s="112"/>
      <c r="D2137" s="111"/>
      <c r="E2137" s="111"/>
      <c r="F2137" s="112"/>
      <c r="G2137" s="111"/>
      <c r="H2137" s="111"/>
      <c r="J2137" s="111"/>
    </row>
    <row r="2138" spans="1:10" s="3" customFormat="1" x14ac:dyDescent="0.25">
      <c r="A2138" s="112"/>
      <c r="D2138" s="111"/>
      <c r="E2138" s="111"/>
      <c r="F2138" s="112"/>
      <c r="G2138" s="111"/>
      <c r="H2138" s="111"/>
      <c r="J2138" s="111"/>
    </row>
    <row r="2139" spans="1:10" s="3" customFormat="1" x14ac:dyDescent="0.25">
      <c r="A2139" s="112"/>
      <c r="D2139" s="111"/>
      <c r="E2139" s="111"/>
      <c r="F2139" s="112"/>
      <c r="G2139" s="111"/>
      <c r="H2139" s="111"/>
      <c r="J2139" s="111"/>
    </row>
    <row r="2140" spans="1:10" s="3" customFormat="1" x14ac:dyDescent="0.25">
      <c r="A2140" s="112"/>
      <c r="D2140" s="111"/>
      <c r="E2140" s="111"/>
      <c r="F2140" s="112"/>
      <c r="G2140" s="111"/>
      <c r="H2140" s="111"/>
      <c r="J2140" s="111"/>
    </row>
    <row r="2141" spans="1:10" s="3" customFormat="1" x14ac:dyDescent="0.25">
      <c r="A2141" s="112"/>
      <c r="D2141" s="111"/>
      <c r="E2141" s="111"/>
      <c r="F2141" s="112"/>
      <c r="G2141" s="111"/>
      <c r="H2141" s="111"/>
      <c r="J2141" s="111"/>
    </row>
    <row r="2142" spans="1:10" s="3" customFormat="1" x14ac:dyDescent="0.25">
      <c r="A2142" s="112"/>
      <c r="D2142" s="111"/>
      <c r="E2142" s="111"/>
      <c r="F2142" s="112"/>
      <c r="G2142" s="111"/>
      <c r="H2142" s="111"/>
      <c r="J2142" s="111"/>
    </row>
    <row r="2143" spans="1:10" s="3" customFormat="1" x14ac:dyDescent="0.25">
      <c r="A2143" s="112"/>
      <c r="D2143" s="111"/>
      <c r="E2143" s="111"/>
      <c r="F2143" s="112"/>
      <c r="G2143" s="111"/>
      <c r="H2143" s="111"/>
      <c r="J2143" s="111"/>
    </row>
    <row r="2144" spans="1:10" s="3" customFormat="1" x14ac:dyDescent="0.25">
      <c r="A2144" s="112"/>
      <c r="D2144" s="111"/>
      <c r="E2144" s="111"/>
      <c r="F2144" s="112"/>
      <c r="G2144" s="111"/>
      <c r="H2144" s="111"/>
      <c r="J2144" s="111"/>
    </row>
    <row r="2145" spans="1:10" s="3" customFormat="1" x14ac:dyDescent="0.25">
      <c r="A2145" s="112"/>
      <c r="D2145" s="111"/>
      <c r="E2145" s="111"/>
      <c r="F2145" s="112"/>
      <c r="G2145" s="111"/>
      <c r="H2145" s="111"/>
      <c r="J2145" s="111"/>
    </row>
    <row r="2146" spans="1:10" s="3" customFormat="1" x14ac:dyDescent="0.25">
      <c r="A2146" s="112"/>
      <c r="D2146" s="111"/>
      <c r="E2146" s="111"/>
      <c r="F2146" s="112"/>
      <c r="G2146" s="111"/>
      <c r="H2146" s="111"/>
      <c r="J2146" s="111"/>
    </row>
    <row r="2147" spans="1:10" s="3" customFormat="1" x14ac:dyDescent="0.25">
      <c r="A2147" s="112"/>
      <c r="D2147" s="111"/>
      <c r="E2147" s="111"/>
      <c r="F2147" s="112"/>
      <c r="G2147" s="111"/>
      <c r="H2147" s="111"/>
      <c r="J2147" s="111"/>
    </row>
    <row r="2148" spans="1:10" s="3" customFormat="1" x14ac:dyDescent="0.25">
      <c r="A2148" s="112"/>
      <c r="D2148" s="111"/>
      <c r="E2148" s="111"/>
      <c r="F2148" s="112"/>
      <c r="G2148" s="111"/>
      <c r="H2148" s="111"/>
      <c r="J2148" s="111"/>
    </row>
    <row r="2149" spans="1:10" s="3" customFormat="1" x14ac:dyDescent="0.25">
      <c r="A2149" s="112"/>
      <c r="D2149" s="111"/>
      <c r="E2149" s="111"/>
      <c r="F2149" s="112"/>
      <c r="G2149" s="111"/>
      <c r="H2149" s="111"/>
      <c r="J2149" s="111"/>
    </row>
    <row r="2150" spans="1:10" s="3" customFormat="1" x14ac:dyDescent="0.25">
      <c r="A2150" s="112"/>
      <c r="D2150" s="111"/>
      <c r="E2150" s="111"/>
      <c r="F2150" s="112"/>
      <c r="G2150" s="111"/>
      <c r="H2150" s="111"/>
      <c r="J2150" s="111"/>
    </row>
    <row r="2151" spans="1:10" s="3" customFormat="1" x14ac:dyDescent="0.25">
      <c r="A2151" s="112"/>
      <c r="D2151" s="111"/>
      <c r="E2151" s="111"/>
      <c r="F2151" s="112"/>
      <c r="G2151" s="111"/>
      <c r="H2151" s="111"/>
      <c r="J2151" s="111"/>
    </row>
    <row r="2152" spans="1:10" s="3" customFormat="1" x14ac:dyDescent="0.25">
      <c r="A2152" s="112"/>
      <c r="D2152" s="111"/>
      <c r="E2152" s="111"/>
      <c r="F2152" s="112"/>
      <c r="G2152" s="111"/>
      <c r="H2152" s="111"/>
      <c r="J2152" s="111"/>
    </row>
    <row r="2153" spans="1:10" s="3" customFormat="1" x14ac:dyDescent="0.25">
      <c r="A2153" s="112"/>
      <c r="D2153" s="111"/>
      <c r="E2153" s="111"/>
      <c r="F2153" s="112"/>
      <c r="G2153" s="111"/>
      <c r="H2153" s="111"/>
      <c r="J2153" s="111"/>
    </row>
    <row r="2154" spans="1:10" s="3" customFormat="1" x14ac:dyDescent="0.25">
      <c r="A2154" s="112"/>
      <c r="D2154" s="111"/>
      <c r="E2154" s="111"/>
      <c r="F2154" s="112"/>
      <c r="G2154" s="111"/>
      <c r="H2154" s="111"/>
      <c r="J2154" s="111"/>
    </row>
    <row r="2155" spans="1:10" s="3" customFormat="1" x14ac:dyDescent="0.25">
      <c r="A2155" s="112"/>
      <c r="D2155" s="111"/>
      <c r="E2155" s="111"/>
      <c r="F2155" s="112"/>
      <c r="G2155" s="111"/>
      <c r="H2155" s="111"/>
      <c r="J2155" s="111"/>
    </row>
    <row r="2156" spans="1:10" s="3" customFormat="1" x14ac:dyDescent="0.25">
      <c r="A2156" s="112"/>
      <c r="D2156" s="111"/>
      <c r="E2156" s="111"/>
      <c r="F2156" s="112"/>
      <c r="G2156" s="111"/>
      <c r="H2156" s="111"/>
      <c r="J2156" s="111"/>
    </row>
    <row r="2157" spans="1:10" s="3" customFormat="1" x14ac:dyDescent="0.25">
      <c r="A2157" s="112"/>
      <c r="D2157" s="111"/>
      <c r="E2157" s="111"/>
      <c r="F2157" s="112"/>
      <c r="G2157" s="111"/>
      <c r="H2157" s="111"/>
      <c r="J2157" s="111"/>
    </row>
    <row r="2158" spans="1:10" s="3" customFormat="1" x14ac:dyDescent="0.25">
      <c r="A2158" s="112"/>
      <c r="D2158" s="111"/>
      <c r="E2158" s="111"/>
      <c r="F2158" s="112"/>
      <c r="G2158" s="111"/>
      <c r="H2158" s="111"/>
      <c r="J2158" s="111"/>
    </row>
    <row r="2159" spans="1:10" s="3" customFormat="1" x14ac:dyDescent="0.25">
      <c r="A2159" s="112"/>
      <c r="D2159" s="111"/>
      <c r="E2159" s="111"/>
      <c r="F2159" s="112"/>
      <c r="G2159" s="111"/>
      <c r="H2159" s="111"/>
      <c r="J2159" s="111"/>
    </row>
    <row r="2160" spans="1:10" s="3" customFormat="1" x14ac:dyDescent="0.25">
      <c r="A2160" s="112"/>
      <c r="D2160" s="111"/>
      <c r="E2160" s="111"/>
      <c r="F2160" s="112"/>
      <c r="G2160" s="111"/>
      <c r="H2160" s="111"/>
      <c r="J2160" s="111"/>
    </row>
    <row r="2161" spans="1:10" s="3" customFormat="1" x14ac:dyDescent="0.25">
      <c r="A2161" s="112"/>
      <c r="D2161" s="111"/>
      <c r="E2161" s="111"/>
      <c r="F2161" s="112"/>
      <c r="G2161" s="111"/>
      <c r="H2161" s="111"/>
      <c r="J2161" s="111"/>
    </row>
    <row r="2162" spans="1:10" s="3" customFormat="1" x14ac:dyDescent="0.25">
      <c r="A2162" s="112"/>
      <c r="D2162" s="111"/>
      <c r="E2162" s="111"/>
      <c r="F2162" s="112"/>
      <c r="G2162" s="111"/>
      <c r="H2162" s="111"/>
      <c r="J2162" s="111"/>
    </row>
    <row r="2163" spans="1:10" s="3" customFormat="1" x14ac:dyDescent="0.25">
      <c r="A2163" s="112"/>
      <c r="D2163" s="111"/>
      <c r="E2163" s="111"/>
      <c r="F2163" s="112"/>
      <c r="G2163" s="111"/>
      <c r="H2163" s="111"/>
      <c r="J2163" s="111"/>
    </row>
    <row r="2164" spans="1:10" s="3" customFormat="1" x14ac:dyDescent="0.25">
      <c r="A2164" s="112"/>
      <c r="D2164" s="111"/>
      <c r="E2164" s="111"/>
      <c r="F2164" s="112"/>
      <c r="G2164" s="111"/>
      <c r="H2164" s="111"/>
      <c r="J2164" s="111"/>
    </row>
    <row r="2165" spans="1:10" s="3" customFormat="1" x14ac:dyDescent="0.25">
      <c r="A2165" s="112"/>
      <c r="D2165" s="111"/>
      <c r="E2165" s="111"/>
      <c r="F2165" s="112"/>
      <c r="G2165" s="111"/>
      <c r="H2165" s="111"/>
      <c r="J2165" s="111"/>
    </row>
    <row r="2166" spans="1:10" s="3" customFormat="1" x14ac:dyDescent="0.25">
      <c r="A2166" s="112"/>
      <c r="D2166" s="111"/>
      <c r="E2166" s="111"/>
      <c r="F2166" s="112"/>
      <c r="G2166" s="111"/>
      <c r="H2166" s="111"/>
      <c r="J2166" s="111"/>
    </row>
    <row r="2167" spans="1:10" s="3" customFormat="1" x14ac:dyDescent="0.25">
      <c r="A2167" s="112"/>
      <c r="D2167" s="111"/>
      <c r="E2167" s="111"/>
      <c r="F2167" s="112"/>
      <c r="G2167" s="111"/>
      <c r="H2167" s="111"/>
      <c r="J2167" s="111"/>
    </row>
    <row r="2168" spans="1:10" s="3" customFormat="1" x14ac:dyDescent="0.25">
      <c r="A2168" s="112"/>
      <c r="D2168" s="111"/>
      <c r="E2168" s="111"/>
      <c r="F2168" s="112"/>
      <c r="G2168" s="111"/>
      <c r="H2168" s="111"/>
      <c r="J2168" s="111"/>
    </row>
    <row r="2169" spans="1:10" s="3" customFormat="1" x14ac:dyDescent="0.25">
      <c r="A2169" s="112"/>
      <c r="D2169" s="111"/>
      <c r="E2169" s="111"/>
      <c r="F2169" s="112"/>
      <c r="G2169" s="111"/>
      <c r="H2169" s="111"/>
      <c r="J2169" s="111"/>
    </row>
    <row r="2170" spans="1:10" s="3" customFormat="1" x14ac:dyDescent="0.25">
      <c r="A2170" s="112"/>
      <c r="D2170" s="111"/>
      <c r="E2170" s="111"/>
      <c r="F2170" s="112"/>
      <c r="G2170" s="111"/>
      <c r="H2170" s="111"/>
      <c r="J2170" s="111"/>
    </row>
    <row r="2171" spans="1:10" s="3" customFormat="1" x14ac:dyDescent="0.25">
      <c r="A2171" s="112"/>
      <c r="D2171" s="111"/>
      <c r="E2171" s="111"/>
      <c r="F2171" s="112"/>
      <c r="G2171" s="111"/>
      <c r="H2171" s="111"/>
      <c r="J2171" s="111"/>
    </row>
    <row r="2172" spans="1:10" s="3" customFormat="1" x14ac:dyDescent="0.25">
      <c r="A2172" s="112"/>
      <c r="D2172" s="111"/>
      <c r="E2172" s="111"/>
      <c r="F2172" s="112"/>
      <c r="G2172" s="111"/>
      <c r="H2172" s="111"/>
      <c r="J2172" s="111"/>
    </row>
    <row r="2173" spans="1:10" s="3" customFormat="1" x14ac:dyDescent="0.25">
      <c r="A2173" s="112"/>
      <c r="D2173" s="111"/>
      <c r="E2173" s="111"/>
      <c r="F2173" s="112"/>
      <c r="G2173" s="111"/>
      <c r="H2173" s="111"/>
      <c r="J2173" s="111"/>
    </row>
    <row r="2174" spans="1:10" s="3" customFormat="1" x14ac:dyDescent="0.25">
      <c r="A2174" s="112"/>
      <c r="D2174" s="111"/>
      <c r="E2174" s="111"/>
      <c r="F2174" s="112"/>
      <c r="G2174" s="111"/>
      <c r="H2174" s="111"/>
      <c r="J2174" s="111"/>
    </row>
    <row r="2175" spans="1:10" s="3" customFormat="1" x14ac:dyDescent="0.25">
      <c r="A2175" s="112"/>
      <c r="D2175" s="111"/>
      <c r="E2175" s="111"/>
      <c r="F2175" s="112"/>
      <c r="G2175" s="111"/>
      <c r="H2175" s="111"/>
      <c r="J2175" s="111"/>
    </row>
    <row r="2176" spans="1:10" s="3" customFormat="1" x14ac:dyDescent="0.25">
      <c r="A2176" s="112"/>
      <c r="D2176" s="111"/>
      <c r="E2176" s="111"/>
      <c r="F2176" s="112"/>
      <c r="G2176" s="111"/>
      <c r="H2176" s="111"/>
      <c r="J2176" s="111"/>
    </row>
    <row r="2177" spans="1:10" s="3" customFormat="1" x14ac:dyDescent="0.25">
      <c r="A2177" s="112"/>
      <c r="D2177" s="111"/>
      <c r="E2177" s="111"/>
      <c r="F2177" s="112"/>
      <c r="G2177" s="111"/>
      <c r="H2177" s="111"/>
      <c r="J2177" s="111"/>
    </row>
    <row r="2178" spans="1:10" s="3" customFormat="1" x14ac:dyDescent="0.25">
      <c r="A2178" s="112"/>
      <c r="D2178" s="111"/>
      <c r="E2178" s="111"/>
      <c r="F2178" s="112"/>
      <c r="G2178" s="111"/>
      <c r="H2178" s="111"/>
      <c r="J2178" s="111"/>
    </row>
    <row r="2179" spans="1:10" s="3" customFormat="1" x14ac:dyDescent="0.25">
      <c r="A2179" s="112"/>
      <c r="D2179" s="111"/>
      <c r="E2179" s="111"/>
      <c r="F2179" s="112"/>
      <c r="G2179" s="111"/>
      <c r="H2179" s="111"/>
      <c r="J2179" s="111"/>
    </row>
    <row r="2180" spans="1:10" s="3" customFormat="1" x14ac:dyDescent="0.25">
      <c r="A2180" s="112"/>
      <c r="D2180" s="111"/>
      <c r="E2180" s="111"/>
      <c r="F2180" s="112"/>
      <c r="G2180" s="111"/>
      <c r="H2180" s="111"/>
      <c r="J2180" s="111"/>
    </row>
    <row r="2181" spans="1:10" s="3" customFormat="1" x14ac:dyDescent="0.25">
      <c r="A2181" s="112"/>
      <c r="D2181" s="111"/>
      <c r="E2181" s="111"/>
      <c r="F2181" s="112"/>
      <c r="G2181" s="111"/>
      <c r="H2181" s="111"/>
      <c r="J2181" s="111"/>
    </row>
    <row r="2182" spans="1:10" s="3" customFormat="1" x14ac:dyDescent="0.25">
      <c r="A2182" s="112"/>
      <c r="D2182" s="111"/>
      <c r="E2182" s="111"/>
      <c r="F2182" s="112"/>
      <c r="G2182" s="111"/>
      <c r="H2182" s="111"/>
      <c r="J2182" s="111"/>
    </row>
    <row r="2183" spans="1:10" s="3" customFormat="1" x14ac:dyDescent="0.25">
      <c r="A2183" s="112"/>
      <c r="D2183" s="111"/>
      <c r="E2183" s="111"/>
      <c r="F2183" s="112"/>
      <c r="G2183" s="111"/>
      <c r="H2183" s="111"/>
      <c r="J2183" s="111"/>
    </row>
    <row r="2184" spans="1:10" s="3" customFormat="1" x14ac:dyDescent="0.25">
      <c r="A2184" s="112"/>
      <c r="D2184" s="111"/>
      <c r="E2184" s="111"/>
      <c r="F2184" s="112"/>
      <c r="G2184" s="111"/>
      <c r="H2184" s="111"/>
      <c r="J2184" s="111"/>
    </row>
    <row r="2185" spans="1:10" s="3" customFormat="1" x14ac:dyDescent="0.25">
      <c r="A2185" s="112"/>
      <c r="D2185" s="111"/>
      <c r="E2185" s="111"/>
      <c r="F2185" s="112"/>
      <c r="G2185" s="111"/>
      <c r="H2185" s="111"/>
      <c r="J2185" s="111"/>
    </row>
    <row r="2186" spans="1:10" s="3" customFormat="1" x14ac:dyDescent="0.25">
      <c r="A2186" s="112"/>
      <c r="D2186" s="111"/>
      <c r="E2186" s="111"/>
      <c r="F2186" s="112"/>
      <c r="G2186" s="111"/>
      <c r="H2186" s="111"/>
      <c r="J2186" s="111"/>
    </row>
    <row r="2187" spans="1:10" s="3" customFormat="1" x14ac:dyDescent="0.25">
      <c r="A2187" s="112"/>
      <c r="D2187" s="111"/>
      <c r="E2187" s="111"/>
      <c r="F2187" s="112"/>
      <c r="G2187" s="111"/>
      <c r="H2187" s="111"/>
      <c r="J2187" s="111"/>
    </row>
    <row r="2188" spans="1:10" s="3" customFormat="1" x14ac:dyDescent="0.25">
      <c r="A2188" s="112"/>
      <c r="D2188" s="111"/>
      <c r="E2188" s="111"/>
      <c r="F2188" s="112"/>
      <c r="G2188" s="111"/>
      <c r="H2188" s="111"/>
      <c r="J2188" s="111"/>
    </row>
    <row r="2189" spans="1:10" s="3" customFormat="1" x14ac:dyDescent="0.25">
      <c r="A2189" s="112"/>
      <c r="D2189" s="111"/>
      <c r="E2189" s="111"/>
      <c r="F2189" s="112"/>
      <c r="G2189" s="111"/>
      <c r="H2189" s="111"/>
      <c r="J2189" s="111"/>
    </row>
    <row r="2190" spans="1:10" s="3" customFormat="1" x14ac:dyDescent="0.25">
      <c r="A2190" s="112"/>
      <c r="D2190" s="111"/>
      <c r="E2190" s="111"/>
      <c r="F2190" s="112"/>
      <c r="G2190" s="111"/>
      <c r="H2190" s="111"/>
      <c r="J2190" s="111"/>
    </row>
    <row r="2191" spans="1:10" s="3" customFormat="1" x14ac:dyDescent="0.25">
      <c r="A2191" s="112"/>
      <c r="D2191" s="111"/>
      <c r="E2191" s="111"/>
      <c r="F2191" s="112"/>
      <c r="G2191" s="111"/>
      <c r="H2191" s="111"/>
      <c r="J2191" s="111"/>
    </row>
    <row r="2192" spans="1:10" s="3" customFormat="1" x14ac:dyDescent="0.25">
      <c r="A2192" s="112"/>
      <c r="D2192" s="111"/>
      <c r="E2192" s="111"/>
      <c r="F2192" s="112"/>
      <c r="G2192" s="111"/>
      <c r="H2192" s="111"/>
      <c r="J2192" s="111"/>
    </row>
    <row r="2193" spans="1:10" s="3" customFormat="1" x14ac:dyDescent="0.25">
      <c r="A2193" s="112"/>
      <c r="D2193" s="111"/>
      <c r="E2193" s="111"/>
      <c r="F2193" s="112"/>
      <c r="G2193" s="111"/>
      <c r="H2193" s="111"/>
      <c r="J2193" s="111"/>
    </row>
    <row r="2194" spans="1:10" s="3" customFormat="1" x14ac:dyDescent="0.25">
      <c r="A2194" s="112"/>
      <c r="D2194" s="111"/>
      <c r="E2194" s="111"/>
      <c r="F2194" s="112"/>
      <c r="G2194" s="111"/>
      <c r="H2194" s="111"/>
      <c r="J2194" s="111"/>
    </row>
    <row r="2195" spans="1:10" s="3" customFormat="1" x14ac:dyDescent="0.25">
      <c r="A2195" s="112"/>
      <c r="D2195" s="111"/>
      <c r="E2195" s="111"/>
      <c r="F2195" s="112"/>
      <c r="G2195" s="111"/>
      <c r="H2195" s="111"/>
      <c r="J2195" s="111"/>
    </row>
    <row r="2196" spans="1:10" s="3" customFormat="1" x14ac:dyDescent="0.25">
      <c r="A2196" s="112"/>
      <c r="D2196" s="111"/>
      <c r="E2196" s="111"/>
      <c r="F2196" s="112"/>
      <c r="G2196" s="111"/>
      <c r="H2196" s="111"/>
      <c r="J2196" s="111"/>
    </row>
    <row r="2197" spans="1:10" s="3" customFormat="1" x14ac:dyDescent="0.25">
      <c r="A2197" s="112"/>
      <c r="D2197" s="111"/>
      <c r="E2197" s="111"/>
      <c r="F2197" s="112"/>
      <c r="G2197" s="111"/>
      <c r="H2197" s="111"/>
      <c r="J2197" s="111"/>
    </row>
    <row r="2198" spans="1:10" s="3" customFormat="1" x14ac:dyDescent="0.25">
      <c r="A2198" s="112"/>
      <c r="D2198" s="111"/>
      <c r="E2198" s="111"/>
      <c r="F2198" s="112"/>
      <c r="G2198" s="111"/>
      <c r="H2198" s="111"/>
      <c r="J2198" s="111"/>
    </row>
    <row r="2199" spans="1:10" s="3" customFormat="1" x14ac:dyDescent="0.25">
      <c r="A2199" s="112"/>
      <c r="D2199" s="111"/>
      <c r="E2199" s="111"/>
      <c r="F2199" s="112"/>
      <c r="G2199" s="111"/>
      <c r="H2199" s="111"/>
      <c r="J2199" s="111"/>
    </row>
    <row r="2200" spans="1:10" s="3" customFormat="1" x14ac:dyDescent="0.25">
      <c r="A2200" s="112"/>
      <c r="D2200" s="111"/>
      <c r="E2200" s="111"/>
      <c r="F2200" s="112"/>
      <c r="G2200" s="111"/>
      <c r="H2200" s="111"/>
      <c r="J2200" s="111"/>
    </row>
    <row r="2201" spans="1:10" s="3" customFormat="1" x14ac:dyDescent="0.25">
      <c r="A2201" s="112"/>
      <c r="D2201" s="111"/>
      <c r="E2201" s="111"/>
      <c r="F2201" s="112"/>
      <c r="G2201" s="111"/>
      <c r="H2201" s="111"/>
      <c r="J2201" s="111"/>
    </row>
    <row r="2202" spans="1:10" s="3" customFormat="1" x14ac:dyDescent="0.25">
      <c r="A2202" s="112"/>
      <c r="D2202" s="111"/>
      <c r="E2202" s="111"/>
      <c r="F2202" s="112"/>
      <c r="G2202" s="111"/>
      <c r="H2202" s="111"/>
      <c r="J2202" s="111"/>
    </row>
    <row r="2203" spans="1:10" s="3" customFormat="1" x14ac:dyDescent="0.25">
      <c r="A2203" s="112"/>
      <c r="D2203" s="111"/>
      <c r="E2203" s="111"/>
      <c r="F2203" s="112"/>
      <c r="G2203" s="111"/>
      <c r="H2203" s="111"/>
      <c r="J2203" s="111"/>
    </row>
    <row r="2204" spans="1:10" s="3" customFormat="1" x14ac:dyDescent="0.25">
      <c r="A2204" s="112"/>
      <c r="D2204" s="111"/>
      <c r="E2204" s="111"/>
      <c r="F2204" s="112"/>
      <c r="G2204" s="111"/>
      <c r="H2204" s="111"/>
      <c r="J2204" s="111"/>
    </row>
    <row r="2205" spans="1:10" s="3" customFormat="1" x14ac:dyDescent="0.25">
      <c r="A2205" s="112"/>
      <c r="D2205" s="111"/>
      <c r="E2205" s="111"/>
      <c r="F2205" s="112"/>
      <c r="G2205" s="111"/>
      <c r="H2205" s="111"/>
      <c r="J2205" s="111"/>
    </row>
    <row r="2206" spans="1:10" s="3" customFormat="1" x14ac:dyDescent="0.25">
      <c r="A2206" s="112"/>
      <c r="D2206" s="111"/>
      <c r="E2206" s="111"/>
      <c r="F2206" s="112"/>
      <c r="G2206" s="111"/>
      <c r="H2206" s="111"/>
      <c r="J2206" s="111"/>
    </row>
    <row r="2207" spans="1:10" s="3" customFormat="1" x14ac:dyDescent="0.25">
      <c r="A2207" s="112"/>
      <c r="D2207" s="111"/>
      <c r="E2207" s="111"/>
      <c r="F2207" s="112"/>
      <c r="G2207" s="111"/>
      <c r="H2207" s="111"/>
      <c r="J2207" s="111"/>
    </row>
    <row r="2208" spans="1:10" s="3" customFormat="1" x14ac:dyDescent="0.25">
      <c r="A2208" s="112"/>
      <c r="D2208" s="111"/>
      <c r="E2208" s="111"/>
      <c r="F2208" s="112"/>
      <c r="G2208" s="111"/>
      <c r="H2208" s="111"/>
      <c r="J2208" s="111"/>
    </row>
    <row r="2209" spans="1:10" s="3" customFormat="1" x14ac:dyDescent="0.25">
      <c r="A2209" s="112"/>
      <c r="D2209" s="111"/>
      <c r="E2209" s="111"/>
      <c r="F2209" s="112"/>
      <c r="G2209" s="111"/>
      <c r="H2209" s="111"/>
      <c r="J2209" s="111"/>
    </row>
    <row r="2210" spans="1:10" s="3" customFormat="1" x14ac:dyDescent="0.25">
      <c r="A2210" s="112"/>
      <c r="D2210" s="111"/>
      <c r="E2210" s="111"/>
      <c r="F2210" s="112"/>
      <c r="G2210" s="111"/>
      <c r="H2210" s="111"/>
      <c r="J2210" s="111"/>
    </row>
    <row r="2211" spans="1:10" s="3" customFormat="1" x14ac:dyDescent="0.25">
      <c r="A2211" s="112"/>
      <c r="D2211" s="111"/>
      <c r="E2211" s="111"/>
      <c r="F2211" s="112"/>
      <c r="G2211" s="111"/>
      <c r="H2211" s="111"/>
      <c r="J2211" s="111"/>
    </row>
    <row r="2212" spans="1:10" s="3" customFormat="1" x14ac:dyDescent="0.25">
      <c r="A2212" s="112"/>
      <c r="D2212" s="111"/>
      <c r="E2212" s="111"/>
      <c r="F2212" s="112"/>
      <c r="G2212" s="111"/>
      <c r="H2212" s="111"/>
      <c r="J2212" s="111"/>
    </row>
    <row r="2213" spans="1:10" s="3" customFormat="1" x14ac:dyDescent="0.25">
      <c r="A2213" s="112"/>
      <c r="D2213" s="111"/>
      <c r="E2213" s="111"/>
      <c r="F2213" s="112"/>
      <c r="G2213" s="111"/>
      <c r="H2213" s="111"/>
      <c r="J2213" s="111"/>
    </row>
    <row r="2214" spans="1:10" s="3" customFormat="1" x14ac:dyDescent="0.25">
      <c r="A2214" s="112"/>
      <c r="D2214" s="111"/>
      <c r="E2214" s="111"/>
      <c r="F2214" s="112"/>
      <c r="G2214" s="111"/>
      <c r="H2214" s="111"/>
      <c r="J2214" s="111"/>
    </row>
    <row r="2215" spans="1:10" s="3" customFormat="1" x14ac:dyDescent="0.25">
      <c r="A2215" s="112"/>
      <c r="D2215" s="111"/>
      <c r="E2215" s="111"/>
      <c r="F2215" s="112"/>
      <c r="G2215" s="111"/>
      <c r="H2215" s="111"/>
      <c r="J2215" s="111"/>
    </row>
    <row r="2216" spans="1:10" s="3" customFormat="1" x14ac:dyDescent="0.25">
      <c r="A2216" s="112"/>
      <c r="D2216" s="111"/>
      <c r="E2216" s="111"/>
      <c r="F2216" s="112"/>
      <c r="G2216" s="111"/>
      <c r="H2216" s="111"/>
      <c r="J2216" s="111"/>
    </row>
    <row r="2217" spans="1:10" s="3" customFormat="1" x14ac:dyDescent="0.25">
      <c r="A2217" s="112"/>
      <c r="D2217" s="111"/>
      <c r="E2217" s="111"/>
      <c r="F2217" s="112"/>
      <c r="G2217" s="111"/>
      <c r="H2217" s="111"/>
      <c r="J2217" s="111"/>
    </row>
    <row r="2218" spans="1:10" s="3" customFormat="1" x14ac:dyDescent="0.25">
      <c r="A2218" s="112"/>
      <c r="D2218" s="111"/>
      <c r="E2218" s="111"/>
      <c r="F2218" s="112"/>
      <c r="G2218" s="111"/>
      <c r="H2218" s="111"/>
      <c r="J2218" s="111"/>
    </row>
    <row r="2219" spans="1:10" s="3" customFormat="1" x14ac:dyDescent="0.25">
      <c r="A2219" s="112"/>
      <c r="D2219" s="111"/>
      <c r="E2219" s="111"/>
      <c r="F2219" s="112"/>
      <c r="G2219" s="111"/>
      <c r="H2219" s="111"/>
      <c r="J2219" s="111"/>
    </row>
    <row r="2220" spans="1:10" s="3" customFormat="1" x14ac:dyDescent="0.25">
      <c r="A2220" s="112"/>
      <c r="D2220" s="111"/>
      <c r="E2220" s="111"/>
      <c r="F2220" s="112"/>
      <c r="G2220" s="111"/>
      <c r="H2220" s="111"/>
      <c r="J2220" s="111"/>
    </row>
    <row r="2221" spans="1:10" s="3" customFormat="1" x14ac:dyDescent="0.25">
      <c r="A2221" s="112"/>
      <c r="D2221" s="111"/>
      <c r="E2221" s="111"/>
      <c r="F2221" s="112"/>
      <c r="G2221" s="111"/>
      <c r="H2221" s="111"/>
      <c r="J2221" s="111"/>
    </row>
    <row r="2222" spans="1:10" s="3" customFormat="1" x14ac:dyDescent="0.25">
      <c r="A2222" s="112"/>
      <c r="D2222" s="111"/>
      <c r="E2222" s="111"/>
      <c r="F2222" s="112"/>
      <c r="G2222" s="111"/>
      <c r="H2222" s="111"/>
      <c r="J2222" s="111"/>
    </row>
    <row r="2223" spans="1:10" s="3" customFormat="1" x14ac:dyDescent="0.25">
      <c r="A2223" s="112"/>
      <c r="D2223" s="111"/>
      <c r="E2223" s="111"/>
      <c r="F2223" s="112"/>
      <c r="G2223" s="111"/>
      <c r="H2223" s="111"/>
      <c r="J2223" s="111"/>
    </row>
    <row r="2224" spans="1:10" s="3" customFormat="1" x14ac:dyDescent="0.25">
      <c r="A2224" s="112"/>
      <c r="D2224" s="111"/>
      <c r="E2224" s="111"/>
      <c r="F2224" s="112"/>
      <c r="G2224" s="111"/>
      <c r="H2224" s="111"/>
      <c r="J2224" s="111"/>
    </row>
    <row r="2225" spans="1:10" s="3" customFormat="1" x14ac:dyDescent="0.25">
      <c r="A2225" s="112"/>
      <c r="D2225" s="111"/>
      <c r="E2225" s="111"/>
      <c r="F2225" s="112"/>
      <c r="G2225" s="111"/>
      <c r="H2225" s="111"/>
      <c r="J2225" s="111"/>
    </row>
    <row r="2226" spans="1:10" s="3" customFormat="1" x14ac:dyDescent="0.25">
      <c r="A2226" s="112"/>
      <c r="D2226" s="111"/>
      <c r="E2226" s="111"/>
      <c r="F2226" s="112"/>
      <c r="G2226" s="111"/>
      <c r="H2226" s="111"/>
      <c r="J2226" s="111"/>
    </row>
    <row r="2227" spans="1:10" s="3" customFormat="1" x14ac:dyDescent="0.25">
      <c r="A2227" s="112"/>
      <c r="D2227" s="111"/>
      <c r="E2227" s="111"/>
      <c r="F2227" s="112"/>
      <c r="G2227" s="111"/>
      <c r="H2227" s="111"/>
      <c r="J2227" s="111"/>
    </row>
    <row r="2228" spans="1:10" s="3" customFormat="1" x14ac:dyDescent="0.25">
      <c r="A2228" s="112"/>
      <c r="D2228" s="111"/>
      <c r="E2228" s="111"/>
      <c r="F2228" s="112"/>
      <c r="G2228" s="111"/>
      <c r="H2228" s="111"/>
      <c r="J2228" s="111"/>
    </row>
    <row r="2229" spans="1:10" s="3" customFormat="1" x14ac:dyDescent="0.25">
      <c r="A2229" s="112"/>
      <c r="D2229" s="111"/>
      <c r="E2229" s="111"/>
      <c r="F2229" s="112"/>
      <c r="G2229" s="111"/>
      <c r="H2229" s="111"/>
      <c r="J2229" s="111"/>
    </row>
    <row r="2230" spans="1:10" s="3" customFormat="1" x14ac:dyDescent="0.25">
      <c r="A2230" s="112"/>
      <c r="D2230" s="111"/>
      <c r="E2230" s="111"/>
      <c r="F2230" s="112"/>
      <c r="G2230" s="111"/>
      <c r="H2230" s="111"/>
      <c r="J2230" s="111"/>
    </row>
    <row r="2231" spans="1:10" s="3" customFormat="1" x14ac:dyDescent="0.25">
      <c r="A2231" s="112"/>
      <c r="D2231" s="111"/>
      <c r="E2231" s="111"/>
      <c r="F2231" s="112"/>
      <c r="G2231" s="111"/>
      <c r="H2231" s="111"/>
      <c r="J2231" s="111"/>
    </row>
    <row r="2232" spans="1:10" s="3" customFormat="1" x14ac:dyDescent="0.25">
      <c r="A2232" s="112"/>
      <c r="D2232" s="111"/>
      <c r="E2232" s="111"/>
      <c r="F2232" s="112"/>
      <c r="G2232" s="111"/>
      <c r="H2232" s="111"/>
      <c r="J2232" s="111"/>
    </row>
    <row r="2233" spans="1:10" s="3" customFormat="1" x14ac:dyDescent="0.25">
      <c r="A2233" s="112"/>
      <c r="D2233" s="111"/>
      <c r="E2233" s="111"/>
      <c r="F2233" s="112"/>
      <c r="G2233" s="111"/>
      <c r="H2233" s="111"/>
      <c r="J2233" s="111"/>
    </row>
    <row r="2234" spans="1:10" s="3" customFormat="1" x14ac:dyDescent="0.25">
      <c r="A2234" s="112"/>
      <c r="D2234" s="111"/>
      <c r="E2234" s="111"/>
      <c r="F2234" s="112"/>
      <c r="G2234" s="111"/>
      <c r="H2234" s="111"/>
      <c r="J2234" s="111"/>
    </row>
    <row r="2235" spans="1:10" s="3" customFormat="1" x14ac:dyDescent="0.25">
      <c r="A2235" s="112"/>
      <c r="D2235" s="111"/>
      <c r="E2235" s="111"/>
      <c r="F2235" s="112"/>
      <c r="G2235" s="111"/>
      <c r="H2235" s="111"/>
      <c r="J2235" s="111"/>
    </row>
    <row r="2236" spans="1:10" s="3" customFormat="1" x14ac:dyDescent="0.25">
      <c r="A2236" s="112"/>
      <c r="D2236" s="111"/>
      <c r="E2236" s="111"/>
      <c r="F2236" s="112"/>
      <c r="G2236" s="111"/>
      <c r="H2236" s="111"/>
      <c r="J2236" s="111"/>
    </row>
    <row r="2237" spans="1:10" s="3" customFormat="1" x14ac:dyDescent="0.25">
      <c r="A2237" s="112"/>
      <c r="D2237" s="111"/>
      <c r="E2237" s="111"/>
      <c r="F2237" s="112"/>
      <c r="G2237" s="111"/>
      <c r="H2237" s="111"/>
      <c r="J2237" s="111"/>
    </row>
    <row r="2238" spans="1:10" s="3" customFormat="1" x14ac:dyDescent="0.25">
      <c r="A2238" s="112"/>
      <c r="D2238" s="111"/>
      <c r="E2238" s="111"/>
      <c r="F2238" s="112"/>
      <c r="G2238" s="111"/>
      <c r="H2238" s="111"/>
      <c r="J2238" s="111"/>
    </row>
    <row r="2239" spans="1:10" s="3" customFormat="1" x14ac:dyDescent="0.25">
      <c r="A2239" s="112"/>
      <c r="D2239" s="111"/>
      <c r="E2239" s="111"/>
      <c r="F2239" s="112"/>
      <c r="G2239" s="111"/>
      <c r="H2239" s="111"/>
      <c r="J2239" s="111"/>
    </row>
    <row r="2240" spans="1:10" s="3" customFormat="1" x14ac:dyDescent="0.25">
      <c r="A2240" s="112"/>
      <c r="D2240" s="111"/>
      <c r="E2240" s="111"/>
      <c r="F2240" s="112"/>
      <c r="G2240" s="111"/>
      <c r="H2240" s="111"/>
      <c r="J2240" s="111"/>
    </row>
    <row r="2241" spans="1:10" s="3" customFormat="1" x14ac:dyDescent="0.25">
      <c r="A2241" s="112"/>
      <c r="D2241" s="111"/>
      <c r="E2241" s="111"/>
      <c r="F2241" s="112"/>
      <c r="G2241" s="111"/>
      <c r="H2241" s="111"/>
      <c r="J2241" s="111"/>
    </row>
    <row r="2242" spans="1:10" s="3" customFormat="1" x14ac:dyDescent="0.25">
      <c r="A2242" s="112"/>
      <c r="D2242" s="111"/>
      <c r="E2242" s="111"/>
      <c r="F2242" s="112"/>
      <c r="G2242" s="111"/>
      <c r="H2242" s="111"/>
      <c r="J2242" s="111"/>
    </row>
    <row r="2243" spans="1:10" s="3" customFormat="1" x14ac:dyDescent="0.25">
      <c r="A2243" s="112"/>
      <c r="D2243" s="111"/>
      <c r="E2243" s="111"/>
      <c r="F2243" s="112"/>
      <c r="G2243" s="111"/>
      <c r="H2243" s="111"/>
      <c r="J2243" s="111"/>
    </row>
    <row r="2244" spans="1:10" s="3" customFormat="1" x14ac:dyDescent="0.25">
      <c r="A2244" s="112"/>
      <c r="D2244" s="111"/>
      <c r="E2244" s="111"/>
      <c r="F2244" s="112"/>
      <c r="G2244" s="111"/>
      <c r="H2244" s="111"/>
      <c r="J2244" s="111"/>
    </row>
    <row r="2245" spans="1:10" s="3" customFormat="1" x14ac:dyDescent="0.25">
      <c r="A2245" s="112"/>
      <c r="D2245" s="111"/>
      <c r="E2245" s="111"/>
      <c r="F2245" s="112"/>
      <c r="G2245" s="111"/>
      <c r="H2245" s="111"/>
      <c r="J2245" s="111"/>
    </row>
    <row r="2246" spans="1:10" s="3" customFormat="1" x14ac:dyDescent="0.25">
      <c r="A2246" s="112"/>
      <c r="D2246" s="111"/>
      <c r="E2246" s="111"/>
      <c r="F2246" s="112"/>
      <c r="G2246" s="111"/>
      <c r="H2246" s="111"/>
      <c r="J2246" s="111"/>
    </row>
    <row r="2247" spans="1:10" s="3" customFormat="1" x14ac:dyDescent="0.25">
      <c r="A2247" s="112"/>
      <c r="D2247" s="111"/>
      <c r="E2247" s="111"/>
      <c r="F2247" s="112"/>
      <c r="G2247" s="111"/>
      <c r="H2247" s="111"/>
      <c r="J2247" s="111"/>
    </row>
    <row r="2248" spans="1:10" s="3" customFormat="1" x14ac:dyDescent="0.25">
      <c r="A2248" s="112"/>
      <c r="D2248" s="111"/>
      <c r="E2248" s="111"/>
      <c r="F2248" s="112"/>
      <c r="G2248" s="111"/>
      <c r="H2248" s="111"/>
      <c r="J2248" s="111"/>
    </row>
    <row r="2249" spans="1:10" s="3" customFormat="1" x14ac:dyDescent="0.25">
      <c r="A2249" s="112"/>
      <c r="D2249" s="111"/>
      <c r="E2249" s="111"/>
      <c r="F2249" s="112"/>
      <c r="G2249" s="111"/>
      <c r="H2249" s="111"/>
      <c r="J2249" s="111"/>
    </row>
    <row r="2250" spans="1:10" s="3" customFormat="1" x14ac:dyDescent="0.25">
      <c r="A2250" s="112"/>
      <c r="D2250" s="111"/>
      <c r="E2250" s="111"/>
      <c r="F2250" s="112"/>
      <c r="G2250" s="111"/>
      <c r="H2250" s="111"/>
      <c r="J2250" s="111"/>
    </row>
    <row r="2251" spans="1:10" s="3" customFormat="1" x14ac:dyDescent="0.25">
      <c r="A2251" s="112"/>
      <c r="D2251" s="111"/>
      <c r="E2251" s="111"/>
      <c r="F2251" s="112"/>
      <c r="G2251" s="111"/>
      <c r="H2251" s="111"/>
      <c r="J2251" s="111"/>
    </row>
    <row r="2252" spans="1:10" s="3" customFormat="1" x14ac:dyDescent="0.25">
      <c r="A2252" s="112"/>
      <c r="D2252" s="111"/>
      <c r="E2252" s="111"/>
      <c r="F2252" s="112"/>
      <c r="G2252" s="111"/>
      <c r="H2252" s="111"/>
      <c r="J2252" s="111"/>
    </row>
    <row r="2253" spans="1:10" s="3" customFormat="1" x14ac:dyDescent="0.25">
      <c r="A2253" s="112"/>
      <c r="D2253" s="111"/>
      <c r="E2253" s="111"/>
      <c r="F2253" s="112"/>
      <c r="G2253" s="111"/>
      <c r="H2253" s="111"/>
      <c r="J2253" s="111"/>
    </row>
    <row r="2254" spans="1:10" s="3" customFormat="1" x14ac:dyDescent="0.25">
      <c r="A2254" s="112"/>
      <c r="D2254" s="111"/>
      <c r="E2254" s="111"/>
      <c r="F2254" s="112"/>
      <c r="G2254" s="111"/>
      <c r="H2254" s="111"/>
      <c r="J2254" s="111"/>
    </row>
    <row r="2255" spans="1:10" s="3" customFormat="1" x14ac:dyDescent="0.25">
      <c r="A2255" s="112"/>
      <c r="D2255" s="111"/>
      <c r="E2255" s="111"/>
      <c r="F2255" s="112"/>
      <c r="G2255" s="111"/>
      <c r="H2255" s="111"/>
      <c r="J2255" s="111"/>
    </row>
    <row r="2256" spans="1:10" s="3" customFormat="1" x14ac:dyDescent="0.25">
      <c r="A2256" s="112"/>
      <c r="D2256" s="111"/>
      <c r="E2256" s="111"/>
      <c r="F2256" s="112"/>
      <c r="G2256" s="111"/>
      <c r="H2256" s="111"/>
      <c r="J2256" s="111"/>
    </row>
    <row r="2257" spans="1:10" s="3" customFormat="1" x14ac:dyDescent="0.25">
      <c r="A2257" s="112"/>
      <c r="D2257" s="111"/>
      <c r="E2257" s="111"/>
      <c r="F2257" s="112"/>
      <c r="G2257" s="111"/>
      <c r="H2257" s="111"/>
      <c r="J2257" s="111"/>
    </row>
    <row r="2258" spans="1:10" s="3" customFormat="1" x14ac:dyDescent="0.25">
      <c r="A2258" s="112"/>
      <c r="D2258" s="111"/>
      <c r="E2258" s="111"/>
      <c r="F2258" s="112"/>
      <c r="G2258" s="111"/>
      <c r="H2258" s="111"/>
      <c r="J2258" s="111"/>
    </row>
    <row r="2259" spans="1:10" s="3" customFormat="1" x14ac:dyDescent="0.25">
      <c r="A2259" s="112"/>
      <c r="D2259" s="111"/>
      <c r="E2259" s="111"/>
      <c r="F2259" s="112"/>
      <c r="G2259" s="111"/>
      <c r="H2259" s="111"/>
      <c r="J2259" s="111"/>
    </row>
    <row r="2260" spans="1:10" s="3" customFormat="1" x14ac:dyDescent="0.25">
      <c r="A2260" s="112"/>
      <c r="D2260" s="111"/>
      <c r="E2260" s="111"/>
      <c r="F2260" s="112"/>
      <c r="G2260" s="111"/>
      <c r="H2260" s="111"/>
      <c r="J2260" s="111"/>
    </row>
    <row r="2261" spans="1:10" s="3" customFormat="1" x14ac:dyDescent="0.25">
      <c r="A2261" s="112"/>
      <c r="D2261" s="111"/>
      <c r="E2261" s="111"/>
      <c r="F2261" s="112"/>
      <c r="G2261" s="111"/>
      <c r="H2261" s="111"/>
      <c r="J2261" s="111"/>
    </row>
    <row r="2262" spans="1:10" s="3" customFormat="1" x14ac:dyDescent="0.25">
      <c r="A2262" s="112"/>
      <c r="D2262" s="111"/>
      <c r="E2262" s="111"/>
      <c r="F2262" s="112"/>
      <c r="G2262" s="111"/>
      <c r="H2262" s="111"/>
      <c r="J2262" s="111"/>
    </row>
    <row r="2263" spans="1:10" s="3" customFormat="1" x14ac:dyDescent="0.25">
      <c r="A2263" s="112"/>
      <c r="D2263" s="111"/>
      <c r="E2263" s="111"/>
      <c r="F2263" s="112"/>
      <c r="G2263" s="111"/>
      <c r="H2263" s="111"/>
      <c r="J2263" s="111"/>
    </row>
    <row r="2264" spans="1:10" s="3" customFormat="1" x14ac:dyDescent="0.25">
      <c r="A2264" s="112"/>
      <c r="D2264" s="111"/>
      <c r="E2264" s="111"/>
      <c r="F2264" s="112"/>
      <c r="G2264" s="111"/>
      <c r="H2264" s="111"/>
      <c r="J2264" s="111"/>
    </row>
    <row r="2265" spans="1:10" s="3" customFormat="1" x14ac:dyDescent="0.25">
      <c r="A2265" s="112"/>
      <c r="D2265" s="111"/>
      <c r="E2265" s="111"/>
      <c r="F2265" s="112"/>
      <c r="G2265" s="111"/>
      <c r="H2265" s="111"/>
      <c r="J2265" s="111"/>
    </row>
    <row r="2266" spans="1:10" s="3" customFormat="1" x14ac:dyDescent="0.25">
      <c r="A2266" s="112"/>
      <c r="D2266" s="111"/>
      <c r="E2266" s="111"/>
      <c r="F2266" s="112"/>
      <c r="G2266" s="111"/>
      <c r="H2266" s="111"/>
      <c r="J2266" s="111"/>
    </row>
    <row r="2267" spans="1:10" s="3" customFormat="1" x14ac:dyDescent="0.25">
      <c r="A2267" s="112"/>
      <c r="D2267" s="111"/>
      <c r="E2267" s="111"/>
      <c r="F2267" s="112"/>
      <c r="G2267" s="111"/>
      <c r="H2267" s="111"/>
      <c r="J2267" s="111"/>
    </row>
    <row r="2268" spans="1:10" s="3" customFormat="1" x14ac:dyDescent="0.25">
      <c r="A2268" s="112"/>
      <c r="D2268" s="111"/>
      <c r="E2268" s="111"/>
      <c r="F2268" s="112"/>
      <c r="G2268" s="111"/>
      <c r="H2268" s="111"/>
      <c r="J2268" s="111"/>
    </row>
    <row r="2269" spans="1:10" s="3" customFormat="1" x14ac:dyDescent="0.25">
      <c r="A2269" s="112"/>
      <c r="D2269" s="111"/>
      <c r="E2269" s="111"/>
      <c r="F2269" s="112"/>
      <c r="G2269" s="111"/>
      <c r="H2269" s="111"/>
      <c r="J2269" s="111"/>
    </row>
    <row r="2270" spans="1:10" s="3" customFormat="1" x14ac:dyDescent="0.25">
      <c r="A2270" s="112"/>
      <c r="D2270" s="111"/>
      <c r="E2270" s="111"/>
      <c r="F2270" s="112"/>
      <c r="G2270" s="111"/>
      <c r="H2270" s="111"/>
      <c r="J2270" s="111"/>
    </row>
    <row r="2271" spans="1:10" s="3" customFormat="1" x14ac:dyDescent="0.25">
      <c r="A2271" s="112"/>
      <c r="D2271" s="111"/>
      <c r="E2271" s="111"/>
      <c r="F2271" s="112"/>
      <c r="G2271" s="111"/>
      <c r="H2271" s="111"/>
      <c r="J2271" s="111"/>
    </row>
    <row r="2272" spans="1:10" s="3" customFormat="1" x14ac:dyDescent="0.25">
      <c r="A2272" s="112"/>
      <c r="D2272" s="111"/>
      <c r="E2272" s="111"/>
      <c r="F2272" s="112"/>
      <c r="G2272" s="111"/>
      <c r="H2272" s="111"/>
      <c r="J2272" s="111"/>
    </row>
    <row r="2273" spans="1:10" s="3" customFormat="1" x14ac:dyDescent="0.25">
      <c r="A2273" s="112"/>
      <c r="D2273" s="111"/>
      <c r="E2273" s="111"/>
      <c r="F2273" s="112"/>
      <c r="G2273" s="111"/>
      <c r="H2273" s="111"/>
      <c r="J2273" s="111"/>
    </row>
    <row r="2274" spans="1:10" s="3" customFormat="1" x14ac:dyDescent="0.25">
      <c r="A2274" s="112"/>
      <c r="D2274" s="111"/>
      <c r="E2274" s="111"/>
      <c r="F2274" s="112"/>
      <c r="G2274" s="111"/>
      <c r="H2274" s="111"/>
      <c r="J2274" s="111"/>
    </row>
    <row r="2275" spans="1:10" s="3" customFormat="1" x14ac:dyDescent="0.25">
      <c r="A2275" s="112"/>
      <c r="D2275" s="111"/>
      <c r="E2275" s="111"/>
      <c r="F2275" s="112"/>
      <c r="G2275" s="111"/>
      <c r="H2275" s="111"/>
      <c r="J2275" s="111"/>
    </row>
    <row r="2276" spans="1:10" s="3" customFormat="1" x14ac:dyDescent="0.25">
      <c r="A2276" s="112"/>
      <c r="D2276" s="111"/>
      <c r="E2276" s="111"/>
      <c r="F2276" s="112"/>
      <c r="G2276" s="111"/>
      <c r="H2276" s="111"/>
      <c r="J2276" s="111"/>
    </row>
    <row r="2277" spans="1:10" s="3" customFormat="1" x14ac:dyDescent="0.25">
      <c r="A2277" s="112"/>
      <c r="D2277" s="111"/>
      <c r="E2277" s="111"/>
      <c r="F2277" s="112"/>
      <c r="G2277" s="111"/>
      <c r="H2277" s="111"/>
      <c r="J2277" s="111"/>
    </row>
    <row r="2278" spans="1:10" s="3" customFormat="1" x14ac:dyDescent="0.25">
      <c r="A2278" s="112"/>
      <c r="D2278" s="111"/>
      <c r="E2278" s="111"/>
      <c r="F2278" s="112"/>
      <c r="G2278" s="111"/>
      <c r="H2278" s="111"/>
      <c r="J2278" s="111"/>
    </row>
    <row r="2279" spans="1:10" s="3" customFormat="1" x14ac:dyDescent="0.25">
      <c r="A2279" s="112"/>
      <c r="D2279" s="111"/>
      <c r="E2279" s="111"/>
      <c r="F2279" s="112"/>
      <c r="G2279" s="111"/>
      <c r="H2279" s="111"/>
      <c r="J2279" s="111"/>
    </row>
    <row r="2280" spans="1:10" s="3" customFormat="1" x14ac:dyDescent="0.25">
      <c r="A2280" s="112"/>
      <c r="D2280" s="111"/>
      <c r="E2280" s="111"/>
      <c r="F2280" s="112"/>
      <c r="G2280" s="111"/>
      <c r="H2280" s="111"/>
      <c r="J2280" s="111"/>
    </row>
    <row r="2281" spans="1:10" s="3" customFormat="1" x14ac:dyDescent="0.25">
      <c r="A2281" s="112"/>
      <c r="D2281" s="111"/>
      <c r="E2281" s="111"/>
      <c r="F2281" s="112"/>
      <c r="G2281" s="111"/>
      <c r="H2281" s="111"/>
      <c r="J2281" s="111"/>
    </row>
    <row r="2282" spans="1:10" s="3" customFormat="1" x14ac:dyDescent="0.25">
      <c r="A2282" s="112"/>
      <c r="D2282" s="111"/>
      <c r="E2282" s="111"/>
      <c r="F2282" s="112"/>
      <c r="G2282" s="111"/>
      <c r="H2282" s="111"/>
      <c r="J2282" s="111"/>
    </row>
    <row r="2283" spans="1:10" s="3" customFormat="1" x14ac:dyDescent="0.25">
      <c r="A2283" s="112"/>
      <c r="D2283" s="111"/>
      <c r="E2283" s="111"/>
      <c r="F2283" s="112"/>
      <c r="G2283" s="111"/>
      <c r="H2283" s="111"/>
      <c r="J2283" s="111"/>
    </row>
    <row r="2284" spans="1:10" s="3" customFormat="1" x14ac:dyDescent="0.25">
      <c r="A2284" s="112"/>
      <c r="D2284" s="111"/>
      <c r="E2284" s="111"/>
      <c r="F2284" s="112"/>
      <c r="G2284" s="111"/>
      <c r="H2284" s="111"/>
      <c r="J2284" s="111"/>
    </row>
    <row r="2285" spans="1:10" s="3" customFormat="1" x14ac:dyDescent="0.25">
      <c r="A2285" s="112"/>
      <c r="D2285" s="111"/>
      <c r="E2285" s="111"/>
      <c r="F2285" s="112"/>
      <c r="G2285" s="111"/>
      <c r="H2285" s="111"/>
      <c r="J2285" s="111"/>
    </row>
    <row r="2286" spans="1:10" s="3" customFormat="1" x14ac:dyDescent="0.25">
      <c r="A2286" s="112"/>
      <c r="D2286" s="111"/>
      <c r="E2286" s="111"/>
      <c r="F2286" s="112"/>
      <c r="G2286" s="111"/>
      <c r="H2286" s="111"/>
      <c r="J2286" s="111"/>
    </row>
    <row r="2287" spans="1:10" s="3" customFormat="1" x14ac:dyDescent="0.25">
      <c r="A2287" s="112"/>
      <c r="D2287" s="111"/>
      <c r="E2287" s="111"/>
      <c r="F2287" s="112"/>
      <c r="G2287" s="111"/>
      <c r="H2287" s="111"/>
      <c r="J2287" s="111"/>
    </row>
    <row r="2288" spans="1:10" s="3" customFormat="1" x14ac:dyDescent="0.25">
      <c r="A2288" s="112"/>
      <c r="D2288" s="111"/>
      <c r="E2288" s="111"/>
      <c r="F2288" s="112"/>
      <c r="G2288" s="111"/>
      <c r="H2288" s="111"/>
      <c r="J2288" s="111"/>
    </row>
    <row r="2289" spans="1:10" s="3" customFormat="1" x14ac:dyDescent="0.25">
      <c r="A2289" s="112"/>
      <c r="D2289" s="111"/>
      <c r="E2289" s="111"/>
      <c r="F2289" s="112"/>
      <c r="G2289" s="111"/>
      <c r="H2289" s="111"/>
      <c r="J2289" s="111"/>
    </row>
    <row r="2290" spans="1:10" s="3" customFormat="1" x14ac:dyDescent="0.25">
      <c r="A2290" s="112"/>
      <c r="D2290" s="111"/>
      <c r="E2290" s="111"/>
      <c r="F2290" s="112"/>
      <c r="G2290" s="111"/>
      <c r="H2290" s="111"/>
      <c r="J2290" s="111"/>
    </row>
    <row r="2291" spans="1:10" s="3" customFormat="1" x14ac:dyDescent="0.25">
      <c r="A2291" s="112"/>
      <c r="D2291" s="111"/>
      <c r="E2291" s="111"/>
      <c r="F2291" s="112"/>
      <c r="G2291" s="111"/>
      <c r="H2291" s="111"/>
      <c r="J2291" s="111"/>
    </row>
    <row r="2292" spans="1:10" s="3" customFormat="1" x14ac:dyDescent="0.25">
      <c r="A2292" s="112"/>
      <c r="D2292" s="111"/>
      <c r="E2292" s="111"/>
      <c r="F2292" s="112"/>
      <c r="G2292" s="111"/>
      <c r="H2292" s="111"/>
      <c r="J2292" s="111"/>
    </row>
    <row r="2293" spans="1:10" s="3" customFormat="1" x14ac:dyDescent="0.25">
      <c r="A2293" s="112"/>
      <c r="D2293" s="111"/>
      <c r="E2293" s="111"/>
      <c r="F2293" s="112"/>
      <c r="G2293" s="111"/>
      <c r="H2293" s="111"/>
      <c r="J2293" s="111"/>
    </row>
    <row r="2294" spans="1:10" s="3" customFormat="1" x14ac:dyDescent="0.25">
      <c r="A2294" s="112"/>
      <c r="D2294" s="111"/>
      <c r="E2294" s="111"/>
      <c r="F2294" s="112"/>
      <c r="G2294" s="111"/>
      <c r="H2294" s="111"/>
      <c r="J2294" s="111"/>
    </row>
    <row r="2295" spans="1:10" s="3" customFormat="1" x14ac:dyDescent="0.25">
      <c r="A2295" s="112"/>
      <c r="D2295" s="111"/>
      <c r="E2295" s="111"/>
      <c r="F2295" s="112"/>
      <c r="G2295" s="111"/>
      <c r="H2295" s="111"/>
      <c r="J2295" s="111"/>
    </row>
    <row r="2296" spans="1:10" s="3" customFormat="1" x14ac:dyDescent="0.25">
      <c r="A2296" s="112"/>
      <c r="D2296" s="111"/>
      <c r="E2296" s="111"/>
      <c r="F2296" s="112"/>
      <c r="G2296" s="111"/>
      <c r="H2296" s="111"/>
      <c r="J2296" s="111"/>
    </row>
    <row r="2297" spans="1:10" s="3" customFormat="1" x14ac:dyDescent="0.25">
      <c r="A2297" s="112"/>
      <c r="D2297" s="111"/>
      <c r="E2297" s="111"/>
      <c r="F2297" s="112"/>
      <c r="G2297" s="111"/>
      <c r="H2297" s="111"/>
      <c r="J2297" s="111"/>
    </row>
    <row r="2298" spans="1:10" s="3" customFormat="1" x14ac:dyDescent="0.25">
      <c r="A2298" s="112"/>
      <c r="D2298" s="111"/>
      <c r="E2298" s="111"/>
      <c r="F2298" s="112"/>
      <c r="G2298" s="111"/>
      <c r="H2298" s="111"/>
      <c r="J2298" s="111"/>
    </row>
    <row r="2299" spans="1:10" s="3" customFormat="1" x14ac:dyDescent="0.25">
      <c r="A2299" s="112"/>
      <c r="D2299" s="111"/>
      <c r="E2299" s="111"/>
      <c r="F2299" s="112"/>
      <c r="G2299" s="111"/>
      <c r="H2299" s="111"/>
      <c r="J2299" s="111"/>
    </row>
    <row r="2300" spans="1:10" s="3" customFormat="1" x14ac:dyDescent="0.25">
      <c r="A2300" s="112"/>
      <c r="D2300" s="111"/>
      <c r="E2300" s="111"/>
      <c r="F2300" s="112"/>
      <c r="G2300" s="111"/>
      <c r="H2300" s="111"/>
      <c r="J2300" s="111"/>
    </row>
    <row r="2301" spans="1:10" s="3" customFormat="1" x14ac:dyDescent="0.25">
      <c r="A2301" s="112"/>
      <c r="D2301" s="111"/>
      <c r="E2301" s="111"/>
      <c r="F2301" s="112"/>
      <c r="G2301" s="111"/>
      <c r="H2301" s="111"/>
      <c r="J2301" s="111"/>
    </row>
    <row r="2302" spans="1:10" s="3" customFormat="1" x14ac:dyDescent="0.25">
      <c r="A2302" s="112"/>
      <c r="D2302" s="111"/>
      <c r="E2302" s="111"/>
      <c r="F2302" s="112"/>
      <c r="G2302" s="111"/>
      <c r="H2302" s="111"/>
      <c r="J2302" s="111"/>
    </row>
    <row r="2303" spans="1:10" s="3" customFormat="1" x14ac:dyDescent="0.25">
      <c r="A2303" s="112"/>
      <c r="D2303" s="111"/>
      <c r="E2303" s="111"/>
      <c r="F2303" s="112"/>
      <c r="G2303" s="111"/>
      <c r="H2303" s="111"/>
      <c r="J2303" s="111"/>
    </row>
    <row r="2304" spans="1:10" s="3" customFormat="1" x14ac:dyDescent="0.25">
      <c r="A2304" s="112"/>
      <c r="D2304" s="111"/>
      <c r="E2304" s="111"/>
      <c r="F2304" s="112"/>
      <c r="G2304" s="111"/>
      <c r="H2304" s="111"/>
      <c r="J2304" s="111"/>
    </row>
    <row r="2305" spans="1:10" s="3" customFormat="1" x14ac:dyDescent="0.25">
      <c r="A2305" s="112"/>
      <c r="D2305" s="111"/>
      <c r="E2305" s="111"/>
      <c r="F2305" s="112"/>
      <c r="G2305" s="111"/>
      <c r="H2305" s="111"/>
      <c r="J2305" s="111"/>
    </row>
    <row r="2306" spans="1:10" s="3" customFormat="1" x14ac:dyDescent="0.25">
      <c r="A2306" s="112"/>
      <c r="D2306" s="111"/>
      <c r="E2306" s="111"/>
      <c r="F2306" s="112"/>
      <c r="G2306" s="111"/>
      <c r="H2306" s="111"/>
      <c r="J2306" s="111"/>
    </row>
    <row r="2307" spans="1:10" s="3" customFormat="1" x14ac:dyDescent="0.25">
      <c r="A2307" s="112"/>
      <c r="D2307" s="111"/>
      <c r="E2307" s="111"/>
      <c r="F2307" s="112"/>
      <c r="G2307" s="111"/>
      <c r="H2307" s="111"/>
      <c r="J2307" s="111"/>
    </row>
    <row r="2308" spans="1:10" s="3" customFormat="1" x14ac:dyDescent="0.25">
      <c r="A2308" s="112"/>
      <c r="D2308" s="111"/>
      <c r="E2308" s="111"/>
      <c r="F2308" s="112"/>
      <c r="G2308" s="111"/>
      <c r="H2308" s="111"/>
      <c r="J2308" s="111"/>
    </row>
    <row r="2309" spans="1:10" s="3" customFormat="1" x14ac:dyDescent="0.25">
      <c r="A2309" s="112"/>
      <c r="D2309" s="111"/>
      <c r="E2309" s="111"/>
      <c r="F2309" s="112"/>
      <c r="G2309" s="111"/>
      <c r="H2309" s="111"/>
      <c r="J2309" s="111"/>
    </row>
    <row r="2310" spans="1:10" s="3" customFormat="1" x14ac:dyDescent="0.25">
      <c r="A2310" s="112"/>
      <c r="D2310" s="111"/>
      <c r="E2310" s="111"/>
      <c r="F2310" s="112"/>
      <c r="G2310" s="111"/>
      <c r="H2310" s="111"/>
      <c r="J2310" s="111"/>
    </row>
    <row r="2311" spans="1:10" s="3" customFormat="1" x14ac:dyDescent="0.25">
      <c r="A2311" s="112"/>
      <c r="D2311" s="111"/>
      <c r="E2311" s="111"/>
      <c r="F2311" s="112"/>
      <c r="G2311" s="111"/>
      <c r="H2311" s="111"/>
      <c r="J2311" s="111"/>
    </row>
    <row r="2312" spans="1:10" s="3" customFormat="1" x14ac:dyDescent="0.25">
      <c r="A2312" s="112"/>
      <c r="D2312" s="111"/>
      <c r="E2312" s="111"/>
      <c r="F2312" s="112"/>
      <c r="G2312" s="111"/>
      <c r="H2312" s="111"/>
      <c r="J2312" s="111"/>
    </row>
    <row r="2313" spans="1:10" s="3" customFormat="1" x14ac:dyDescent="0.25">
      <c r="A2313" s="112"/>
      <c r="D2313" s="111"/>
      <c r="E2313" s="111"/>
      <c r="F2313" s="112"/>
      <c r="G2313" s="111"/>
      <c r="H2313" s="111"/>
      <c r="J2313" s="111"/>
    </row>
    <row r="2314" spans="1:10" s="3" customFormat="1" x14ac:dyDescent="0.25">
      <c r="A2314" s="112"/>
      <c r="D2314" s="111"/>
      <c r="E2314" s="111"/>
      <c r="F2314" s="112"/>
      <c r="G2314" s="111"/>
      <c r="H2314" s="111"/>
      <c r="J2314" s="111"/>
    </row>
    <row r="2315" spans="1:10" s="3" customFormat="1" x14ac:dyDescent="0.25">
      <c r="A2315" s="112"/>
      <c r="D2315" s="111"/>
      <c r="E2315" s="111"/>
      <c r="F2315" s="112"/>
      <c r="G2315" s="111"/>
      <c r="H2315" s="111"/>
      <c r="J2315" s="111"/>
    </row>
    <row r="2316" spans="1:10" s="3" customFormat="1" x14ac:dyDescent="0.25">
      <c r="A2316" s="112"/>
      <c r="D2316" s="111"/>
      <c r="E2316" s="111"/>
      <c r="F2316" s="112"/>
      <c r="G2316" s="111"/>
      <c r="H2316" s="111"/>
      <c r="J2316" s="111"/>
    </row>
    <row r="2317" spans="1:10" s="3" customFormat="1" x14ac:dyDescent="0.25">
      <c r="A2317" s="112"/>
      <c r="D2317" s="111"/>
      <c r="E2317" s="111"/>
      <c r="F2317" s="112"/>
      <c r="G2317" s="111"/>
      <c r="H2317" s="111"/>
      <c r="J2317" s="111"/>
    </row>
    <row r="2318" spans="1:10" s="3" customFormat="1" x14ac:dyDescent="0.25">
      <c r="A2318" s="112"/>
      <c r="D2318" s="111"/>
      <c r="E2318" s="111"/>
      <c r="F2318" s="112"/>
      <c r="G2318" s="111"/>
      <c r="H2318" s="111"/>
      <c r="J2318" s="111"/>
    </row>
    <row r="2319" spans="1:10" s="3" customFormat="1" x14ac:dyDescent="0.25">
      <c r="A2319" s="112"/>
      <c r="D2319" s="111"/>
      <c r="E2319" s="111"/>
      <c r="F2319" s="112"/>
      <c r="G2319" s="111"/>
      <c r="H2319" s="111"/>
      <c r="J2319" s="111"/>
    </row>
    <row r="2320" spans="1:10" s="3" customFormat="1" x14ac:dyDescent="0.25">
      <c r="A2320" s="112"/>
      <c r="D2320" s="111"/>
      <c r="E2320" s="111"/>
      <c r="F2320" s="112"/>
      <c r="G2320" s="111"/>
      <c r="H2320" s="111"/>
      <c r="J2320" s="111"/>
    </row>
    <row r="2321" spans="1:10" s="3" customFormat="1" x14ac:dyDescent="0.25">
      <c r="A2321" s="112"/>
      <c r="D2321" s="111"/>
      <c r="E2321" s="111"/>
      <c r="F2321" s="112"/>
      <c r="G2321" s="111"/>
      <c r="H2321" s="111"/>
      <c r="J2321" s="111"/>
    </row>
    <row r="2322" spans="1:10" s="3" customFormat="1" x14ac:dyDescent="0.25">
      <c r="A2322" s="112"/>
      <c r="D2322" s="111"/>
      <c r="E2322" s="111"/>
      <c r="F2322" s="112"/>
      <c r="G2322" s="111"/>
      <c r="H2322" s="111"/>
      <c r="J2322" s="111"/>
    </row>
    <row r="2323" spans="1:10" s="3" customFormat="1" x14ac:dyDescent="0.25">
      <c r="A2323" s="112"/>
      <c r="D2323" s="111"/>
      <c r="E2323" s="111"/>
      <c r="F2323" s="112"/>
      <c r="G2323" s="111"/>
      <c r="H2323" s="111"/>
      <c r="J2323" s="111"/>
    </row>
    <row r="2324" spans="1:10" s="3" customFormat="1" x14ac:dyDescent="0.25">
      <c r="A2324" s="112"/>
      <c r="D2324" s="111"/>
      <c r="E2324" s="111"/>
      <c r="F2324" s="112"/>
      <c r="G2324" s="111"/>
      <c r="H2324" s="111"/>
      <c r="J2324" s="111"/>
    </row>
    <row r="2325" spans="1:10" s="3" customFormat="1" x14ac:dyDescent="0.25">
      <c r="A2325" s="112"/>
      <c r="D2325" s="111"/>
      <c r="E2325" s="111"/>
      <c r="F2325" s="112"/>
      <c r="G2325" s="111"/>
      <c r="H2325" s="111"/>
      <c r="J2325" s="111"/>
    </row>
    <row r="2326" spans="1:10" s="3" customFormat="1" x14ac:dyDescent="0.25">
      <c r="A2326" s="112"/>
      <c r="D2326" s="111"/>
      <c r="E2326" s="111"/>
      <c r="F2326" s="112"/>
      <c r="G2326" s="111"/>
      <c r="H2326" s="111"/>
      <c r="J2326" s="111"/>
    </row>
    <row r="2327" spans="1:10" s="3" customFormat="1" x14ac:dyDescent="0.25">
      <c r="A2327" s="112"/>
      <c r="D2327" s="111"/>
      <c r="E2327" s="111"/>
      <c r="F2327" s="112"/>
      <c r="G2327" s="111"/>
      <c r="H2327" s="111"/>
      <c r="J2327" s="111"/>
    </row>
    <row r="2328" spans="1:10" s="3" customFormat="1" x14ac:dyDescent="0.25">
      <c r="A2328" s="112"/>
      <c r="D2328" s="111"/>
      <c r="E2328" s="111"/>
      <c r="F2328" s="112"/>
      <c r="G2328" s="111"/>
      <c r="H2328" s="111"/>
      <c r="J2328" s="111"/>
    </row>
    <row r="2329" spans="1:10" s="3" customFormat="1" x14ac:dyDescent="0.25">
      <c r="A2329" s="112"/>
      <c r="D2329" s="111"/>
      <c r="E2329" s="111"/>
      <c r="F2329" s="112"/>
      <c r="G2329" s="111"/>
      <c r="H2329" s="111"/>
      <c r="J2329" s="111"/>
    </row>
    <row r="2330" spans="1:10" s="3" customFormat="1" x14ac:dyDescent="0.25">
      <c r="A2330" s="112"/>
      <c r="D2330" s="111"/>
      <c r="E2330" s="111"/>
      <c r="F2330" s="112"/>
      <c r="G2330" s="111"/>
      <c r="H2330" s="111"/>
      <c r="J2330" s="111"/>
    </row>
    <row r="2331" spans="1:10" s="3" customFormat="1" x14ac:dyDescent="0.25">
      <c r="A2331" s="112"/>
      <c r="D2331" s="111"/>
      <c r="E2331" s="111"/>
      <c r="F2331" s="112"/>
      <c r="G2331" s="111"/>
      <c r="H2331" s="111"/>
      <c r="J2331" s="111"/>
    </row>
    <row r="2332" spans="1:10" s="3" customFormat="1" x14ac:dyDescent="0.25">
      <c r="A2332" s="112"/>
      <c r="D2332" s="111"/>
      <c r="E2332" s="111"/>
      <c r="F2332" s="112"/>
      <c r="G2332" s="111"/>
      <c r="H2332" s="111"/>
      <c r="J2332" s="111"/>
    </row>
    <row r="2333" spans="1:10" s="3" customFormat="1" x14ac:dyDescent="0.25">
      <c r="A2333" s="112"/>
      <c r="D2333" s="111"/>
      <c r="E2333" s="111"/>
      <c r="F2333" s="112"/>
      <c r="G2333" s="111"/>
      <c r="H2333" s="111"/>
      <c r="J2333" s="111"/>
    </row>
    <row r="2334" spans="1:10" s="3" customFormat="1" x14ac:dyDescent="0.25">
      <c r="A2334" s="112"/>
      <c r="D2334" s="111"/>
      <c r="E2334" s="111"/>
      <c r="F2334" s="112"/>
      <c r="G2334" s="111"/>
      <c r="H2334" s="111"/>
      <c r="J2334" s="111"/>
    </row>
    <row r="2335" spans="1:10" s="3" customFormat="1" x14ac:dyDescent="0.25">
      <c r="A2335" s="112"/>
      <c r="D2335" s="111"/>
      <c r="E2335" s="111"/>
      <c r="F2335" s="112"/>
      <c r="G2335" s="111"/>
      <c r="H2335" s="111"/>
      <c r="J2335" s="111"/>
    </row>
    <row r="2336" spans="1:10" s="3" customFormat="1" x14ac:dyDescent="0.25">
      <c r="A2336" s="112"/>
      <c r="D2336" s="111"/>
      <c r="E2336" s="111"/>
      <c r="F2336" s="112"/>
      <c r="G2336" s="111"/>
      <c r="H2336" s="111"/>
      <c r="J2336" s="111"/>
    </row>
    <row r="2337" spans="1:10" s="3" customFormat="1" x14ac:dyDescent="0.25">
      <c r="A2337" s="112"/>
      <c r="D2337" s="111"/>
      <c r="E2337" s="111"/>
      <c r="F2337" s="112"/>
      <c r="G2337" s="111"/>
      <c r="H2337" s="111"/>
      <c r="J2337" s="111"/>
    </row>
    <row r="2338" spans="1:10" s="3" customFormat="1" x14ac:dyDescent="0.25">
      <c r="A2338" s="112"/>
      <c r="D2338" s="111"/>
      <c r="E2338" s="111"/>
      <c r="F2338" s="112"/>
      <c r="G2338" s="111"/>
      <c r="H2338" s="111"/>
      <c r="J2338" s="111"/>
    </row>
    <row r="2339" spans="1:10" s="3" customFormat="1" x14ac:dyDescent="0.25">
      <c r="A2339" s="112"/>
      <c r="D2339" s="111"/>
      <c r="E2339" s="111"/>
      <c r="F2339" s="112"/>
      <c r="G2339" s="111"/>
      <c r="H2339" s="111"/>
      <c r="J2339" s="111"/>
    </row>
    <row r="2340" spans="1:10" s="3" customFormat="1" x14ac:dyDescent="0.25">
      <c r="A2340" s="112"/>
      <c r="D2340" s="111"/>
      <c r="E2340" s="111"/>
      <c r="F2340" s="112"/>
      <c r="G2340" s="111"/>
      <c r="H2340" s="111"/>
      <c r="J2340" s="111"/>
    </row>
    <row r="2341" spans="1:10" s="3" customFormat="1" x14ac:dyDescent="0.25">
      <c r="A2341" s="112"/>
      <c r="D2341" s="111"/>
      <c r="E2341" s="111"/>
      <c r="F2341" s="112"/>
      <c r="G2341" s="111"/>
      <c r="H2341" s="111"/>
      <c r="J2341" s="111"/>
    </row>
    <row r="2342" spans="1:10" s="3" customFormat="1" x14ac:dyDescent="0.25">
      <c r="A2342" s="112"/>
      <c r="D2342" s="111"/>
      <c r="E2342" s="111"/>
      <c r="F2342" s="112"/>
      <c r="G2342" s="111"/>
      <c r="H2342" s="111"/>
      <c r="J2342" s="111"/>
    </row>
    <row r="2343" spans="1:10" s="3" customFormat="1" x14ac:dyDescent="0.25">
      <c r="A2343" s="112"/>
      <c r="D2343" s="111"/>
      <c r="E2343" s="111"/>
      <c r="F2343" s="112"/>
      <c r="G2343" s="111"/>
      <c r="H2343" s="111"/>
      <c r="J2343" s="111"/>
    </row>
    <row r="2344" spans="1:10" s="3" customFormat="1" x14ac:dyDescent="0.25">
      <c r="A2344" s="112"/>
      <c r="D2344" s="111"/>
      <c r="E2344" s="111"/>
      <c r="F2344" s="112"/>
      <c r="G2344" s="111"/>
      <c r="H2344" s="111"/>
      <c r="J2344" s="111"/>
    </row>
    <row r="2345" spans="1:10" s="3" customFormat="1" x14ac:dyDescent="0.25">
      <c r="A2345" s="112"/>
      <c r="D2345" s="111"/>
      <c r="E2345" s="111"/>
      <c r="F2345" s="112"/>
      <c r="G2345" s="111"/>
      <c r="H2345" s="111"/>
      <c r="J2345" s="111"/>
    </row>
    <row r="2346" spans="1:10" s="3" customFormat="1" x14ac:dyDescent="0.25">
      <c r="A2346" s="112"/>
      <c r="D2346" s="111"/>
      <c r="E2346" s="111"/>
      <c r="F2346" s="112"/>
      <c r="G2346" s="111"/>
      <c r="H2346" s="111"/>
      <c r="J2346" s="111"/>
    </row>
    <row r="2347" spans="1:10" s="3" customFormat="1" x14ac:dyDescent="0.25">
      <c r="A2347" s="112"/>
      <c r="D2347" s="111"/>
      <c r="E2347" s="111"/>
      <c r="F2347" s="112"/>
      <c r="G2347" s="111"/>
      <c r="H2347" s="111"/>
      <c r="J2347" s="111"/>
    </row>
    <row r="2348" spans="1:10" s="3" customFormat="1" x14ac:dyDescent="0.25">
      <c r="A2348" s="112"/>
      <c r="D2348" s="111"/>
      <c r="E2348" s="111"/>
      <c r="F2348" s="112"/>
      <c r="G2348" s="111"/>
      <c r="H2348" s="111"/>
      <c r="J2348" s="111"/>
    </row>
    <row r="2349" spans="1:10" s="3" customFormat="1" x14ac:dyDescent="0.25">
      <c r="A2349" s="112"/>
      <c r="D2349" s="111"/>
      <c r="E2349" s="111"/>
      <c r="F2349" s="112"/>
      <c r="G2349" s="111"/>
      <c r="H2349" s="111"/>
      <c r="J2349" s="111"/>
    </row>
    <row r="2350" spans="1:10" s="3" customFormat="1" x14ac:dyDescent="0.25">
      <c r="A2350" s="112"/>
      <c r="D2350" s="111"/>
      <c r="E2350" s="111"/>
      <c r="F2350" s="112"/>
      <c r="G2350" s="111"/>
      <c r="H2350" s="111"/>
      <c r="J2350" s="111"/>
    </row>
    <row r="2351" spans="1:10" s="3" customFormat="1" x14ac:dyDescent="0.25">
      <c r="A2351" s="112"/>
      <c r="D2351" s="111"/>
      <c r="E2351" s="111"/>
      <c r="F2351" s="112"/>
      <c r="G2351" s="111"/>
      <c r="H2351" s="111"/>
      <c r="J2351" s="111"/>
    </row>
    <row r="2352" spans="1:10" s="3" customFormat="1" x14ac:dyDescent="0.25">
      <c r="A2352" s="112"/>
      <c r="D2352" s="111"/>
      <c r="E2352" s="111"/>
      <c r="F2352" s="112"/>
      <c r="G2352" s="111"/>
      <c r="H2352" s="111"/>
      <c r="J2352" s="111"/>
    </row>
    <row r="2353" spans="1:10" s="3" customFormat="1" x14ac:dyDescent="0.25">
      <c r="A2353" s="112"/>
      <c r="D2353" s="111"/>
      <c r="E2353" s="111"/>
      <c r="F2353" s="112"/>
      <c r="G2353" s="111"/>
      <c r="H2353" s="111"/>
      <c r="J2353" s="111"/>
    </row>
    <row r="2354" spans="1:10" s="3" customFormat="1" x14ac:dyDescent="0.25">
      <c r="A2354" s="112"/>
      <c r="D2354" s="111"/>
      <c r="E2354" s="111"/>
      <c r="F2354" s="112"/>
      <c r="G2354" s="111"/>
      <c r="H2354" s="111"/>
      <c r="J2354" s="111"/>
    </row>
    <row r="2355" spans="1:10" s="3" customFormat="1" x14ac:dyDescent="0.25">
      <c r="A2355" s="112"/>
      <c r="D2355" s="111"/>
      <c r="E2355" s="111"/>
      <c r="F2355" s="112"/>
      <c r="G2355" s="111"/>
      <c r="H2355" s="111"/>
      <c r="J2355" s="111"/>
    </row>
    <row r="2356" spans="1:10" s="3" customFormat="1" x14ac:dyDescent="0.25">
      <c r="A2356" s="112"/>
      <c r="D2356" s="111"/>
      <c r="E2356" s="111"/>
      <c r="F2356" s="112"/>
      <c r="G2356" s="111"/>
      <c r="H2356" s="111"/>
      <c r="J2356" s="111"/>
    </row>
    <row r="2357" spans="1:10" s="3" customFormat="1" x14ac:dyDescent="0.25">
      <c r="A2357" s="112"/>
      <c r="D2357" s="111"/>
      <c r="E2357" s="111"/>
      <c r="F2357" s="112"/>
      <c r="G2357" s="111"/>
      <c r="H2357" s="111"/>
      <c r="J2357" s="111"/>
    </row>
    <row r="2358" spans="1:10" s="3" customFormat="1" x14ac:dyDescent="0.25">
      <c r="A2358" s="112"/>
      <c r="D2358" s="111"/>
      <c r="E2358" s="111"/>
      <c r="F2358" s="112"/>
      <c r="G2358" s="111"/>
      <c r="H2358" s="111"/>
      <c r="J2358" s="111"/>
    </row>
    <row r="2359" spans="1:10" s="3" customFormat="1" x14ac:dyDescent="0.25">
      <c r="A2359" s="112"/>
      <c r="D2359" s="111"/>
      <c r="E2359" s="111"/>
      <c r="F2359" s="112"/>
      <c r="G2359" s="111"/>
      <c r="H2359" s="111"/>
      <c r="J2359" s="111"/>
    </row>
    <row r="2360" spans="1:10" s="3" customFormat="1" x14ac:dyDescent="0.25">
      <c r="A2360" s="112"/>
      <c r="D2360" s="111"/>
      <c r="E2360" s="111"/>
      <c r="F2360" s="112"/>
      <c r="G2360" s="111"/>
      <c r="H2360" s="111"/>
      <c r="J2360" s="111"/>
    </row>
    <row r="2361" spans="1:10" s="3" customFormat="1" x14ac:dyDescent="0.25">
      <c r="A2361" s="112"/>
      <c r="D2361" s="111"/>
      <c r="E2361" s="111"/>
      <c r="F2361" s="112"/>
      <c r="G2361" s="111"/>
      <c r="H2361" s="111"/>
      <c r="J2361" s="111"/>
    </row>
    <row r="2362" spans="1:10" s="3" customFormat="1" x14ac:dyDescent="0.25">
      <c r="A2362" s="112"/>
      <c r="D2362" s="111"/>
      <c r="E2362" s="111"/>
      <c r="F2362" s="112"/>
      <c r="G2362" s="111"/>
      <c r="H2362" s="111"/>
      <c r="J2362" s="111"/>
    </row>
    <row r="2363" spans="1:10" s="3" customFormat="1" x14ac:dyDescent="0.25">
      <c r="A2363" s="112"/>
      <c r="D2363" s="111"/>
      <c r="E2363" s="111"/>
      <c r="F2363" s="112"/>
      <c r="G2363" s="111"/>
      <c r="H2363" s="111"/>
      <c r="J2363" s="111"/>
    </row>
    <row r="2364" spans="1:10" s="3" customFormat="1" x14ac:dyDescent="0.25">
      <c r="A2364" s="112"/>
      <c r="D2364" s="111"/>
      <c r="E2364" s="111"/>
      <c r="F2364" s="112"/>
      <c r="G2364" s="111"/>
      <c r="H2364" s="111"/>
      <c r="J2364" s="111"/>
    </row>
    <row r="2365" spans="1:10" s="3" customFormat="1" x14ac:dyDescent="0.25">
      <c r="A2365" s="112"/>
      <c r="D2365" s="111"/>
      <c r="E2365" s="111"/>
      <c r="F2365" s="112"/>
      <c r="G2365" s="111"/>
      <c r="H2365" s="111"/>
      <c r="J2365" s="111"/>
    </row>
    <row r="2366" spans="1:10" s="3" customFormat="1" x14ac:dyDescent="0.25">
      <c r="A2366" s="112"/>
      <c r="D2366" s="111"/>
      <c r="E2366" s="111"/>
      <c r="F2366" s="112"/>
      <c r="G2366" s="111"/>
      <c r="H2366" s="111"/>
      <c r="J2366" s="111"/>
    </row>
    <row r="2367" spans="1:10" s="3" customFormat="1" x14ac:dyDescent="0.25">
      <c r="A2367" s="112"/>
      <c r="D2367" s="111"/>
      <c r="E2367" s="111"/>
      <c r="F2367" s="112"/>
      <c r="G2367" s="111"/>
      <c r="H2367" s="111"/>
      <c r="J2367" s="111"/>
    </row>
    <row r="2368" spans="1:10" s="3" customFormat="1" x14ac:dyDescent="0.25">
      <c r="A2368" s="112"/>
      <c r="D2368" s="111"/>
      <c r="E2368" s="111"/>
      <c r="F2368" s="112"/>
      <c r="G2368" s="111"/>
      <c r="H2368" s="111"/>
      <c r="J2368" s="111"/>
    </row>
    <row r="2369" spans="1:10" s="3" customFormat="1" x14ac:dyDescent="0.25">
      <c r="A2369" s="112"/>
      <c r="D2369" s="111"/>
      <c r="E2369" s="111"/>
      <c r="F2369" s="112"/>
      <c r="G2369" s="111"/>
      <c r="H2369" s="111"/>
      <c r="J2369" s="111"/>
    </row>
    <row r="2370" spans="1:10" s="3" customFormat="1" x14ac:dyDescent="0.25">
      <c r="A2370" s="112"/>
      <c r="D2370" s="111"/>
      <c r="E2370" s="111"/>
      <c r="F2370" s="112"/>
      <c r="G2370" s="111"/>
      <c r="H2370" s="111"/>
      <c r="J2370" s="111"/>
    </row>
    <row r="2371" spans="1:10" s="3" customFormat="1" x14ac:dyDescent="0.25">
      <c r="A2371" s="112"/>
      <c r="D2371" s="111"/>
      <c r="E2371" s="111"/>
      <c r="F2371" s="112"/>
      <c r="G2371" s="111"/>
      <c r="H2371" s="111"/>
      <c r="J2371" s="111"/>
    </row>
    <row r="2372" spans="1:10" s="3" customFormat="1" x14ac:dyDescent="0.25">
      <c r="A2372" s="112"/>
      <c r="D2372" s="111"/>
      <c r="E2372" s="111"/>
      <c r="F2372" s="112"/>
      <c r="G2372" s="111"/>
      <c r="H2372" s="111"/>
      <c r="J2372" s="111"/>
    </row>
    <row r="2373" spans="1:10" s="3" customFormat="1" x14ac:dyDescent="0.25">
      <c r="A2373" s="112"/>
      <c r="D2373" s="111"/>
      <c r="E2373" s="111"/>
      <c r="F2373" s="112"/>
      <c r="G2373" s="111"/>
      <c r="H2373" s="111"/>
      <c r="J2373" s="111"/>
    </row>
    <row r="2374" spans="1:10" s="3" customFormat="1" x14ac:dyDescent="0.25">
      <c r="A2374" s="112"/>
      <c r="D2374" s="111"/>
      <c r="E2374" s="111"/>
      <c r="F2374" s="112"/>
      <c r="G2374" s="111"/>
      <c r="H2374" s="111"/>
      <c r="J2374" s="111"/>
    </row>
    <row r="2375" spans="1:10" s="3" customFormat="1" x14ac:dyDescent="0.25">
      <c r="A2375" s="112"/>
      <c r="D2375" s="111"/>
      <c r="E2375" s="111"/>
      <c r="F2375" s="112"/>
      <c r="G2375" s="111"/>
      <c r="H2375" s="111"/>
      <c r="J2375" s="111"/>
    </row>
    <row r="2376" spans="1:10" s="3" customFormat="1" x14ac:dyDescent="0.25">
      <c r="A2376" s="112"/>
      <c r="D2376" s="111"/>
      <c r="E2376" s="111"/>
      <c r="F2376" s="112"/>
      <c r="G2376" s="111"/>
      <c r="H2376" s="111"/>
      <c r="J2376" s="111"/>
    </row>
    <row r="2377" spans="1:10" s="3" customFormat="1" x14ac:dyDescent="0.25">
      <c r="A2377" s="112"/>
      <c r="D2377" s="111"/>
      <c r="E2377" s="111"/>
      <c r="F2377" s="112"/>
      <c r="G2377" s="111"/>
      <c r="H2377" s="111"/>
      <c r="J2377" s="111"/>
    </row>
    <row r="2378" spans="1:10" s="3" customFormat="1" x14ac:dyDescent="0.25">
      <c r="A2378" s="112"/>
      <c r="D2378" s="111"/>
      <c r="E2378" s="111"/>
      <c r="F2378" s="112"/>
      <c r="G2378" s="111"/>
      <c r="H2378" s="111"/>
      <c r="J2378" s="111"/>
    </row>
    <row r="2379" spans="1:10" s="3" customFormat="1" x14ac:dyDescent="0.25">
      <c r="A2379" s="112"/>
      <c r="D2379" s="111"/>
      <c r="E2379" s="111"/>
      <c r="F2379" s="112"/>
      <c r="G2379" s="111"/>
      <c r="H2379" s="111"/>
      <c r="J2379" s="111"/>
    </row>
    <row r="2380" spans="1:10" s="3" customFormat="1" x14ac:dyDescent="0.25">
      <c r="A2380" s="112"/>
      <c r="D2380" s="111"/>
      <c r="E2380" s="111"/>
      <c r="F2380" s="112"/>
      <c r="G2380" s="111"/>
      <c r="H2380" s="111"/>
      <c r="J2380" s="111"/>
    </row>
    <row r="2381" spans="1:10" s="3" customFormat="1" x14ac:dyDescent="0.25">
      <c r="A2381" s="112"/>
      <c r="D2381" s="111"/>
      <c r="E2381" s="111"/>
      <c r="F2381" s="112"/>
      <c r="G2381" s="111"/>
      <c r="H2381" s="111"/>
      <c r="J2381" s="111"/>
    </row>
    <row r="2382" spans="1:10" s="3" customFormat="1" x14ac:dyDescent="0.25">
      <c r="A2382" s="112"/>
      <c r="D2382" s="111"/>
      <c r="E2382" s="111"/>
      <c r="F2382" s="112"/>
      <c r="G2382" s="111"/>
      <c r="H2382" s="111"/>
      <c r="J2382" s="111"/>
    </row>
    <row r="2383" spans="1:10" s="3" customFormat="1" x14ac:dyDescent="0.25">
      <c r="A2383" s="112"/>
      <c r="D2383" s="111"/>
      <c r="E2383" s="111"/>
      <c r="F2383" s="112"/>
      <c r="G2383" s="111"/>
      <c r="H2383" s="111"/>
      <c r="J2383" s="111"/>
    </row>
    <row r="2384" spans="1:10" s="3" customFormat="1" x14ac:dyDescent="0.25">
      <c r="A2384" s="112"/>
      <c r="D2384" s="111"/>
      <c r="E2384" s="111"/>
      <c r="F2384" s="112"/>
      <c r="G2384" s="111"/>
      <c r="H2384" s="111"/>
      <c r="J2384" s="111"/>
    </row>
    <row r="2385" spans="1:10" s="3" customFormat="1" x14ac:dyDescent="0.25">
      <c r="A2385" s="112"/>
      <c r="D2385" s="111"/>
      <c r="E2385" s="111"/>
      <c r="F2385" s="112"/>
      <c r="G2385" s="111"/>
      <c r="H2385" s="111"/>
      <c r="J2385" s="111"/>
    </row>
    <row r="2386" spans="1:10" s="3" customFormat="1" x14ac:dyDescent="0.25">
      <c r="A2386" s="112"/>
      <c r="D2386" s="111"/>
      <c r="E2386" s="111"/>
      <c r="F2386" s="112"/>
      <c r="G2386" s="111"/>
      <c r="H2386" s="111"/>
      <c r="J2386" s="111"/>
    </row>
    <row r="2387" spans="1:10" s="3" customFormat="1" x14ac:dyDescent="0.25">
      <c r="A2387" s="112"/>
      <c r="D2387" s="111"/>
      <c r="E2387" s="111"/>
      <c r="F2387" s="112"/>
      <c r="G2387" s="111"/>
      <c r="H2387" s="111"/>
      <c r="J2387" s="111"/>
    </row>
    <row r="2388" spans="1:10" s="3" customFormat="1" x14ac:dyDescent="0.25">
      <c r="A2388" s="112"/>
      <c r="D2388" s="111"/>
      <c r="E2388" s="111"/>
      <c r="F2388" s="112"/>
      <c r="G2388" s="111"/>
      <c r="H2388" s="111"/>
      <c r="J2388" s="111"/>
    </row>
    <row r="2389" spans="1:10" s="3" customFormat="1" x14ac:dyDescent="0.25">
      <c r="A2389" s="112"/>
      <c r="D2389" s="111"/>
      <c r="E2389" s="111"/>
      <c r="F2389" s="112"/>
      <c r="G2389" s="111"/>
      <c r="H2389" s="111"/>
      <c r="J2389" s="111"/>
    </row>
    <row r="2390" spans="1:10" s="3" customFormat="1" x14ac:dyDescent="0.25">
      <c r="A2390" s="112"/>
      <c r="D2390" s="111"/>
      <c r="E2390" s="111"/>
      <c r="F2390" s="112"/>
      <c r="G2390" s="111"/>
      <c r="H2390" s="111"/>
      <c r="J2390" s="111"/>
    </row>
    <row r="2391" spans="1:10" s="3" customFormat="1" x14ac:dyDescent="0.25">
      <c r="A2391" s="112"/>
      <c r="D2391" s="111"/>
      <c r="E2391" s="111"/>
      <c r="F2391" s="112"/>
      <c r="G2391" s="111"/>
      <c r="H2391" s="111"/>
      <c r="J2391" s="111"/>
    </row>
    <row r="2392" spans="1:10" s="3" customFormat="1" x14ac:dyDescent="0.25">
      <c r="A2392" s="112"/>
      <c r="D2392" s="111"/>
      <c r="E2392" s="111"/>
      <c r="F2392" s="112"/>
      <c r="G2392" s="111"/>
      <c r="H2392" s="111"/>
      <c r="J2392" s="111"/>
    </row>
    <row r="2393" spans="1:10" s="3" customFormat="1" x14ac:dyDescent="0.25">
      <c r="A2393" s="112"/>
      <c r="D2393" s="111"/>
      <c r="E2393" s="111"/>
      <c r="F2393" s="112"/>
      <c r="G2393" s="111"/>
      <c r="H2393" s="111"/>
      <c r="J2393" s="111"/>
    </row>
    <row r="2394" spans="1:10" s="3" customFormat="1" x14ac:dyDescent="0.25">
      <c r="A2394" s="112"/>
      <c r="D2394" s="111"/>
      <c r="E2394" s="111"/>
      <c r="F2394" s="112"/>
      <c r="G2394" s="111"/>
      <c r="H2394" s="111"/>
      <c r="J2394" s="111"/>
    </row>
    <row r="2395" spans="1:10" s="3" customFormat="1" x14ac:dyDescent="0.25">
      <c r="A2395" s="112"/>
      <c r="D2395" s="111"/>
      <c r="E2395" s="111"/>
      <c r="F2395" s="112"/>
      <c r="G2395" s="111"/>
      <c r="H2395" s="111"/>
      <c r="J2395" s="111"/>
    </row>
    <row r="2396" spans="1:10" s="3" customFormat="1" x14ac:dyDescent="0.25">
      <c r="A2396" s="112"/>
      <c r="D2396" s="111"/>
      <c r="E2396" s="111"/>
      <c r="F2396" s="112"/>
      <c r="G2396" s="111"/>
      <c r="H2396" s="111"/>
      <c r="J2396" s="111"/>
    </row>
    <row r="2397" spans="1:10" s="3" customFormat="1" x14ac:dyDescent="0.25">
      <c r="A2397" s="112"/>
      <c r="D2397" s="111"/>
      <c r="E2397" s="111"/>
      <c r="F2397" s="112"/>
      <c r="G2397" s="111"/>
      <c r="H2397" s="111"/>
      <c r="J2397" s="111"/>
    </row>
    <row r="2398" spans="1:10" s="3" customFormat="1" x14ac:dyDescent="0.25">
      <c r="A2398" s="112"/>
      <c r="D2398" s="111"/>
      <c r="E2398" s="111"/>
      <c r="F2398" s="112"/>
      <c r="G2398" s="111"/>
      <c r="H2398" s="111"/>
      <c r="J2398" s="111"/>
    </row>
    <row r="2399" spans="1:10" s="3" customFormat="1" x14ac:dyDescent="0.25">
      <c r="A2399" s="112"/>
      <c r="D2399" s="111"/>
      <c r="E2399" s="111"/>
      <c r="F2399" s="112"/>
      <c r="G2399" s="111"/>
      <c r="H2399" s="111"/>
      <c r="J2399" s="111"/>
    </row>
    <row r="2400" spans="1:10" s="3" customFormat="1" x14ac:dyDescent="0.25">
      <c r="A2400" s="112"/>
      <c r="D2400" s="111"/>
      <c r="E2400" s="111"/>
      <c r="F2400" s="112"/>
      <c r="G2400" s="111"/>
      <c r="H2400" s="111"/>
      <c r="J2400" s="111"/>
    </row>
    <row r="2401" spans="1:10" s="3" customFormat="1" x14ac:dyDescent="0.25">
      <c r="A2401" s="112"/>
      <c r="D2401" s="111"/>
      <c r="E2401" s="111"/>
      <c r="F2401" s="112"/>
      <c r="G2401" s="111"/>
      <c r="H2401" s="111"/>
      <c r="J2401" s="111"/>
    </row>
    <row r="2402" spans="1:10" s="3" customFormat="1" x14ac:dyDescent="0.25">
      <c r="A2402" s="112"/>
      <c r="D2402" s="111"/>
      <c r="E2402" s="111"/>
      <c r="F2402" s="112"/>
      <c r="G2402" s="111"/>
      <c r="H2402" s="111"/>
      <c r="J2402" s="111"/>
    </row>
    <row r="2403" spans="1:10" s="3" customFormat="1" x14ac:dyDescent="0.25">
      <c r="A2403" s="112"/>
      <c r="D2403" s="111"/>
      <c r="E2403" s="111"/>
      <c r="F2403" s="112"/>
      <c r="G2403" s="111"/>
      <c r="H2403" s="111"/>
      <c r="J2403" s="111"/>
    </row>
    <row r="2404" spans="1:10" s="3" customFormat="1" x14ac:dyDescent="0.25">
      <c r="A2404" s="112"/>
      <c r="D2404" s="111"/>
      <c r="E2404" s="111"/>
      <c r="F2404" s="112"/>
      <c r="G2404" s="111"/>
      <c r="H2404" s="111"/>
      <c r="J2404" s="111"/>
    </row>
    <row r="2405" spans="1:10" s="3" customFormat="1" x14ac:dyDescent="0.25">
      <c r="A2405" s="112"/>
      <c r="D2405" s="111"/>
      <c r="E2405" s="111"/>
      <c r="F2405" s="112"/>
      <c r="G2405" s="111"/>
      <c r="H2405" s="111"/>
      <c r="J2405" s="111"/>
    </row>
    <row r="2406" spans="1:10" s="3" customFormat="1" x14ac:dyDescent="0.25">
      <c r="A2406" s="112"/>
      <c r="D2406" s="111"/>
      <c r="E2406" s="111"/>
      <c r="F2406" s="112"/>
      <c r="G2406" s="111"/>
      <c r="H2406" s="111"/>
      <c r="J2406" s="111"/>
    </row>
    <row r="2407" spans="1:10" s="3" customFormat="1" x14ac:dyDescent="0.25">
      <c r="A2407" s="112"/>
      <c r="D2407" s="111"/>
      <c r="E2407" s="111"/>
      <c r="F2407" s="112"/>
      <c r="G2407" s="111"/>
      <c r="H2407" s="111"/>
      <c r="J2407" s="111"/>
    </row>
    <row r="2408" spans="1:10" s="3" customFormat="1" x14ac:dyDescent="0.25">
      <c r="A2408" s="112"/>
      <c r="D2408" s="111"/>
      <c r="E2408" s="111"/>
      <c r="F2408" s="112"/>
      <c r="G2408" s="111"/>
      <c r="H2408" s="111"/>
      <c r="J2408" s="111"/>
    </row>
    <row r="2409" spans="1:10" s="3" customFormat="1" x14ac:dyDescent="0.25">
      <c r="A2409" s="112"/>
      <c r="D2409" s="111"/>
      <c r="E2409" s="111"/>
      <c r="F2409" s="112"/>
      <c r="G2409" s="111"/>
      <c r="H2409" s="111"/>
      <c r="J2409" s="111"/>
    </row>
    <row r="2410" spans="1:10" s="3" customFormat="1" x14ac:dyDescent="0.25">
      <c r="A2410" s="112"/>
      <c r="D2410" s="111"/>
      <c r="E2410" s="111"/>
      <c r="F2410" s="112"/>
      <c r="G2410" s="111"/>
      <c r="H2410" s="111"/>
      <c r="J2410" s="111"/>
    </row>
    <row r="2411" spans="1:10" s="3" customFormat="1" x14ac:dyDescent="0.25">
      <c r="A2411" s="112"/>
      <c r="D2411" s="111"/>
      <c r="E2411" s="111"/>
      <c r="F2411" s="112"/>
      <c r="G2411" s="111"/>
      <c r="H2411" s="111"/>
      <c r="J2411" s="111"/>
    </row>
    <row r="2412" spans="1:10" s="3" customFormat="1" x14ac:dyDescent="0.25">
      <c r="A2412" s="112"/>
      <c r="D2412" s="111"/>
      <c r="E2412" s="111"/>
      <c r="F2412" s="112"/>
      <c r="G2412" s="111"/>
      <c r="H2412" s="111"/>
      <c r="J2412" s="111"/>
    </row>
    <row r="2413" spans="1:10" s="3" customFormat="1" x14ac:dyDescent="0.25">
      <c r="A2413" s="112"/>
      <c r="D2413" s="111"/>
      <c r="E2413" s="111"/>
      <c r="F2413" s="112"/>
      <c r="G2413" s="111"/>
      <c r="H2413" s="111"/>
      <c r="J2413" s="111"/>
    </row>
    <row r="2414" spans="1:10" s="3" customFormat="1" x14ac:dyDescent="0.25">
      <c r="A2414" s="112"/>
      <c r="D2414" s="111"/>
      <c r="E2414" s="111"/>
      <c r="F2414" s="112"/>
      <c r="G2414" s="111"/>
      <c r="H2414" s="111"/>
      <c r="J2414" s="111"/>
    </row>
    <row r="2415" spans="1:10" s="3" customFormat="1" x14ac:dyDescent="0.25">
      <c r="A2415" s="112"/>
      <c r="D2415" s="111"/>
      <c r="E2415" s="111"/>
      <c r="F2415" s="112"/>
      <c r="G2415" s="111"/>
      <c r="H2415" s="111"/>
      <c r="J2415" s="111"/>
    </row>
    <row r="2416" spans="1:10" s="3" customFormat="1" x14ac:dyDescent="0.25">
      <c r="A2416" s="112"/>
      <c r="D2416" s="111"/>
      <c r="E2416" s="111"/>
      <c r="F2416" s="112"/>
      <c r="G2416" s="111"/>
      <c r="H2416" s="111"/>
      <c r="J2416" s="111"/>
    </row>
    <row r="2417" spans="1:10" s="3" customFormat="1" x14ac:dyDescent="0.25">
      <c r="A2417" s="112"/>
      <c r="D2417" s="111"/>
      <c r="E2417" s="111"/>
      <c r="F2417" s="112"/>
      <c r="G2417" s="111"/>
      <c r="H2417" s="111"/>
      <c r="J2417" s="111"/>
    </row>
    <row r="2418" spans="1:10" s="3" customFormat="1" x14ac:dyDescent="0.25">
      <c r="A2418" s="112"/>
      <c r="D2418" s="111"/>
      <c r="E2418" s="111"/>
      <c r="F2418" s="112"/>
      <c r="G2418" s="111"/>
      <c r="H2418" s="111"/>
      <c r="J2418" s="111"/>
    </row>
    <row r="2419" spans="1:10" s="3" customFormat="1" x14ac:dyDescent="0.25">
      <c r="A2419" s="112"/>
      <c r="D2419" s="111"/>
      <c r="E2419" s="111"/>
      <c r="F2419" s="112"/>
      <c r="G2419" s="111"/>
      <c r="H2419" s="111"/>
      <c r="J2419" s="111"/>
    </row>
    <row r="2420" spans="1:10" s="3" customFormat="1" x14ac:dyDescent="0.25">
      <c r="A2420" s="112"/>
      <c r="D2420" s="111"/>
      <c r="E2420" s="111"/>
      <c r="F2420" s="112"/>
      <c r="G2420" s="111"/>
      <c r="H2420" s="111"/>
      <c r="J2420" s="111"/>
    </row>
    <row r="2421" spans="1:10" s="3" customFormat="1" x14ac:dyDescent="0.25">
      <c r="A2421" s="112"/>
      <c r="D2421" s="111"/>
      <c r="E2421" s="111"/>
      <c r="F2421" s="112"/>
      <c r="G2421" s="111"/>
      <c r="H2421" s="111"/>
      <c r="J2421" s="111"/>
    </row>
    <row r="2422" spans="1:10" s="3" customFormat="1" x14ac:dyDescent="0.25">
      <c r="A2422" s="112"/>
      <c r="D2422" s="111"/>
      <c r="E2422" s="111"/>
      <c r="F2422" s="112"/>
      <c r="G2422" s="111"/>
      <c r="H2422" s="111"/>
      <c r="J2422" s="111"/>
    </row>
    <row r="2423" spans="1:10" s="3" customFormat="1" x14ac:dyDescent="0.25">
      <c r="A2423" s="112"/>
      <c r="D2423" s="111"/>
      <c r="E2423" s="111"/>
      <c r="F2423" s="112"/>
      <c r="G2423" s="111"/>
      <c r="H2423" s="111"/>
      <c r="J2423" s="111"/>
    </row>
    <row r="2424" spans="1:10" s="3" customFormat="1" x14ac:dyDescent="0.25">
      <c r="A2424" s="112"/>
      <c r="D2424" s="111"/>
      <c r="E2424" s="111"/>
      <c r="F2424" s="112"/>
      <c r="G2424" s="111"/>
      <c r="H2424" s="111"/>
      <c r="J2424" s="111"/>
    </row>
    <row r="2425" spans="1:10" s="3" customFormat="1" x14ac:dyDescent="0.25">
      <c r="A2425" s="112"/>
      <c r="D2425" s="111"/>
      <c r="E2425" s="111"/>
      <c r="F2425" s="112"/>
      <c r="G2425" s="111"/>
      <c r="H2425" s="111"/>
      <c r="J2425" s="111"/>
    </row>
    <row r="2426" spans="1:10" s="3" customFormat="1" x14ac:dyDescent="0.25">
      <c r="A2426" s="112"/>
      <c r="D2426" s="111"/>
      <c r="E2426" s="111"/>
      <c r="F2426" s="112"/>
      <c r="G2426" s="111"/>
      <c r="H2426" s="111"/>
      <c r="J2426" s="111"/>
    </row>
    <row r="2427" spans="1:10" s="3" customFormat="1" x14ac:dyDescent="0.25">
      <c r="A2427" s="112"/>
      <c r="D2427" s="111"/>
      <c r="E2427" s="111"/>
      <c r="F2427" s="112"/>
      <c r="G2427" s="111"/>
      <c r="H2427" s="111"/>
      <c r="J2427" s="111"/>
    </row>
    <row r="2428" spans="1:10" s="3" customFormat="1" x14ac:dyDescent="0.25">
      <c r="A2428" s="112"/>
      <c r="D2428" s="111"/>
      <c r="E2428" s="111"/>
      <c r="F2428" s="112"/>
      <c r="G2428" s="111"/>
      <c r="H2428" s="111"/>
      <c r="J2428" s="111"/>
    </row>
    <row r="2429" spans="1:10" s="3" customFormat="1" x14ac:dyDescent="0.25">
      <c r="A2429" s="112"/>
      <c r="D2429" s="111"/>
      <c r="E2429" s="111"/>
      <c r="F2429" s="112"/>
      <c r="G2429" s="111"/>
      <c r="H2429" s="111"/>
      <c r="J2429" s="111"/>
    </row>
    <row r="2430" spans="1:10" s="3" customFormat="1" x14ac:dyDescent="0.25">
      <c r="A2430" s="112"/>
      <c r="D2430" s="111"/>
      <c r="E2430" s="111"/>
      <c r="F2430" s="112"/>
      <c r="G2430" s="111"/>
      <c r="H2430" s="111"/>
      <c r="J2430" s="111"/>
    </row>
    <row r="2431" spans="1:10" s="3" customFormat="1" x14ac:dyDescent="0.25">
      <c r="A2431" s="112"/>
      <c r="D2431" s="111"/>
      <c r="E2431" s="111"/>
      <c r="F2431" s="112"/>
      <c r="G2431" s="111"/>
      <c r="H2431" s="111"/>
      <c r="J2431" s="111"/>
    </row>
    <row r="2432" spans="1:10" s="3" customFormat="1" x14ac:dyDescent="0.25">
      <c r="A2432" s="112"/>
      <c r="D2432" s="111"/>
      <c r="E2432" s="111"/>
      <c r="F2432" s="112"/>
      <c r="G2432" s="111"/>
      <c r="H2432" s="111"/>
      <c r="J2432" s="111"/>
    </row>
    <row r="2433" spans="1:10" s="3" customFormat="1" x14ac:dyDescent="0.25">
      <c r="A2433" s="112"/>
      <c r="D2433" s="111"/>
      <c r="E2433" s="111"/>
      <c r="F2433" s="112"/>
      <c r="G2433" s="111"/>
      <c r="H2433" s="111"/>
      <c r="J2433" s="111"/>
    </row>
    <row r="2434" spans="1:10" s="3" customFormat="1" x14ac:dyDescent="0.25">
      <c r="A2434" s="112"/>
      <c r="D2434" s="111"/>
      <c r="E2434" s="111"/>
      <c r="F2434" s="112"/>
      <c r="G2434" s="111"/>
      <c r="H2434" s="111"/>
      <c r="J2434" s="111"/>
    </row>
    <row r="2435" spans="1:10" s="3" customFormat="1" x14ac:dyDescent="0.25">
      <c r="A2435" s="112"/>
      <c r="D2435" s="111"/>
      <c r="E2435" s="111"/>
      <c r="F2435" s="112"/>
      <c r="G2435" s="111"/>
      <c r="H2435" s="111"/>
      <c r="J2435" s="111"/>
    </row>
    <row r="2436" spans="1:10" s="3" customFormat="1" x14ac:dyDescent="0.25">
      <c r="A2436" s="112"/>
      <c r="D2436" s="111"/>
      <c r="E2436" s="111"/>
      <c r="F2436" s="112"/>
      <c r="G2436" s="111"/>
      <c r="H2436" s="111"/>
      <c r="J2436" s="111"/>
    </row>
    <row r="2437" spans="1:10" s="3" customFormat="1" x14ac:dyDescent="0.25">
      <c r="A2437" s="112"/>
      <c r="D2437" s="111"/>
      <c r="E2437" s="111"/>
      <c r="F2437" s="112"/>
      <c r="G2437" s="111"/>
      <c r="H2437" s="111"/>
      <c r="J2437" s="111"/>
    </row>
    <row r="2438" spans="1:10" s="3" customFormat="1" x14ac:dyDescent="0.25">
      <c r="A2438" s="112"/>
      <c r="D2438" s="111"/>
      <c r="E2438" s="111"/>
      <c r="F2438" s="112"/>
      <c r="G2438" s="111"/>
      <c r="H2438" s="111"/>
      <c r="J2438" s="111"/>
    </row>
    <row r="2439" spans="1:10" s="3" customFormat="1" x14ac:dyDescent="0.25">
      <c r="A2439" s="112"/>
      <c r="D2439" s="111"/>
      <c r="E2439" s="111"/>
      <c r="F2439" s="112"/>
      <c r="G2439" s="111"/>
      <c r="H2439" s="111"/>
      <c r="J2439" s="111"/>
    </row>
    <row r="2440" spans="1:10" s="3" customFormat="1" x14ac:dyDescent="0.25">
      <c r="A2440" s="112"/>
      <c r="D2440" s="111"/>
      <c r="E2440" s="111"/>
      <c r="F2440" s="112"/>
      <c r="G2440" s="111"/>
      <c r="H2440" s="111"/>
      <c r="J2440" s="111"/>
    </row>
    <row r="2441" spans="1:10" s="3" customFormat="1" x14ac:dyDescent="0.25">
      <c r="A2441" s="112"/>
      <c r="D2441" s="111"/>
      <c r="E2441" s="111"/>
      <c r="F2441" s="112"/>
      <c r="G2441" s="111"/>
      <c r="H2441" s="111"/>
      <c r="J2441" s="111"/>
    </row>
    <row r="2442" spans="1:10" s="3" customFormat="1" x14ac:dyDescent="0.25">
      <c r="A2442" s="112"/>
      <c r="D2442" s="111"/>
      <c r="E2442" s="111"/>
      <c r="F2442" s="112"/>
      <c r="G2442" s="111"/>
      <c r="H2442" s="111"/>
      <c r="J2442" s="111"/>
    </row>
    <row r="2443" spans="1:10" s="3" customFormat="1" x14ac:dyDescent="0.25">
      <c r="A2443" s="112"/>
      <c r="D2443" s="111"/>
      <c r="E2443" s="111"/>
      <c r="F2443" s="112"/>
      <c r="G2443" s="111"/>
      <c r="H2443" s="111"/>
      <c r="J2443" s="111"/>
    </row>
    <row r="2444" spans="1:10" s="3" customFormat="1" x14ac:dyDescent="0.25">
      <c r="A2444" s="112"/>
      <c r="D2444" s="111"/>
      <c r="E2444" s="111"/>
      <c r="F2444" s="112"/>
      <c r="G2444" s="111"/>
      <c r="H2444" s="111"/>
      <c r="J2444" s="111"/>
    </row>
    <row r="2445" spans="1:10" s="3" customFormat="1" x14ac:dyDescent="0.25">
      <c r="A2445" s="112"/>
      <c r="D2445" s="111"/>
      <c r="E2445" s="111"/>
      <c r="F2445" s="112"/>
      <c r="G2445" s="111"/>
      <c r="H2445" s="111"/>
      <c r="J2445" s="111"/>
    </row>
    <row r="2446" spans="1:10" s="3" customFormat="1" x14ac:dyDescent="0.25">
      <c r="A2446" s="112"/>
      <c r="D2446" s="111"/>
      <c r="E2446" s="111"/>
      <c r="F2446" s="112"/>
      <c r="G2446" s="111"/>
      <c r="H2446" s="111"/>
      <c r="J2446" s="111"/>
    </row>
    <row r="2447" spans="1:10" s="3" customFormat="1" x14ac:dyDescent="0.25">
      <c r="A2447" s="112"/>
      <c r="D2447" s="111"/>
      <c r="E2447" s="111"/>
      <c r="F2447" s="112"/>
      <c r="G2447" s="111"/>
      <c r="H2447" s="111"/>
      <c r="J2447" s="111"/>
    </row>
    <row r="2448" spans="1:10" s="3" customFormat="1" x14ac:dyDescent="0.25">
      <c r="A2448" s="112"/>
      <c r="D2448" s="111"/>
      <c r="E2448" s="111"/>
      <c r="F2448" s="112"/>
      <c r="G2448" s="111"/>
      <c r="H2448" s="111"/>
      <c r="J2448" s="111"/>
    </row>
    <row r="2449" spans="1:10" s="3" customFormat="1" x14ac:dyDescent="0.25">
      <c r="A2449" s="112"/>
      <c r="D2449" s="111"/>
      <c r="E2449" s="111"/>
      <c r="F2449" s="112"/>
      <c r="G2449" s="111"/>
      <c r="H2449" s="111"/>
      <c r="J2449" s="111"/>
    </row>
    <row r="2450" spans="1:10" s="3" customFormat="1" x14ac:dyDescent="0.25">
      <c r="A2450" s="112"/>
      <c r="D2450" s="111"/>
      <c r="E2450" s="111"/>
      <c r="F2450" s="112"/>
      <c r="G2450" s="111"/>
      <c r="H2450" s="111"/>
      <c r="J2450" s="111"/>
    </row>
    <row r="2451" spans="1:10" s="3" customFormat="1" x14ac:dyDescent="0.25">
      <c r="A2451" s="112"/>
      <c r="D2451" s="111"/>
      <c r="E2451" s="111"/>
      <c r="F2451" s="112"/>
      <c r="G2451" s="111"/>
      <c r="H2451" s="111"/>
      <c r="J2451" s="111"/>
    </row>
    <row r="2452" spans="1:10" s="3" customFormat="1" x14ac:dyDescent="0.25">
      <c r="A2452" s="112"/>
      <c r="D2452" s="111"/>
      <c r="E2452" s="111"/>
      <c r="F2452" s="112"/>
      <c r="G2452" s="111"/>
      <c r="H2452" s="111"/>
      <c r="J2452" s="111"/>
    </row>
    <row r="2453" spans="1:10" s="3" customFormat="1" x14ac:dyDescent="0.25">
      <c r="A2453" s="112"/>
      <c r="D2453" s="111"/>
      <c r="E2453" s="111"/>
      <c r="F2453" s="112"/>
      <c r="G2453" s="111"/>
      <c r="H2453" s="111"/>
      <c r="J2453" s="111"/>
    </row>
    <row r="2454" spans="1:10" s="3" customFormat="1" x14ac:dyDescent="0.25">
      <c r="A2454" s="112"/>
      <c r="D2454" s="111"/>
      <c r="E2454" s="111"/>
      <c r="F2454" s="112"/>
      <c r="G2454" s="111"/>
      <c r="H2454" s="111"/>
      <c r="J2454" s="111"/>
    </row>
    <row r="2455" spans="1:10" s="3" customFormat="1" x14ac:dyDescent="0.25">
      <c r="A2455" s="112"/>
      <c r="D2455" s="111"/>
      <c r="E2455" s="111"/>
      <c r="F2455" s="112"/>
      <c r="G2455" s="111"/>
      <c r="H2455" s="111"/>
      <c r="J2455" s="111"/>
    </row>
    <row r="2456" spans="1:10" s="3" customFormat="1" x14ac:dyDescent="0.25">
      <c r="A2456" s="112"/>
      <c r="D2456" s="111"/>
      <c r="E2456" s="111"/>
      <c r="F2456" s="112"/>
      <c r="G2456" s="111"/>
      <c r="H2456" s="111"/>
      <c r="J2456" s="111"/>
    </row>
    <row r="2457" spans="1:10" s="3" customFormat="1" x14ac:dyDescent="0.25">
      <c r="A2457" s="112"/>
      <c r="D2457" s="111"/>
      <c r="E2457" s="111"/>
      <c r="F2457" s="112"/>
      <c r="G2457" s="111"/>
      <c r="H2457" s="111"/>
      <c r="J2457" s="111"/>
    </row>
    <row r="2458" spans="1:10" s="3" customFormat="1" x14ac:dyDescent="0.25">
      <c r="A2458" s="112"/>
      <c r="D2458" s="111"/>
      <c r="E2458" s="111"/>
      <c r="F2458" s="112"/>
      <c r="G2458" s="111"/>
      <c r="H2458" s="111"/>
      <c r="J2458" s="111"/>
    </row>
    <row r="2459" spans="1:10" s="3" customFormat="1" x14ac:dyDescent="0.25">
      <c r="A2459" s="112"/>
      <c r="D2459" s="111"/>
      <c r="E2459" s="111"/>
      <c r="F2459" s="112"/>
      <c r="G2459" s="111"/>
      <c r="H2459" s="111"/>
      <c r="J2459" s="111"/>
    </row>
    <row r="2460" spans="1:10" s="3" customFormat="1" x14ac:dyDescent="0.25">
      <c r="A2460" s="112"/>
      <c r="D2460" s="111"/>
      <c r="E2460" s="111"/>
      <c r="F2460" s="112"/>
      <c r="G2460" s="111"/>
      <c r="H2460" s="111"/>
      <c r="J2460" s="111"/>
    </row>
    <row r="2461" spans="1:10" s="3" customFormat="1" x14ac:dyDescent="0.25">
      <c r="A2461" s="112"/>
      <c r="D2461" s="111"/>
      <c r="E2461" s="111"/>
      <c r="F2461" s="112"/>
      <c r="G2461" s="111"/>
      <c r="H2461" s="111"/>
      <c r="J2461" s="111"/>
    </row>
    <row r="2462" spans="1:10" s="3" customFormat="1" x14ac:dyDescent="0.25">
      <c r="A2462" s="112"/>
      <c r="D2462" s="111"/>
      <c r="E2462" s="111"/>
      <c r="F2462" s="112"/>
      <c r="G2462" s="111"/>
      <c r="H2462" s="111"/>
      <c r="J2462" s="111"/>
    </row>
    <row r="2463" spans="1:10" s="3" customFormat="1" x14ac:dyDescent="0.25">
      <c r="A2463" s="112"/>
      <c r="D2463" s="111"/>
      <c r="E2463" s="111"/>
      <c r="F2463" s="112"/>
      <c r="G2463" s="111"/>
      <c r="H2463" s="111"/>
      <c r="J2463" s="111"/>
    </row>
    <row r="2464" spans="1:10" s="3" customFormat="1" x14ac:dyDescent="0.25">
      <c r="A2464" s="112"/>
      <c r="D2464" s="111"/>
      <c r="E2464" s="111"/>
      <c r="F2464" s="112"/>
      <c r="G2464" s="111"/>
      <c r="H2464" s="111"/>
      <c r="J2464" s="111"/>
    </row>
    <row r="2465" spans="1:10" s="3" customFormat="1" x14ac:dyDescent="0.25">
      <c r="A2465" s="112"/>
      <c r="D2465" s="111"/>
      <c r="E2465" s="111"/>
      <c r="F2465" s="112"/>
      <c r="G2465" s="111"/>
      <c r="H2465" s="111"/>
      <c r="J2465" s="111"/>
    </row>
    <row r="2466" spans="1:10" s="3" customFormat="1" x14ac:dyDescent="0.25">
      <c r="A2466" s="112"/>
      <c r="D2466" s="111"/>
      <c r="E2466" s="111"/>
      <c r="F2466" s="112"/>
      <c r="G2466" s="111"/>
      <c r="H2466" s="111"/>
      <c r="J2466" s="111"/>
    </row>
    <row r="2467" spans="1:10" s="3" customFormat="1" x14ac:dyDescent="0.25">
      <c r="A2467" s="112"/>
      <c r="D2467" s="111"/>
      <c r="E2467" s="111"/>
      <c r="F2467" s="112"/>
      <c r="G2467" s="111"/>
      <c r="H2467" s="111"/>
      <c r="J2467" s="111"/>
    </row>
    <row r="2468" spans="1:10" s="3" customFormat="1" x14ac:dyDescent="0.25">
      <c r="A2468" s="112"/>
      <c r="D2468" s="111"/>
      <c r="E2468" s="111"/>
      <c r="F2468" s="112"/>
      <c r="G2468" s="111"/>
      <c r="H2468" s="111"/>
      <c r="J2468" s="111"/>
    </row>
    <row r="2469" spans="1:10" s="3" customFormat="1" x14ac:dyDescent="0.25">
      <c r="A2469" s="112"/>
      <c r="D2469" s="111"/>
      <c r="E2469" s="111"/>
      <c r="F2469" s="112"/>
      <c r="G2469" s="111"/>
      <c r="H2469" s="111"/>
      <c r="J2469" s="111"/>
    </row>
    <row r="2470" spans="1:10" s="3" customFormat="1" x14ac:dyDescent="0.25">
      <c r="A2470" s="112"/>
      <c r="D2470" s="111"/>
      <c r="E2470" s="111"/>
      <c r="F2470" s="112"/>
      <c r="G2470" s="111"/>
      <c r="H2470" s="111"/>
      <c r="J2470" s="111"/>
    </row>
    <row r="2471" spans="1:10" s="3" customFormat="1" x14ac:dyDescent="0.25">
      <c r="A2471" s="112"/>
      <c r="D2471" s="111"/>
      <c r="E2471" s="111"/>
      <c r="F2471" s="112"/>
      <c r="G2471" s="111"/>
      <c r="H2471" s="111"/>
      <c r="J2471" s="111"/>
    </row>
    <row r="2472" spans="1:10" s="3" customFormat="1" x14ac:dyDescent="0.25">
      <c r="A2472" s="112"/>
      <c r="D2472" s="111"/>
      <c r="E2472" s="111"/>
      <c r="F2472" s="112"/>
      <c r="G2472" s="111"/>
      <c r="H2472" s="111"/>
      <c r="J2472" s="111"/>
    </row>
    <row r="2473" spans="1:10" s="3" customFormat="1" x14ac:dyDescent="0.25">
      <c r="A2473" s="112"/>
      <c r="D2473" s="111"/>
      <c r="E2473" s="111"/>
      <c r="F2473" s="112"/>
      <c r="G2473" s="111"/>
      <c r="H2473" s="111"/>
      <c r="J2473" s="111"/>
    </row>
    <row r="2474" spans="1:10" s="3" customFormat="1" x14ac:dyDescent="0.25">
      <c r="A2474" s="112"/>
      <c r="D2474" s="111"/>
      <c r="E2474" s="111"/>
      <c r="F2474" s="112"/>
      <c r="G2474" s="111"/>
      <c r="H2474" s="111"/>
      <c r="J2474" s="111"/>
    </row>
    <row r="2475" spans="1:10" s="3" customFormat="1" x14ac:dyDescent="0.25">
      <c r="A2475" s="112"/>
      <c r="D2475" s="111"/>
      <c r="E2475" s="111"/>
      <c r="F2475" s="112"/>
      <c r="G2475" s="111"/>
      <c r="H2475" s="111"/>
      <c r="J2475" s="111"/>
    </row>
    <row r="2476" spans="1:10" s="3" customFormat="1" x14ac:dyDescent="0.25">
      <c r="A2476" s="112"/>
      <c r="D2476" s="111"/>
      <c r="E2476" s="111"/>
      <c r="F2476" s="112"/>
      <c r="G2476" s="111"/>
      <c r="H2476" s="111"/>
      <c r="J2476" s="111"/>
    </row>
    <row r="2477" spans="1:10" s="3" customFormat="1" x14ac:dyDescent="0.25">
      <c r="A2477" s="112"/>
      <c r="D2477" s="111"/>
      <c r="E2477" s="111"/>
      <c r="F2477" s="112"/>
      <c r="G2477" s="111"/>
      <c r="H2477" s="111"/>
      <c r="J2477" s="111"/>
    </row>
    <row r="2478" spans="1:10" s="3" customFormat="1" x14ac:dyDescent="0.25">
      <c r="A2478" s="112"/>
      <c r="D2478" s="111"/>
      <c r="E2478" s="111"/>
      <c r="F2478" s="112"/>
      <c r="G2478" s="111"/>
      <c r="H2478" s="111"/>
      <c r="J2478" s="111"/>
    </row>
    <row r="2479" spans="1:10" s="3" customFormat="1" x14ac:dyDescent="0.25">
      <c r="A2479" s="112"/>
      <c r="D2479" s="111"/>
      <c r="E2479" s="111"/>
      <c r="F2479" s="112"/>
      <c r="G2479" s="111"/>
      <c r="H2479" s="111"/>
      <c r="J2479" s="111"/>
    </row>
    <row r="2480" spans="1:10" s="3" customFormat="1" x14ac:dyDescent="0.25">
      <c r="A2480" s="112"/>
      <c r="D2480" s="111"/>
      <c r="E2480" s="111"/>
      <c r="F2480" s="112"/>
      <c r="G2480" s="111"/>
      <c r="H2480" s="111"/>
      <c r="J2480" s="111"/>
    </row>
    <row r="2481" spans="1:10" s="3" customFormat="1" x14ac:dyDescent="0.25">
      <c r="A2481" s="112"/>
      <c r="D2481" s="111"/>
      <c r="E2481" s="111"/>
      <c r="F2481" s="112"/>
      <c r="G2481" s="111"/>
      <c r="H2481" s="111"/>
      <c r="J2481" s="111"/>
    </row>
    <row r="2482" spans="1:10" s="3" customFormat="1" x14ac:dyDescent="0.25">
      <c r="A2482" s="112"/>
      <c r="D2482" s="111"/>
      <c r="E2482" s="111"/>
      <c r="F2482" s="112"/>
      <c r="G2482" s="111"/>
      <c r="H2482" s="111"/>
      <c r="J2482" s="111"/>
    </row>
    <row r="2483" spans="1:10" s="3" customFormat="1" x14ac:dyDescent="0.25">
      <c r="A2483" s="112"/>
      <c r="D2483" s="111"/>
      <c r="E2483" s="111"/>
      <c r="F2483" s="112"/>
      <c r="G2483" s="111"/>
      <c r="H2483" s="111"/>
      <c r="J2483" s="111"/>
    </row>
    <row r="2484" spans="1:10" s="3" customFormat="1" x14ac:dyDescent="0.25">
      <c r="A2484" s="112"/>
      <c r="D2484" s="111"/>
      <c r="E2484" s="111"/>
      <c r="F2484" s="112"/>
      <c r="G2484" s="111"/>
      <c r="H2484" s="111"/>
      <c r="J2484" s="111"/>
    </row>
    <row r="2485" spans="1:10" s="3" customFormat="1" x14ac:dyDescent="0.25">
      <c r="A2485" s="112"/>
      <c r="D2485" s="111"/>
      <c r="E2485" s="111"/>
      <c r="F2485" s="112"/>
      <c r="G2485" s="111"/>
      <c r="H2485" s="111"/>
      <c r="J2485" s="111"/>
    </row>
    <row r="2486" spans="1:10" s="3" customFormat="1" x14ac:dyDescent="0.25">
      <c r="A2486" s="112"/>
      <c r="D2486" s="111"/>
      <c r="E2486" s="111"/>
      <c r="F2486" s="112"/>
      <c r="G2486" s="111"/>
      <c r="H2486" s="111"/>
      <c r="J2486" s="111"/>
    </row>
    <row r="2487" spans="1:10" s="3" customFormat="1" x14ac:dyDescent="0.25">
      <c r="A2487" s="112"/>
      <c r="D2487" s="111"/>
      <c r="E2487" s="111"/>
      <c r="F2487" s="112"/>
      <c r="G2487" s="111"/>
      <c r="H2487" s="111"/>
      <c r="J2487" s="111"/>
    </row>
    <row r="2488" spans="1:10" s="3" customFormat="1" x14ac:dyDescent="0.25">
      <c r="A2488" s="112"/>
      <c r="D2488" s="111"/>
      <c r="E2488" s="111"/>
      <c r="F2488" s="112"/>
      <c r="G2488" s="111"/>
      <c r="H2488" s="111"/>
      <c r="J2488" s="111"/>
    </row>
    <row r="2489" spans="1:10" s="3" customFormat="1" x14ac:dyDescent="0.25">
      <c r="A2489" s="112"/>
      <c r="D2489" s="111"/>
      <c r="E2489" s="111"/>
      <c r="F2489" s="112"/>
      <c r="G2489" s="111"/>
      <c r="H2489" s="111"/>
      <c r="J2489" s="111"/>
    </row>
    <row r="2490" spans="1:10" s="3" customFormat="1" x14ac:dyDescent="0.25">
      <c r="A2490" s="112"/>
      <c r="D2490" s="111"/>
      <c r="E2490" s="111"/>
      <c r="F2490" s="112"/>
      <c r="G2490" s="111"/>
      <c r="H2490" s="111"/>
      <c r="J2490" s="111"/>
    </row>
    <row r="2491" spans="1:10" s="3" customFormat="1" x14ac:dyDescent="0.25">
      <c r="A2491" s="112"/>
      <c r="D2491" s="111"/>
      <c r="E2491" s="111"/>
      <c r="F2491" s="112"/>
      <c r="G2491" s="111"/>
      <c r="H2491" s="111"/>
      <c r="J2491" s="111"/>
    </row>
    <row r="2492" spans="1:10" s="3" customFormat="1" x14ac:dyDescent="0.25">
      <c r="A2492" s="112"/>
      <c r="D2492" s="111"/>
      <c r="E2492" s="111"/>
      <c r="F2492" s="112"/>
      <c r="G2492" s="111"/>
      <c r="H2492" s="111"/>
      <c r="J2492" s="111"/>
    </row>
    <row r="2493" spans="1:10" s="3" customFormat="1" x14ac:dyDescent="0.25">
      <c r="A2493" s="112"/>
      <c r="D2493" s="111"/>
      <c r="E2493" s="111"/>
      <c r="F2493" s="112"/>
      <c r="G2493" s="111"/>
      <c r="H2493" s="111"/>
      <c r="J2493" s="111"/>
    </row>
    <row r="2494" spans="1:10" s="3" customFormat="1" x14ac:dyDescent="0.25">
      <c r="A2494" s="112"/>
      <c r="D2494" s="111"/>
      <c r="E2494" s="111"/>
      <c r="F2494" s="112"/>
      <c r="G2494" s="111"/>
      <c r="H2494" s="111"/>
      <c r="J2494" s="111"/>
    </row>
    <row r="2495" spans="1:10" s="3" customFormat="1" x14ac:dyDescent="0.25">
      <c r="A2495" s="112"/>
      <c r="D2495" s="111"/>
      <c r="E2495" s="111"/>
      <c r="F2495" s="112"/>
      <c r="G2495" s="111"/>
      <c r="H2495" s="111"/>
      <c r="J2495" s="111"/>
    </row>
    <row r="2496" spans="1:10" s="3" customFormat="1" x14ac:dyDescent="0.25">
      <c r="A2496" s="112"/>
      <c r="D2496" s="111"/>
      <c r="E2496" s="111"/>
      <c r="F2496" s="112"/>
      <c r="G2496" s="111"/>
      <c r="H2496" s="111"/>
      <c r="J2496" s="111"/>
    </row>
    <row r="2497" spans="1:10" s="3" customFormat="1" x14ac:dyDescent="0.25">
      <c r="A2497" s="112"/>
      <c r="D2497" s="111"/>
      <c r="E2497" s="111"/>
      <c r="F2497" s="112"/>
      <c r="G2497" s="111"/>
      <c r="H2497" s="111"/>
      <c r="J2497" s="111"/>
    </row>
    <row r="2498" spans="1:10" s="3" customFormat="1" x14ac:dyDescent="0.25">
      <c r="A2498" s="112"/>
      <c r="D2498" s="111"/>
      <c r="E2498" s="111"/>
      <c r="F2498" s="112"/>
      <c r="G2498" s="111"/>
      <c r="H2498" s="111"/>
      <c r="J2498" s="111"/>
    </row>
    <row r="2499" spans="1:10" s="3" customFormat="1" x14ac:dyDescent="0.25">
      <c r="A2499" s="112"/>
      <c r="D2499" s="111"/>
      <c r="E2499" s="111"/>
      <c r="F2499" s="112"/>
      <c r="G2499" s="111"/>
      <c r="H2499" s="111"/>
      <c r="J2499" s="111"/>
    </row>
    <row r="2500" spans="1:10" s="3" customFormat="1" x14ac:dyDescent="0.25">
      <c r="A2500" s="112"/>
      <c r="D2500" s="111"/>
      <c r="E2500" s="111"/>
      <c r="F2500" s="112"/>
      <c r="G2500" s="111"/>
      <c r="H2500" s="111"/>
      <c r="J2500" s="111"/>
    </row>
    <row r="2501" spans="1:10" s="3" customFormat="1" x14ac:dyDescent="0.25">
      <c r="A2501" s="112"/>
      <c r="D2501" s="111"/>
      <c r="E2501" s="111"/>
      <c r="F2501" s="112"/>
      <c r="G2501" s="111"/>
      <c r="H2501" s="111"/>
      <c r="J2501" s="111"/>
    </row>
    <row r="2502" spans="1:10" s="3" customFormat="1" x14ac:dyDescent="0.25">
      <c r="A2502" s="112"/>
      <c r="D2502" s="111"/>
      <c r="E2502" s="111"/>
      <c r="F2502" s="112"/>
      <c r="G2502" s="111"/>
      <c r="H2502" s="111"/>
      <c r="J2502" s="111"/>
    </row>
    <row r="2503" spans="1:10" s="3" customFormat="1" x14ac:dyDescent="0.25">
      <c r="A2503" s="112"/>
      <c r="D2503" s="111"/>
      <c r="E2503" s="111"/>
      <c r="F2503" s="112"/>
      <c r="G2503" s="111"/>
      <c r="H2503" s="111"/>
      <c r="J2503" s="111"/>
    </row>
    <row r="2504" spans="1:10" s="3" customFormat="1" x14ac:dyDescent="0.25">
      <c r="A2504" s="112"/>
      <c r="D2504" s="111"/>
      <c r="E2504" s="111"/>
      <c r="F2504" s="112"/>
      <c r="G2504" s="111"/>
      <c r="H2504" s="111"/>
      <c r="J2504" s="111"/>
    </row>
    <row r="2505" spans="1:10" s="3" customFormat="1" x14ac:dyDescent="0.25">
      <c r="A2505" s="112"/>
      <c r="D2505" s="111"/>
      <c r="E2505" s="111"/>
      <c r="F2505" s="112"/>
      <c r="G2505" s="111"/>
      <c r="H2505" s="111"/>
      <c r="J2505" s="111"/>
    </row>
    <row r="2506" spans="1:10" s="3" customFormat="1" x14ac:dyDescent="0.25">
      <c r="A2506" s="112"/>
      <c r="D2506" s="111"/>
      <c r="E2506" s="111"/>
      <c r="F2506" s="112"/>
      <c r="G2506" s="111"/>
      <c r="H2506" s="111"/>
      <c r="J2506" s="111"/>
    </row>
    <row r="2507" spans="1:10" s="3" customFormat="1" x14ac:dyDescent="0.25">
      <c r="A2507" s="112"/>
      <c r="D2507" s="111"/>
      <c r="E2507" s="111"/>
      <c r="F2507" s="112"/>
      <c r="G2507" s="111"/>
      <c r="H2507" s="111"/>
      <c r="J2507" s="111"/>
    </row>
    <row r="2508" spans="1:10" s="3" customFormat="1" x14ac:dyDescent="0.25">
      <c r="A2508" s="112"/>
      <c r="D2508" s="111"/>
      <c r="E2508" s="111"/>
      <c r="F2508" s="112"/>
      <c r="G2508" s="111"/>
      <c r="H2508" s="111"/>
      <c r="J2508" s="111"/>
    </row>
    <row r="2509" spans="1:10" s="3" customFormat="1" x14ac:dyDescent="0.25">
      <c r="A2509" s="112"/>
      <c r="D2509" s="111"/>
      <c r="E2509" s="111"/>
      <c r="F2509" s="112"/>
      <c r="G2509" s="111"/>
      <c r="H2509" s="111"/>
      <c r="J2509" s="111"/>
    </row>
    <row r="2510" spans="1:10" s="3" customFormat="1" x14ac:dyDescent="0.25">
      <c r="A2510" s="112"/>
      <c r="D2510" s="111"/>
      <c r="E2510" s="111"/>
      <c r="F2510" s="112"/>
      <c r="G2510" s="111"/>
      <c r="H2510" s="111"/>
      <c r="J2510" s="111"/>
    </row>
    <row r="2511" spans="1:10" s="3" customFormat="1" x14ac:dyDescent="0.25">
      <c r="A2511" s="112"/>
      <c r="D2511" s="111"/>
      <c r="E2511" s="111"/>
      <c r="F2511" s="112"/>
      <c r="G2511" s="111"/>
      <c r="H2511" s="111"/>
      <c r="J2511" s="111"/>
    </row>
    <row r="2512" spans="1:10" s="3" customFormat="1" x14ac:dyDescent="0.25">
      <c r="A2512" s="112"/>
      <c r="D2512" s="111"/>
      <c r="E2512" s="111"/>
      <c r="F2512" s="112"/>
      <c r="G2512" s="111"/>
      <c r="H2512" s="111"/>
      <c r="J2512" s="111"/>
    </row>
    <row r="2513" spans="1:10" s="3" customFormat="1" x14ac:dyDescent="0.25">
      <c r="A2513" s="112"/>
      <c r="D2513" s="111"/>
      <c r="E2513" s="111"/>
      <c r="F2513" s="112"/>
      <c r="G2513" s="111"/>
      <c r="H2513" s="111"/>
      <c r="J2513" s="111"/>
    </row>
    <row r="2514" spans="1:10" s="3" customFormat="1" x14ac:dyDescent="0.25">
      <c r="A2514" s="112"/>
      <c r="D2514" s="111"/>
      <c r="E2514" s="111"/>
      <c r="F2514" s="112"/>
      <c r="G2514" s="111"/>
      <c r="H2514" s="111"/>
      <c r="J2514" s="111"/>
    </row>
    <row r="2515" spans="1:10" s="3" customFormat="1" x14ac:dyDescent="0.25">
      <c r="A2515" s="112"/>
      <c r="D2515" s="111"/>
      <c r="E2515" s="111"/>
      <c r="F2515" s="112"/>
      <c r="G2515" s="111"/>
      <c r="H2515" s="111"/>
      <c r="J2515" s="111"/>
    </row>
    <row r="2516" spans="1:10" s="3" customFormat="1" x14ac:dyDescent="0.25">
      <c r="A2516" s="112"/>
      <c r="D2516" s="111"/>
      <c r="E2516" s="111"/>
      <c r="F2516" s="112"/>
      <c r="G2516" s="111"/>
      <c r="H2516" s="111"/>
      <c r="J2516" s="111"/>
    </row>
    <row r="2517" spans="1:10" s="3" customFormat="1" x14ac:dyDescent="0.25">
      <c r="A2517" s="112"/>
      <c r="D2517" s="111"/>
      <c r="E2517" s="111"/>
      <c r="F2517" s="112"/>
      <c r="G2517" s="111"/>
      <c r="H2517" s="111"/>
      <c r="J2517" s="111"/>
    </row>
    <row r="2518" spans="1:10" s="3" customFormat="1" x14ac:dyDescent="0.25">
      <c r="A2518" s="112"/>
      <c r="D2518" s="111"/>
      <c r="E2518" s="111"/>
      <c r="F2518" s="112"/>
      <c r="G2518" s="111"/>
      <c r="H2518" s="111"/>
      <c r="J2518" s="111"/>
    </row>
    <row r="2519" spans="1:10" s="3" customFormat="1" x14ac:dyDescent="0.25">
      <c r="A2519" s="112"/>
      <c r="D2519" s="111"/>
      <c r="E2519" s="111"/>
      <c r="F2519" s="112"/>
      <c r="G2519" s="111"/>
      <c r="H2519" s="111"/>
      <c r="J2519" s="111"/>
    </row>
    <row r="2520" spans="1:10" s="3" customFormat="1" x14ac:dyDescent="0.25">
      <c r="A2520" s="112"/>
      <c r="D2520" s="111"/>
      <c r="E2520" s="111"/>
      <c r="F2520" s="112"/>
      <c r="G2520" s="111"/>
      <c r="H2520" s="111"/>
      <c r="J2520" s="111"/>
    </row>
    <row r="2521" spans="1:10" s="3" customFormat="1" x14ac:dyDescent="0.25">
      <c r="A2521" s="112"/>
      <c r="D2521" s="111"/>
      <c r="E2521" s="111"/>
      <c r="F2521" s="112"/>
      <c r="G2521" s="111"/>
      <c r="H2521" s="111"/>
      <c r="J2521" s="111"/>
    </row>
    <row r="2522" spans="1:10" s="3" customFormat="1" x14ac:dyDescent="0.25">
      <c r="A2522" s="112"/>
      <c r="D2522" s="111"/>
      <c r="E2522" s="111"/>
      <c r="F2522" s="112"/>
      <c r="G2522" s="111"/>
      <c r="H2522" s="111"/>
      <c r="J2522" s="111"/>
    </row>
    <row r="2523" spans="1:10" s="3" customFormat="1" x14ac:dyDescent="0.25">
      <c r="A2523" s="112"/>
      <c r="D2523" s="111"/>
      <c r="E2523" s="111"/>
      <c r="F2523" s="112"/>
      <c r="G2523" s="111"/>
      <c r="H2523" s="111"/>
      <c r="J2523" s="111"/>
    </row>
    <row r="2524" spans="1:10" s="3" customFormat="1" x14ac:dyDescent="0.25">
      <c r="A2524" s="112"/>
      <c r="D2524" s="111"/>
      <c r="E2524" s="111"/>
      <c r="F2524" s="112"/>
      <c r="G2524" s="111"/>
      <c r="H2524" s="111"/>
      <c r="J2524" s="111"/>
    </row>
    <row r="2525" spans="1:10" s="3" customFormat="1" x14ac:dyDescent="0.25">
      <c r="A2525" s="112"/>
      <c r="D2525" s="111"/>
      <c r="E2525" s="111"/>
      <c r="F2525" s="112"/>
      <c r="G2525" s="111"/>
      <c r="H2525" s="111"/>
      <c r="J2525" s="111"/>
    </row>
    <row r="2526" spans="1:10" s="3" customFormat="1" x14ac:dyDescent="0.25">
      <c r="A2526" s="112"/>
      <c r="D2526" s="111"/>
      <c r="E2526" s="111"/>
      <c r="F2526" s="112"/>
      <c r="G2526" s="111"/>
      <c r="H2526" s="111"/>
      <c r="J2526" s="111"/>
    </row>
    <row r="2527" spans="1:10" s="3" customFormat="1" x14ac:dyDescent="0.25">
      <c r="A2527" s="112"/>
      <c r="D2527" s="111"/>
      <c r="E2527" s="111"/>
      <c r="F2527" s="112"/>
      <c r="G2527" s="111"/>
      <c r="H2527" s="111"/>
      <c r="J2527" s="111"/>
    </row>
    <row r="2528" spans="1:10" s="3" customFormat="1" x14ac:dyDescent="0.25">
      <c r="A2528" s="112"/>
      <c r="D2528" s="111"/>
      <c r="E2528" s="111"/>
      <c r="F2528" s="112"/>
      <c r="G2528" s="111"/>
      <c r="H2528" s="111"/>
      <c r="J2528" s="111"/>
    </row>
    <row r="2529" spans="1:10" s="3" customFormat="1" x14ac:dyDescent="0.25">
      <c r="A2529" s="112"/>
      <c r="D2529" s="111"/>
      <c r="E2529" s="111"/>
      <c r="F2529" s="112"/>
      <c r="G2529" s="111"/>
      <c r="H2529" s="111"/>
      <c r="J2529" s="111"/>
    </row>
    <row r="2530" spans="1:10" s="3" customFormat="1" x14ac:dyDescent="0.25">
      <c r="A2530" s="112"/>
      <c r="D2530" s="111"/>
      <c r="E2530" s="111"/>
      <c r="F2530" s="112"/>
      <c r="G2530" s="111"/>
      <c r="H2530" s="111"/>
      <c r="J2530" s="111"/>
    </row>
    <row r="2531" spans="1:10" s="3" customFormat="1" x14ac:dyDescent="0.25">
      <c r="A2531" s="112"/>
      <c r="D2531" s="111"/>
      <c r="E2531" s="111"/>
      <c r="F2531" s="112"/>
      <c r="G2531" s="111"/>
      <c r="H2531" s="111"/>
      <c r="J2531" s="111"/>
    </row>
    <row r="2532" spans="1:10" s="3" customFormat="1" x14ac:dyDescent="0.25">
      <c r="A2532" s="112"/>
      <c r="D2532" s="111"/>
      <c r="E2532" s="111"/>
      <c r="F2532" s="112"/>
      <c r="G2532" s="111"/>
      <c r="H2532" s="111"/>
      <c r="J2532" s="111"/>
    </row>
    <row r="2533" spans="1:10" s="3" customFormat="1" x14ac:dyDescent="0.25">
      <c r="A2533" s="112"/>
      <c r="D2533" s="111"/>
      <c r="E2533" s="111"/>
      <c r="F2533" s="112"/>
      <c r="G2533" s="111"/>
      <c r="H2533" s="111"/>
      <c r="J2533" s="111"/>
    </row>
    <row r="2534" spans="1:10" s="3" customFormat="1" x14ac:dyDescent="0.25">
      <c r="A2534" s="112"/>
      <c r="D2534" s="111"/>
      <c r="E2534" s="111"/>
      <c r="F2534" s="112"/>
      <c r="G2534" s="111"/>
      <c r="H2534" s="111"/>
      <c r="J2534" s="111"/>
    </row>
    <row r="2535" spans="1:10" s="3" customFormat="1" x14ac:dyDescent="0.25">
      <c r="A2535" s="112"/>
      <c r="D2535" s="111"/>
      <c r="E2535" s="111"/>
      <c r="F2535" s="112"/>
      <c r="G2535" s="111"/>
      <c r="H2535" s="111"/>
      <c r="J2535" s="111"/>
    </row>
    <row r="2536" spans="1:10" s="3" customFormat="1" x14ac:dyDescent="0.25">
      <c r="A2536" s="112"/>
      <c r="D2536" s="111"/>
      <c r="E2536" s="111"/>
      <c r="F2536" s="112"/>
      <c r="G2536" s="111"/>
      <c r="H2536" s="111"/>
      <c r="J2536" s="111"/>
    </row>
    <row r="2537" spans="1:10" s="3" customFormat="1" x14ac:dyDescent="0.25">
      <c r="A2537" s="112"/>
      <c r="D2537" s="111"/>
      <c r="E2537" s="111"/>
      <c r="F2537" s="112"/>
      <c r="G2537" s="111"/>
      <c r="H2537" s="111"/>
      <c r="J2537" s="111"/>
    </row>
    <row r="2538" spans="1:10" s="3" customFormat="1" x14ac:dyDescent="0.25">
      <c r="A2538" s="112"/>
      <c r="D2538" s="111"/>
      <c r="E2538" s="111"/>
      <c r="F2538" s="112"/>
      <c r="G2538" s="111"/>
      <c r="H2538" s="111"/>
      <c r="J2538" s="111"/>
    </row>
    <row r="2539" spans="1:10" s="3" customFormat="1" x14ac:dyDescent="0.25">
      <c r="A2539" s="112"/>
      <c r="D2539" s="111"/>
      <c r="E2539" s="111"/>
      <c r="F2539" s="112"/>
      <c r="G2539" s="111"/>
      <c r="H2539" s="111"/>
      <c r="J2539" s="111"/>
    </row>
    <row r="2540" spans="1:10" s="3" customFormat="1" x14ac:dyDescent="0.25">
      <c r="A2540" s="112"/>
      <c r="D2540" s="111"/>
      <c r="E2540" s="111"/>
      <c r="F2540" s="112"/>
      <c r="G2540" s="111"/>
      <c r="H2540" s="111"/>
      <c r="J2540" s="111"/>
    </row>
    <row r="2541" spans="1:10" s="3" customFormat="1" x14ac:dyDescent="0.25">
      <c r="A2541" s="112"/>
      <c r="D2541" s="111"/>
      <c r="E2541" s="111"/>
      <c r="F2541" s="112"/>
      <c r="G2541" s="111"/>
      <c r="H2541" s="111"/>
      <c r="J2541" s="111"/>
    </row>
    <row r="2542" spans="1:10" s="3" customFormat="1" x14ac:dyDescent="0.25">
      <c r="A2542" s="112"/>
      <c r="D2542" s="111"/>
      <c r="E2542" s="111"/>
      <c r="F2542" s="112"/>
      <c r="G2542" s="111"/>
      <c r="H2542" s="111"/>
      <c r="J2542" s="111"/>
    </row>
    <row r="2543" spans="1:10" s="3" customFormat="1" x14ac:dyDescent="0.25">
      <c r="A2543" s="112"/>
      <c r="D2543" s="111"/>
      <c r="E2543" s="111"/>
      <c r="F2543" s="112"/>
      <c r="G2543" s="111"/>
      <c r="H2543" s="111"/>
      <c r="J2543" s="111"/>
    </row>
    <row r="2544" spans="1:10" s="3" customFormat="1" x14ac:dyDescent="0.25">
      <c r="A2544" s="112"/>
      <c r="D2544" s="111"/>
      <c r="E2544" s="111"/>
      <c r="F2544" s="112"/>
      <c r="G2544" s="111"/>
      <c r="H2544" s="111"/>
      <c r="J2544" s="111"/>
    </row>
    <row r="2545" spans="1:10" s="3" customFormat="1" x14ac:dyDescent="0.25">
      <c r="A2545" s="112"/>
      <c r="D2545" s="111"/>
      <c r="E2545" s="111"/>
      <c r="F2545" s="112"/>
      <c r="G2545" s="111"/>
      <c r="H2545" s="111"/>
      <c r="J2545" s="111"/>
    </row>
    <row r="2546" spans="1:10" s="3" customFormat="1" x14ac:dyDescent="0.25">
      <c r="A2546" s="112"/>
      <c r="D2546" s="111"/>
      <c r="E2546" s="111"/>
      <c r="F2546" s="112"/>
      <c r="G2546" s="111"/>
      <c r="H2546" s="111"/>
      <c r="J2546" s="111"/>
    </row>
    <row r="2547" spans="1:10" s="3" customFormat="1" x14ac:dyDescent="0.25">
      <c r="A2547" s="112"/>
      <c r="D2547" s="111"/>
      <c r="E2547" s="111"/>
      <c r="F2547" s="112"/>
      <c r="G2547" s="111"/>
      <c r="H2547" s="111"/>
      <c r="J2547" s="111"/>
    </row>
    <row r="2548" spans="1:10" s="3" customFormat="1" x14ac:dyDescent="0.25">
      <c r="A2548" s="112"/>
      <c r="D2548" s="111"/>
      <c r="E2548" s="111"/>
      <c r="F2548" s="112"/>
      <c r="G2548" s="111"/>
      <c r="H2548" s="111"/>
      <c r="J2548" s="111"/>
    </row>
    <row r="2549" spans="1:10" s="3" customFormat="1" x14ac:dyDescent="0.25">
      <c r="A2549" s="112"/>
      <c r="D2549" s="111"/>
      <c r="E2549" s="111"/>
      <c r="F2549" s="112"/>
      <c r="G2549" s="111"/>
      <c r="H2549" s="111"/>
      <c r="J2549" s="111"/>
    </row>
    <row r="2550" spans="1:10" s="3" customFormat="1" x14ac:dyDescent="0.25">
      <c r="A2550" s="112"/>
      <c r="D2550" s="111"/>
      <c r="E2550" s="111"/>
      <c r="F2550" s="112"/>
      <c r="G2550" s="111"/>
      <c r="H2550" s="111"/>
      <c r="J2550" s="111"/>
    </row>
    <row r="2551" spans="1:10" s="3" customFormat="1" x14ac:dyDescent="0.25">
      <c r="A2551" s="112"/>
      <c r="D2551" s="111"/>
      <c r="E2551" s="111"/>
      <c r="F2551" s="112"/>
      <c r="G2551" s="111"/>
      <c r="H2551" s="111"/>
      <c r="J2551" s="111"/>
    </row>
    <row r="2552" spans="1:10" s="3" customFormat="1" x14ac:dyDescent="0.25">
      <c r="A2552" s="112"/>
      <c r="D2552" s="111"/>
      <c r="E2552" s="111"/>
      <c r="F2552" s="112"/>
      <c r="G2552" s="111"/>
      <c r="H2552" s="111"/>
      <c r="J2552" s="111"/>
    </row>
    <row r="2553" spans="1:10" s="3" customFormat="1" x14ac:dyDescent="0.25">
      <c r="A2553" s="112"/>
      <c r="D2553" s="111"/>
      <c r="E2553" s="111"/>
      <c r="F2553" s="112"/>
      <c r="G2553" s="111"/>
      <c r="H2553" s="111"/>
      <c r="J2553" s="111"/>
    </row>
    <row r="2554" spans="1:10" s="3" customFormat="1" x14ac:dyDescent="0.25">
      <c r="A2554" s="112"/>
      <c r="D2554" s="111"/>
      <c r="E2554" s="111"/>
      <c r="F2554" s="112"/>
      <c r="G2554" s="111"/>
      <c r="H2554" s="111"/>
      <c r="J2554" s="111"/>
    </row>
    <row r="2555" spans="1:10" s="3" customFormat="1" x14ac:dyDescent="0.25">
      <c r="A2555" s="112"/>
      <c r="D2555" s="111"/>
      <c r="E2555" s="111"/>
      <c r="F2555" s="112"/>
      <c r="G2555" s="111"/>
      <c r="H2555" s="111"/>
      <c r="J2555" s="111"/>
    </row>
    <row r="2556" spans="1:10" s="3" customFormat="1" x14ac:dyDescent="0.25">
      <c r="A2556" s="112"/>
      <c r="D2556" s="111"/>
      <c r="E2556" s="111"/>
      <c r="F2556" s="112"/>
      <c r="G2556" s="111"/>
      <c r="H2556" s="111"/>
      <c r="J2556" s="111"/>
    </row>
    <row r="2557" spans="1:10" s="3" customFormat="1" x14ac:dyDescent="0.25">
      <c r="A2557" s="112"/>
      <c r="D2557" s="111"/>
      <c r="E2557" s="111"/>
      <c r="F2557" s="112"/>
      <c r="G2557" s="111"/>
      <c r="H2557" s="111"/>
      <c r="J2557" s="111"/>
    </row>
    <row r="2558" spans="1:10" s="3" customFormat="1" x14ac:dyDescent="0.25">
      <c r="A2558" s="112"/>
      <c r="D2558" s="111"/>
      <c r="E2558" s="111"/>
      <c r="F2558" s="112"/>
      <c r="G2558" s="111"/>
      <c r="H2558" s="111"/>
      <c r="J2558" s="111"/>
    </row>
    <row r="2559" spans="1:10" s="3" customFormat="1" x14ac:dyDescent="0.25">
      <c r="A2559" s="112"/>
      <c r="D2559" s="111"/>
      <c r="E2559" s="111"/>
      <c r="F2559" s="112"/>
      <c r="G2559" s="111"/>
      <c r="H2559" s="111"/>
      <c r="J2559" s="111"/>
    </row>
    <row r="2560" spans="1:10" s="3" customFormat="1" x14ac:dyDescent="0.25">
      <c r="A2560" s="112"/>
      <c r="D2560" s="111"/>
      <c r="E2560" s="111"/>
      <c r="F2560" s="112"/>
      <c r="G2560" s="111"/>
      <c r="H2560" s="111"/>
      <c r="J2560" s="111"/>
    </row>
    <row r="2561" spans="1:10" s="3" customFormat="1" x14ac:dyDescent="0.25">
      <c r="A2561" s="112"/>
      <c r="D2561" s="111"/>
      <c r="E2561" s="111"/>
      <c r="F2561" s="112"/>
      <c r="G2561" s="111"/>
      <c r="H2561" s="111"/>
      <c r="J2561" s="111"/>
    </row>
    <row r="2562" spans="1:10" s="3" customFormat="1" x14ac:dyDescent="0.25">
      <c r="A2562" s="112"/>
      <c r="D2562" s="111"/>
      <c r="E2562" s="111"/>
      <c r="F2562" s="112"/>
      <c r="G2562" s="111"/>
      <c r="H2562" s="111"/>
      <c r="J2562" s="111"/>
    </row>
    <row r="2563" spans="1:10" s="3" customFormat="1" x14ac:dyDescent="0.25">
      <c r="A2563" s="112"/>
      <c r="D2563" s="111"/>
      <c r="E2563" s="111"/>
      <c r="F2563" s="112"/>
      <c r="G2563" s="111"/>
      <c r="H2563" s="111"/>
      <c r="J2563" s="111"/>
    </row>
    <row r="2564" spans="1:10" s="3" customFormat="1" x14ac:dyDescent="0.25">
      <c r="A2564" s="112"/>
      <c r="D2564" s="111"/>
      <c r="E2564" s="111"/>
      <c r="F2564" s="112"/>
      <c r="G2564" s="111"/>
      <c r="H2564" s="111"/>
      <c r="J2564" s="111"/>
    </row>
    <row r="2565" spans="1:10" s="3" customFormat="1" x14ac:dyDescent="0.25">
      <c r="A2565" s="112"/>
      <c r="D2565" s="111"/>
      <c r="E2565" s="111"/>
      <c r="F2565" s="112"/>
      <c r="G2565" s="111"/>
      <c r="H2565" s="111"/>
      <c r="J2565" s="111"/>
    </row>
    <row r="2566" spans="1:10" s="3" customFormat="1" x14ac:dyDescent="0.25">
      <c r="A2566" s="112"/>
      <c r="D2566" s="111"/>
      <c r="E2566" s="111"/>
      <c r="F2566" s="112"/>
      <c r="G2566" s="111"/>
      <c r="H2566" s="111"/>
      <c r="J2566" s="111"/>
    </row>
    <row r="2567" spans="1:10" s="3" customFormat="1" x14ac:dyDescent="0.25">
      <c r="A2567" s="112"/>
      <c r="D2567" s="111"/>
      <c r="E2567" s="111"/>
      <c r="F2567" s="112"/>
      <c r="G2567" s="111"/>
      <c r="H2567" s="111"/>
      <c r="J2567" s="111"/>
    </row>
    <row r="2568" spans="1:10" s="3" customFormat="1" x14ac:dyDescent="0.25">
      <c r="A2568" s="112"/>
      <c r="D2568" s="111"/>
      <c r="E2568" s="111"/>
      <c r="F2568" s="112"/>
      <c r="G2568" s="111"/>
      <c r="H2568" s="111"/>
      <c r="J2568" s="111"/>
    </row>
    <row r="2569" spans="1:10" s="3" customFormat="1" x14ac:dyDescent="0.25">
      <c r="A2569" s="112"/>
      <c r="D2569" s="111"/>
      <c r="E2569" s="111"/>
      <c r="F2569" s="112"/>
      <c r="G2569" s="111"/>
      <c r="H2569" s="111"/>
      <c r="J2569" s="111"/>
    </row>
    <row r="2570" spans="1:10" s="3" customFormat="1" x14ac:dyDescent="0.25">
      <c r="A2570" s="112"/>
      <c r="D2570" s="111"/>
      <c r="E2570" s="111"/>
      <c r="F2570" s="112"/>
      <c r="G2570" s="111"/>
      <c r="H2570" s="111"/>
      <c r="J2570" s="111"/>
    </row>
    <row r="2571" spans="1:10" s="3" customFormat="1" x14ac:dyDescent="0.25">
      <c r="A2571" s="112"/>
      <c r="D2571" s="111"/>
      <c r="E2571" s="111"/>
      <c r="F2571" s="112"/>
      <c r="G2571" s="111"/>
      <c r="H2571" s="111"/>
      <c r="J2571" s="111"/>
    </row>
    <row r="2572" spans="1:10" s="3" customFormat="1" x14ac:dyDescent="0.25">
      <c r="A2572" s="112"/>
      <c r="D2572" s="111"/>
      <c r="E2572" s="111"/>
      <c r="F2572" s="112"/>
      <c r="G2572" s="111"/>
      <c r="H2572" s="111"/>
      <c r="J2572" s="111"/>
    </row>
    <row r="2573" spans="1:10" s="3" customFormat="1" x14ac:dyDescent="0.25">
      <c r="A2573" s="112"/>
      <c r="D2573" s="111"/>
      <c r="E2573" s="111"/>
      <c r="F2573" s="112"/>
      <c r="G2573" s="111"/>
      <c r="H2573" s="111"/>
      <c r="J2573" s="111"/>
    </row>
    <row r="2574" spans="1:10" s="3" customFormat="1" x14ac:dyDescent="0.25">
      <c r="A2574" s="112"/>
      <c r="D2574" s="111"/>
      <c r="E2574" s="111"/>
      <c r="F2574" s="112"/>
      <c r="G2574" s="111"/>
      <c r="H2574" s="111"/>
      <c r="J2574" s="111"/>
    </row>
    <row r="2575" spans="1:10" s="3" customFormat="1" x14ac:dyDescent="0.25">
      <c r="A2575" s="112"/>
      <c r="D2575" s="111"/>
      <c r="E2575" s="111"/>
      <c r="F2575" s="112"/>
      <c r="G2575" s="111"/>
      <c r="H2575" s="111"/>
      <c r="J2575" s="111"/>
    </row>
    <row r="2576" spans="1:10" s="3" customFormat="1" x14ac:dyDescent="0.25">
      <c r="A2576" s="112"/>
      <c r="D2576" s="111"/>
      <c r="E2576" s="111"/>
      <c r="F2576" s="112"/>
      <c r="G2576" s="111"/>
      <c r="H2576" s="111"/>
      <c r="J2576" s="111"/>
    </row>
    <row r="2577" spans="1:10" s="3" customFormat="1" x14ac:dyDescent="0.25">
      <c r="A2577" s="112"/>
      <c r="D2577" s="111"/>
      <c r="E2577" s="111"/>
      <c r="F2577" s="112"/>
      <c r="G2577" s="111"/>
      <c r="H2577" s="111"/>
      <c r="J2577" s="111"/>
    </row>
    <row r="2578" spans="1:10" s="3" customFormat="1" x14ac:dyDescent="0.25">
      <c r="A2578" s="112"/>
      <c r="D2578" s="111"/>
      <c r="E2578" s="111"/>
      <c r="F2578" s="112"/>
      <c r="G2578" s="111"/>
      <c r="H2578" s="111"/>
      <c r="J2578" s="111"/>
    </row>
    <row r="2579" spans="1:10" s="3" customFormat="1" x14ac:dyDescent="0.25">
      <c r="A2579" s="112"/>
      <c r="D2579" s="111"/>
      <c r="E2579" s="111"/>
      <c r="F2579" s="112"/>
      <c r="G2579" s="111"/>
      <c r="H2579" s="111"/>
      <c r="J2579" s="111"/>
    </row>
    <row r="2580" spans="1:10" s="3" customFormat="1" x14ac:dyDescent="0.25">
      <c r="A2580" s="112"/>
      <c r="D2580" s="111"/>
      <c r="E2580" s="111"/>
      <c r="F2580" s="112"/>
      <c r="G2580" s="111"/>
      <c r="H2580" s="111"/>
      <c r="J2580" s="111"/>
    </row>
    <row r="2581" spans="1:10" s="3" customFormat="1" x14ac:dyDescent="0.25">
      <c r="A2581" s="112"/>
      <c r="D2581" s="111"/>
      <c r="E2581" s="111"/>
      <c r="F2581" s="112"/>
      <c r="G2581" s="111"/>
      <c r="H2581" s="111"/>
      <c r="J2581" s="111"/>
    </row>
    <row r="2582" spans="1:10" s="3" customFormat="1" x14ac:dyDescent="0.25">
      <c r="A2582" s="112"/>
      <c r="D2582" s="111"/>
      <c r="E2582" s="111"/>
      <c r="F2582" s="112"/>
      <c r="G2582" s="111"/>
      <c r="H2582" s="111"/>
      <c r="J2582" s="111"/>
    </row>
    <row r="2583" spans="1:10" s="3" customFormat="1" x14ac:dyDescent="0.25">
      <c r="A2583" s="112"/>
      <c r="D2583" s="111"/>
      <c r="E2583" s="111"/>
      <c r="F2583" s="112"/>
      <c r="G2583" s="111"/>
      <c r="H2583" s="111"/>
      <c r="J2583" s="111"/>
    </row>
    <row r="2584" spans="1:10" s="3" customFormat="1" x14ac:dyDescent="0.25">
      <c r="A2584" s="112"/>
      <c r="D2584" s="111"/>
      <c r="E2584" s="111"/>
      <c r="F2584" s="112"/>
      <c r="G2584" s="111"/>
      <c r="H2584" s="111"/>
      <c r="J2584" s="111"/>
    </row>
    <row r="2585" spans="1:10" s="3" customFormat="1" x14ac:dyDescent="0.25">
      <c r="A2585" s="112"/>
      <c r="D2585" s="111"/>
      <c r="E2585" s="111"/>
      <c r="F2585" s="112"/>
      <c r="G2585" s="111"/>
      <c r="H2585" s="111"/>
      <c r="J2585" s="111"/>
    </row>
    <row r="2586" spans="1:10" s="3" customFormat="1" x14ac:dyDescent="0.25">
      <c r="A2586" s="112"/>
      <c r="D2586" s="111"/>
      <c r="E2586" s="111"/>
      <c r="F2586" s="112"/>
      <c r="G2586" s="111"/>
      <c r="H2586" s="111"/>
      <c r="J2586" s="111"/>
    </row>
    <row r="2587" spans="1:10" s="3" customFormat="1" x14ac:dyDescent="0.25">
      <c r="A2587" s="112"/>
      <c r="D2587" s="111"/>
      <c r="E2587" s="111"/>
      <c r="F2587" s="112"/>
      <c r="G2587" s="111"/>
      <c r="H2587" s="111"/>
      <c r="J2587" s="111"/>
    </row>
    <row r="2588" spans="1:10" s="3" customFormat="1" x14ac:dyDescent="0.25">
      <c r="A2588" s="112"/>
      <c r="D2588" s="111"/>
      <c r="E2588" s="111"/>
      <c r="F2588" s="112"/>
      <c r="G2588" s="111"/>
      <c r="H2588" s="111"/>
      <c r="J2588" s="111"/>
    </row>
    <row r="2589" spans="1:10" s="3" customFormat="1" x14ac:dyDescent="0.25">
      <c r="A2589" s="112"/>
      <c r="D2589" s="111"/>
      <c r="E2589" s="111"/>
      <c r="F2589" s="112"/>
      <c r="G2589" s="111"/>
      <c r="H2589" s="111"/>
      <c r="J2589" s="111"/>
    </row>
    <row r="2590" spans="1:10" s="3" customFormat="1" x14ac:dyDescent="0.25">
      <c r="A2590" s="112"/>
      <c r="D2590" s="111"/>
      <c r="E2590" s="111"/>
      <c r="F2590" s="112"/>
      <c r="G2590" s="111"/>
      <c r="H2590" s="111"/>
      <c r="J2590" s="111"/>
    </row>
    <row r="2591" spans="1:10" s="3" customFormat="1" x14ac:dyDescent="0.25">
      <c r="A2591" s="112"/>
      <c r="D2591" s="111"/>
      <c r="E2591" s="111"/>
      <c r="F2591" s="112"/>
      <c r="G2591" s="111"/>
      <c r="H2591" s="111"/>
      <c r="J2591" s="111"/>
    </row>
    <row r="2592" spans="1:10" s="3" customFormat="1" x14ac:dyDescent="0.25">
      <c r="A2592" s="112"/>
      <c r="D2592" s="111"/>
      <c r="E2592" s="111"/>
      <c r="F2592" s="112"/>
      <c r="G2592" s="111"/>
      <c r="H2592" s="111"/>
      <c r="J2592" s="111"/>
    </row>
    <row r="2593" spans="1:10" s="3" customFormat="1" x14ac:dyDescent="0.25">
      <c r="A2593" s="112"/>
      <c r="D2593" s="111"/>
      <c r="E2593" s="111"/>
      <c r="F2593" s="112"/>
      <c r="G2593" s="111"/>
      <c r="H2593" s="111"/>
      <c r="J2593" s="111"/>
    </row>
    <row r="2594" spans="1:10" s="3" customFormat="1" x14ac:dyDescent="0.25">
      <c r="A2594" s="112"/>
      <c r="D2594" s="111"/>
      <c r="E2594" s="111"/>
      <c r="F2594" s="112"/>
      <c r="G2594" s="111"/>
      <c r="H2594" s="111"/>
      <c r="J2594" s="111"/>
    </row>
    <row r="2595" spans="1:10" s="3" customFormat="1" x14ac:dyDescent="0.25">
      <c r="A2595" s="112"/>
      <c r="D2595" s="111"/>
      <c r="E2595" s="111"/>
      <c r="F2595" s="112"/>
      <c r="G2595" s="111"/>
      <c r="H2595" s="111"/>
      <c r="J2595" s="111"/>
    </row>
    <row r="2596" spans="1:10" s="3" customFormat="1" x14ac:dyDescent="0.25">
      <c r="A2596" s="112"/>
      <c r="D2596" s="111"/>
      <c r="E2596" s="111"/>
      <c r="F2596" s="112"/>
      <c r="G2596" s="111"/>
      <c r="H2596" s="111"/>
      <c r="J2596" s="111"/>
    </row>
    <row r="2597" spans="1:10" s="3" customFormat="1" x14ac:dyDescent="0.25">
      <c r="A2597" s="112"/>
      <c r="D2597" s="111"/>
      <c r="E2597" s="111"/>
      <c r="F2597" s="112"/>
      <c r="G2597" s="111"/>
      <c r="H2597" s="111"/>
      <c r="J2597" s="111"/>
    </row>
    <row r="2598" spans="1:10" s="3" customFormat="1" x14ac:dyDescent="0.25">
      <c r="A2598" s="112"/>
      <c r="D2598" s="111"/>
      <c r="E2598" s="111"/>
      <c r="F2598" s="112"/>
      <c r="G2598" s="111"/>
      <c r="H2598" s="111"/>
      <c r="J2598" s="111"/>
    </row>
    <row r="2599" spans="1:10" s="3" customFormat="1" x14ac:dyDescent="0.25">
      <c r="A2599" s="112"/>
      <c r="D2599" s="111"/>
      <c r="E2599" s="111"/>
      <c r="F2599" s="112"/>
      <c r="G2599" s="111"/>
      <c r="H2599" s="111"/>
      <c r="J2599" s="111"/>
    </row>
    <row r="2600" spans="1:10" s="3" customFormat="1" x14ac:dyDescent="0.25">
      <c r="A2600" s="112"/>
      <c r="D2600" s="111"/>
      <c r="E2600" s="111"/>
      <c r="F2600" s="112"/>
      <c r="G2600" s="111"/>
      <c r="H2600" s="111"/>
      <c r="J2600" s="111"/>
    </row>
    <row r="2601" spans="1:10" s="3" customFormat="1" x14ac:dyDescent="0.25">
      <c r="A2601" s="112"/>
      <c r="D2601" s="111"/>
      <c r="E2601" s="111"/>
      <c r="F2601" s="112"/>
      <c r="G2601" s="111"/>
      <c r="H2601" s="111"/>
      <c r="J2601" s="111"/>
    </row>
    <row r="2602" spans="1:10" s="3" customFormat="1" x14ac:dyDescent="0.25">
      <c r="A2602" s="112"/>
      <c r="D2602" s="111"/>
      <c r="E2602" s="111"/>
      <c r="F2602" s="112"/>
      <c r="G2602" s="111"/>
      <c r="H2602" s="111"/>
      <c r="J2602" s="111"/>
    </row>
    <row r="2603" spans="1:10" s="3" customFormat="1" x14ac:dyDescent="0.25">
      <c r="A2603" s="112"/>
      <c r="D2603" s="111"/>
      <c r="E2603" s="111"/>
      <c r="F2603" s="112"/>
      <c r="G2603" s="111"/>
      <c r="H2603" s="111"/>
      <c r="J2603" s="111"/>
    </row>
    <row r="2604" spans="1:10" s="3" customFormat="1" x14ac:dyDescent="0.25">
      <c r="A2604" s="112"/>
      <c r="D2604" s="111"/>
      <c r="E2604" s="111"/>
      <c r="F2604" s="112"/>
      <c r="G2604" s="111"/>
      <c r="H2604" s="111"/>
      <c r="J2604" s="111"/>
    </row>
    <row r="2605" spans="1:10" s="3" customFormat="1" x14ac:dyDescent="0.25">
      <c r="A2605" s="112"/>
      <c r="D2605" s="111"/>
      <c r="E2605" s="111"/>
      <c r="F2605" s="112"/>
      <c r="G2605" s="111"/>
      <c r="H2605" s="111"/>
      <c r="J2605" s="111"/>
    </row>
    <row r="2606" spans="1:10" s="3" customFormat="1" x14ac:dyDescent="0.25">
      <c r="A2606" s="112"/>
      <c r="D2606" s="111"/>
      <c r="E2606" s="111"/>
      <c r="F2606" s="112"/>
      <c r="G2606" s="111"/>
      <c r="H2606" s="111"/>
      <c r="J2606" s="111"/>
    </row>
    <row r="2607" spans="1:10" s="3" customFormat="1" x14ac:dyDescent="0.25">
      <c r="A2607" s="112"/>
      <c r="D2607" s="111"/>
      <c r="E2607" s="111"/>
      <c r="F2607" s="112"/>
      <c r="G2607" s="111"/>
      <c r="H2607" s="111"/>
      <c r="J2607" s="111"/>
    </row>
    <row r="2608" spans="1:10" s="3" customFormat="1" x14ac:dyDescent="0.25">
      <c r="A2608" s="112"/>
      <c r="D2608" s="111"/>
      <c r="E2608" s="111"/>
      <c r="F2608" s="112"/>
      <c r="G2608" s="111"/>
      <c r="H2608" s="111"/>
      <c r="J2608" s="111"/>
    </row>
    <row r="2609" spans="1:10" s="3" customFormat="1" x14ac:dyDescent="0.25">
      <c r="A2609" s="112"/>
      <c r="D2609" s="111"/>
      <c r="E2609" s="111"/>
      <c r="F2609" s="112"/>
      <c r="G2609" s="111"/>
      <c r="H2609" s="111"/>
      <c r="J2609" s="111"/>
    </row>
    <row r="2610" spans="1:10" s="3" customFormat="1" x14ac:dyDescent="0.25">
      <c r="A2610" s="112"/>
      <c r="D2610" s="111"/>
      <c r="E2610" s="111"/>
      <c r="F2610" s="112"/>
      <c r="G2610" s="111"/>
      <c r="H2610" s="111"/>
      <c r="J2610" s="111"/>
    </row>
    <row r="2611" spans="1:10" s="3" customFormat="1" x14ac:dyDescent="0.25">
      <c r="A2611" s="112"/>
      <c r="D2611" s="111"/>
      <c r="E2611" s="111"/>
      <c r="F2611" s="112"/>
      <c r="G2611" s="111"/>
      <c r="H2611" s="111"/>
      <c r="J2611" s="111"/>
    </row>
    <row r="2612" spans="1:10" s="3" customFormat="1" x14ac:dyDescent="0.25">
      <c r="A2612" s="112"/>
      <c r="D2612" s="111"/>
      <c r="E2612" s="111"/>
      <c r="F2612" s="112"/>
      <c r="G2612" s="111"/>
      <c r="H2612" s="111"/>
      <c r="J2612" s="111"/>
    </row>
    <row r="2613" spans="1:10" s="3" customFormat="1" x14ac:dyDescent="0.25">
      <c r="A2613" s="112"/>
      <c r="D2613" s="111"/>
      <c r="E2613" s="111"/>
      <c r="F2613" s="112"/>
      <c r="G2613" s="111"/>
      <c r="H2613" s="111"/>
      <c r="J2613" s="111"/>
    </row>
    <row r="2614" spans="1:10" s="3" customFormat="1" x14ac:dyDescent="0.25">
      <c r="A2614" s="112"/>
      <c r="D2614" s="111"/>
      <c r="E2614" s="111"/>
      <c r="F2614" s="112"/>
      <c r="G2614" s="111"/>
      <c r="H2614" s="111"/>
      <c r="J2614" s="111"/>
    </row>
    <row r="2615" spans="1:10" s="3" customFormat="1" x14ac:dyDescent="0.25">
      <c r="A2615" s="112"/>
      <c r="D2615" s="111"/>
      <c r="E2615" s="111"/>
      <c r="F2615" s="112"/>
      <c r="G2615" s="111"/>
      <c r="H2615" s="111"/>
      <c r="J2615" s="111"/>
    </row>
    <row r="2616" spans="1:10" s="3" customFormat="1" x14ac:dyDescent="0.25">
      <c r="A2616" s="112"/>
      <c r="D2616" s="111"/>
      <c r="E2616" s="111"/>
      <c r="F2616" s="112"/>
      <c r="G2616" s="111"/>
      <c r="H2616" s="111"/>
      <c r="J2616" s="111"/>
    </row>
    <row r="2617" spans="1:10" s="3" customFormat="1" x14ac:dyDescent="0.25">
      <c r="A2617" s="112"/>
      <c r="D2617" s="111"/>
      <c r="E2617" s="111"/>
      <c r="F2617" s="112"/>
      <c r="G2617" s="111"/>
      <c r="H2617" s="111"/>
      <c r="J2617" s="111"/>
    </row>
    <row r="2618" spans="1:10" s="3" customFormat="1" x14ac:dyDescent="0.25">
      <c r="A2618" s="112"/>
      <c r="D2618" s="111"/>
      <c r="E2618" s="111"/>
      <c r="F2618" s="112"/>
      <c r="G2618" s="111"/>
      <c r="H2618" s="111"/>
      <c r="J2618" s="111"/>
    </row>
    <row r="2619" spans="1:10" s="3" customFormat="1" x14ac:dyDescent="0.25">
      <c r="A2619" s="112"/>
      <c r="D2619" s="111"/>
      <c r="E2619" s="111"/>
      <c r="F2619" s="112"/>
      <c r="G2619" s="111"/>
      <c r="H2619" s="111"/>
      <c r="J2619" s="111"/>
    </row>
    <row r="2620" spans="1:10" s="3" customFormat="1" x14ac:dyDescent="0.25">
      <c r="A2620" s="112"/>
      <c r="D2620" s="111"/>
      <c r="E2620" s="111"/>
      <c r="F2620" s="112"/>
      <c r="G2620" s="111"/>
      <c r="H2620" s="111"/>
      <c r="J2620" s="111"/>
    </row>
    <row r="2621" spans="1:10" s="3" customFormat="1" x14ac:dyDescent="0.25">
      <c r="A2621" s="112"/>
      <c r="D2621" s="111"/>
      <c r="E2621" s="111"/>
      <c r="F2621" s="112"/>
      <c r="G2621" s="111"/>
      <c r="H2621" s="111"/>
      <c r="J2621" s="111"/>
    </row>
    <row r="2622" spans="1:10" s="3" customFormat="1" x14ac:dyDescent="0.25">
      <c r="A2622" s="112"/>
      <c r="D2622" s="111"/>
      <c r="E2622" s="111"/>
      <c r="F2622" s="112"/>
      <c r="G2622" s="111"/>
      <c r="H2622" s="111"/>
      <c r="J2622" s="111"/>
    </row>
    <row r="2623" spans="1:10" s="3" customFormat="1" x14ac:dyDescent="0.25">
      <c r="A2623" s="112"/>
      <c r="D2623" s="111"/>
      <c r="E2623" s="111"/>
      <c r="F2623" s="112"/>
      <c r="G2623" s="111"/>
      <c r="H2623" s="111"/>
      <c r="J2623" s="111"/>
    </row>
    <row r="2624" spans="1:10" s="3" customFormat="1" x14ac:dyDescent="0.25">
      <c r="A2624" s="112"/>
      <c r="D2624" s="111"/>
      <c r="E2624" s="111"/>
      <c r="F2624" s="112"/>
      <c r="G2624" s="111"/>
      <c r="H2624" s="111"/>
      <c r="J2624" s="111"/>
    </row>
    <row r="2625" spans="1:10" s="3" customFormat="1" x14ac:dyDescent="0.25">
      <c r="A2625" s="112"/>
      <c r="D2625" s="111"/>
      <c r="E2625" s="111"/>
      <c r="F2625" s="112"/>
      <c r="G2625" s="111"/>
      <c r="H2625" s="111"/>
      <c r="J2625" s="111"/>
    </row>
    <row r="2626" spans="1:10" s="3" customFormat="1" x14ac:dyDescent="0.25">
      <c r="A2626" s="112"/>
      <c r="D2626" s="111"/>
      <c r="E2626" s="111"/>
      <c r="F2626" s="112"/>
      <c r="G2626" s="111"/>
      <c r="H2626" s="111"/>
      <c r="J2626" s="111"/>
    </row>
    <row r="2627" spans="1:10" s="3" customFormat="1" x14ac:dyDescent="0.25">
      <c r="A2627" s="112"/>
      <c r="D2627" s="111"/>
      <c r="E2627" s="111"/>
      <c r="F2627" s="112"/>
      <c r="G2627" s="111"/>
      <c r="H2627" s="111"/>
      <c r="J2627" s="111"/>
    </row>
    <row r="2628" spans="1:10" s="3" customFormat="1" x14ac:dyDescent="0.25">
      <c r="A2628" s="112"/>
      <c r="D2628" s="111"/>
      <c r="E2628" s="111"/>
      <c r="F2628" s="112"/>
      <c r="G2628" s="111"/>
      <c r="H2628" s="111"/>
      <c r="J2628" s="111"/>
    </row>
    <row r="2629" spans="1:10" s="3" customFormat="1" x14ac:dyDescent="0.25">
      <c r="A2629" s="112"/>
      <c r="D2629" s="111"/>
      <c r="E2629" s="111"/>
      <c r="F2629" s="112"/>
      <c r="G2629" s="111"/>
      <c r="H2629" s="111"/>
      <c r="J2629" s="111"/>
    </row>
    <row r="2630" spans="1:10" s="3" customFormat="1" x14ac:dyDescent="0.25">
      <c r="A2630" s="112"/>
      <c r="D2630" s="111"/>
      <c r="E2630" s="111"/>
      <c r="F2630" s="112"/>
      <c r="G2630" s="111"/>
      <c r="H2630" s="111"/>
      <c r="J2630" s="111"/>
    </row>
    <row r="2631" spans="1:10" s="3" customFormat="1" x14ac:dyDescent="0.25">
      <c r="A2631" s="112"/>
      <c r="D2631" s="111"/>
      <c r="E2631" s="111"/>
      <c r="F2631" s="112"/>
      <c r="G2631" s="111"/>
      <c r="H2631" s="111"/>
      <c r="J2631" s="111"/>
    </row>
    <row r="2632" spans="1:10" s="3" customFormat="1" x14ac:dyDescent="0.25">
      <c r="A2632" s="112"/>
      <c r="D2632" s="111"/>
      <c r="E2632" s="111"/>
      <c r="F2632" s="112"/>
      <c r="G2632" s="111"/>
      <c r="H2632" s="111"/>
      <c r="J2632" s="111"/>
    </row>
    <row r="2633" spans="1:10" s="3" customFormat="1" x14ac:dyDescent="0.25">
      <c r="A2633" s="112"/>
      <c r="D2633" s="111"/>
      <c r="E2633" s="111"/>
      <c r="F2633" s="112"/>
      <c r="G2633" s="111"/>
      <c r="H2633" s="111"/>
      <c r="J2633" s="111"/>
    </row>
    <row r="2634" spans="1:10" s="3" customFormat="1" x14ac:dyDescent="0.25">
      <c r="A2634" s="112"/>
      <c r="D2634" s="111"/>
      <c r="E2634" s="111"/>
      <c r="F2634" s="112"/>
      <c r="G2634" s="111"/>
      <c r="H2634" s="111"/>
      <c r="J2634" s="111"/>
    </row>
    <row r="2635" spans="1:10" s="3" customFormat="1" x14ac:dyDescent="0.25">
      <c r="A2635" s="112"/>
      <c r="D2635" s="111"/>
      <c r="E2635" s="111"/>
      <c r="F2635" s="112"/>
      <c r="G2635" s="111"/>
      <c r="H2635" s="111"/>
      <c r="J2635" s="111"/>
    </row>
    <row r="2636" spans="1:10" s="3" customFormat="1" x14ac:dyDescent="0.25">
      <c r="A2636" s="112"/>
      <c r="D2636" s="111"/>
      <c r="E2636" s="111"/>
      <c r="F2636" s="112"/>
      <c r="G2636" s="111"/>
      <c r="H2636" s="111"/>
      <c r="J2636" s="111"/>
    </row>
    <row r="2637" spans="1:10" s="3" customFormat="1" x14ac:dyDescent="0.25">
      <c r="A2637" s="112"/>
      <c r="D2637" s="111"/>
      <c r="E2637" s="111"/>
      <c r="F2637" s="112"/>
      <c r="G2637" s="111"/>
      <c r="H2637" s="111"/>
      <c r="J2637" s="111"/>
    </row>
    <row r="2638" spans="1:10" s="3" customFormat="1" x14ac:dyDescent="0.25">
      <c r="A2638" s="112"/>
      <c r="D2638" s="111"/>
      <c r="E2638" s="111"/>
      <c r="F2638" s="112"/>
      <c r="G2638" s="111"/>
      <c r="H2638" s="111"/>
      <c r="J2638" s="111"/>
    </row>
    <row r="2639" spans="1:10" s="3" customFormat="1" x14ac:dyDescent="0.25">
      <c r="A2639" s="112"/>
      <c r="D2639" s="111"/>
      <c r="E2639" s="111"/>
      <c r="F2639" s="112"/>
      <c r="G2639" s="111"/>
      <c r="H2639" s="111"/>
      <c r="J2639" s="111"/>
    </row>
    <row r="2640" spans="1:10" s="3" customFormat="1" x14ac:dyDescent="0.25">
      <c r="A2640" s="112"/>
      <c r="D2640" s="111"/>
      <c r="E2640" s="111"/>
      <c r="F2640" s="112"/>
      <c r="G2640" s="111"/>
      <c r="H2640" s="111"/>
      <c r="J2640" s="111"/>
    </row>
    <row r="2641" spans="1:10" s="3" customFormat="1" x14ac:dyDescent="0.25">
      <c r="A2641" s="112"/>
      <c r="D2641" s="111"/>
      <c r="E2641" s="111"/>
      <c r="F2641" s="112"/>
      <c r="G2641" s="111"/>
      <c r="H2641" s="111"/>
      <c r="J2641" s="111"/>
    </row>
    <row r="2642" spans="1:10" s="3" customFormat="1" x14ac:dyDescent="0.25">
      <c r="A2642" s="112"/>
      <c r="D2642" s="111"/>
      <c r="E2642" s="111"/>
      <c r="F2642" s="112"/>
      <c r="G2642" s="111"/>
      <c r="H2642" s="111"/>
      <c r="J2642" s="111"/>
    </row>
    <row r="2643" spans="1:10" s="3" customFormat="1" x14ac:dyDescent="0.25">
      <c r="A2643" s="112"/>
      <c r="D2643" s="111"/>
      <c r="E2643" s="111"/>
      <c r="F2643" s="112"/>
      <c r="G2643" s="111"/>
      <c r="H2643" s="111"/>
      <c r="J2643" s="111"/>
    </row>
    <row r="2644" spans="1:10" s="3" customFormat="1" x14ac:dyDescent="0.25">
      <c r="A2644" s="112"/>
      <c r="D2644" s="111"/>
      <c r="E2644" s="111"/>
      <c r="F2644" s="112"/>
      <c r="G2644" s="111"/>
      <c r="H2644" s="111"/>
      <c r="J2644" s="111"/>
    </row>
    <row r="2645" spans="1:10" s="3" customFormat="1" x14ac:dyDescent="0.25">
      <c r="A2645" s="112"/>
      <c r="D2645" s="111"/>
      <c r="E2645" s="111"/>
      <c r="F2645" s="112"/>
      <c r="G2645" s="111"/>
      <c r="H2645" s="111"/>
      <c r="J2645" s="111"/>
    </row>
    <row r="2646" spans="1:10" s="3" customFormat="1" x14ac:dyDescent="0.25">
      <c r="A2646" s="112"/>
      <c r="D2646" s="111"/>
      <c r="E2646" s="111"/>
      <c r="F2646" s="112"/>
      <c r="G2646" s="111"/>
      <c r="H2646" s="111"/>
      <c r="J2646" s="111"/>
    </row>
    <row r="2647" spans="1:10" s="3" customFormat="1" x14ac:dyDescent="0.25">
      <c r="A2647" s="112"/>
      <c r="D2647" s="111"/>
      <c r="E2647" s="111"/>
      <c r="F2647" s="112"/>
      <c r="G2647" s="111"/>
      <c r="H2647" s="111"/>
      <c r="J2647" s="111"/>
    </row>
    <row r="2648" spans="1:10" s="3" customFormat="1" x14ac:dyDescent="0.25">
      <c r="A2648" s="112"/>
      <c r="D2648" s="111"/>
      <c r="E2648" s="111"/>
      <c r="F2648" s="112"/>
      <c r="G2648" s="111"/>
      <c r="H2648" s="111"/>
      <c r="J2648" s="111"/>
    </row>
    <row r="2649" spans="1:10" s="3" customFormat="1" x14ac:dyDescent="0.25">
      <c r="A2649" s="112"/>
      <c r="D2649" s="111"/>
      <c r="E2649" s="111"/>
      <c r="F2649" s="112"/>
      <c r="G2649" s="111"/>
      <c r="H2649" s="111"/>
      <c r="J2649" s="111"/>
    </row>
    <row r="2650" spans="1:10" s="3" customFormat="1" x14ac:dyDescent="0.25">
      <c r="A2650" s="112"/>
      <c r="D2650" s="111"/>
      <c r="E2650" s="111"/>
      <c r="F2650" s="112"/>
      <c r="G2650" s="111"/>
      <c r="H2650" s="111"/>
      <c r="J2650" s="111"/>
    </row>
    <row r="2651" spans="1:10" s="3" customFormat="1" x14ac:dyDescent="0.25">
      <c r="A2651" s="112"/>
      <c r="D2651" s="111"/>
      <c r="E2651" s="111"/>
      <c r="F2651" s="112"/>
      <c r="G2651" s="111"/>
      <c r="H2651" s="111"/>
      <c r="J2651" s="111"/>
    </row>
    <row r="2652" spans="1:10" s="3" customFormat="1" x14ac:dyDescent="0.25">
      <c r="A2652" s="112"/>
      <c r="D2652" s="111"/>
      <c r="E2652" s="111"/>
      <c r="F2652" s="112"/>
      <c r="G2652" s="111"/>
      <c r="H2652" s="111"/>
      <c r="J2652" s="111"/>
    </row>
    <row r="2653" spans="1:10" s="3" customFormat="1" x14ac:dyDescent="0.25">
      <c r="A2653" s="112"/>
      <c r="D2653" s="111"/>
      <c r="E2653" s="111"/>
      <c r="F2653" s="112"/>
      <c r="G2653" s="111"/>
      <c r="H2653" s="111"/>
      <c r="J2653" s="111"/>
    </row>
    <row r="2654" spans="1:10" s="3" customFormat="1" x14ac:dyDescent="0.25">
      <c r="A2654" s="112"/>
      <c r="D2654" s="111"/>
      <c r="E2654" s="111"/>
      <c r="F2654" s="112"/>
      <c r="G2654" s="111"/>
      <c r="H2654" s="111"/>
      <c r="J2654" s="111"/>
    </row>
    <row r="2655" spans="1:10" s="3" customFormat="1" x14ac:dyDescent="0.25">
      <c r="A2655" s="112"/>
      <c r="D2655" s="111"/>
      <c r="E2655" s="111"/>
      <c r="F2655" s="112"/>
      <c r="G2655" s="111"/>
      <c r="H2655" s="111"/>
      <c r="J2655" s="111"/>
    </row>
    <row r="2656" spans="1:10" s="3" customFormat="1" x14ac:dyDescent="0.25">
      <c r="A2656" s="112"/>
      <c r="D2656" s="111"/>
      <c r="E2656" s="111"/>
      <c r="F2656" s="112"/>
      <c r="G2656" s="111"/>
      <c r="H2656" s="111"/>
      <c r="J2656" s="111"/>
    </row>
    <row r="2657" spans="1:10" s="3" customFormat="1" x14ac:dyDescent="0.25">
      <c r="A2657" s="112"/>
      <c r="D2657" s="111"/>
      <c r="E2657" s="111"/>
      <c r="F2657" s="112"/>
      <c r="G2657" s="111"/>
      <c r="H2657" s="111"/>
      <c r="J2657" s="111"/>
    </row>
    <row r="2658" spans="1:10" s="3" customFormat="1" x14ac:dyDescent="0.25">
      <c r="A2658" s="112"/>
      <c r="D2658" s="111"/>
      <c r="E2658" s="111"/>
      <c r="F2658" s="112"/>
      <c r="G2658" s="111"/>
      <c r="H2658" s="111"/>
      <c r="J2658" s="111"/>
    </row>
    <row r="2659" spans="1:10" s="3" customFormat="1" x14ac:dyDescent="0.25">
      <c r="A2659" s="112"/>
      <c r="D2659" s="111"/>
      <c r="E2659" s="111"/>
      <c r="F2659" s="112"/>
      <c r="G2659" s="111"/>
      <c r="H2659" s="111"/>
      <c r="J2659" s="111"/>
    </row>
    <row r="2660" spans="1:10" s="3" customFormat="1" x14ac:dyDescent="0.25">
      <c r="A2660" s="112"/>
      <c r="D2660" s="111"/>
      <c r="E2660" s="111"/>
      <c r="F2660" s="112"/>
      <c r="G2660" s="111"/>
      <c r="H2660" s="111"/>
      <c r="J2660" s="111"/>
    </row>
    <row r="2661" spans="1:10" s="3" customFormat="1" x14ac:dyDescent="0.25">
      <c r="A2661" s="112"/>
      <c r="D2661" s="111"/>
      <c r="E2661" s="111"/>
      <c r="F2661" s="112"/>
      <c r="G2661" s="111"/>
      <c r="H2661" s="111"/>
      <c r="J2661" s="111"/>
    </row>
    <row r="2662" spans="1:10" s="3" customFormat="1" x14ac:dyDescent="0.25">
      <c r="A2662" s="112"/>
      <c r="D2662" s="111"/>
      <c r="E2662" s="111"/>
      <c r="F2662" s="112"/>
      <c r="G2662" s="111"/>
      <c r="H2662" s="111"/>
      <c r="J2662" s="111"/>
    </row>
    <row r="2663" spans="1:10" s="3" customFormat="1" x14ac:dyDescent="0.25">
      <c r="A2663" s="112"/>
      <c r="D2663" s="111"/>
      <c r="E2663" s="111"/>
      <c r="F2663" s="112"/>
      <c r="G2663" s="111"/>
      <c r="H2663" s="111"/>
      <c r="J2663" s="111"/>
    </row>
    <row r="2664" spans="1:10" s="3" customFormat="1" x14ac:dyDescent="0.25">
      <c r="A2664" s="112"/>
      <c r="D2664" s="111"/>
      <c r="E2664" s="111"/>
      <c r="F2664" s="112"/>
      <c r="G2664" s="111"/>
      <c r="H2664" s="111"/>
      <c r="J2664" s="111"/>
    </row>
    <row r="2665" spans="1:10" s="3" customFormat="1" x14ac:dyDescent="0.25">
      <c r="A2665" s="112"/>
      <c r="D2665" s="111"/>
      <c r="E2665" s="111"/>
      <c r="F2665" s="112"/>
      <c r="G2665" s="111"/>
      <c r="H2665" s="111"/>
      <c r="J2665" s="111"/>
    </row>
    <row r="2666" spans="1:10" s="3" customFormat="1" x14ac:dyDescent="0.25">
      <c r="A2666" s="112"/>
      <c r="D2666" s="111"/>
      <c r="E2666" s="111"/>
      <c r="F2666" s="112"/>
      <c r="G2666" s="111"/>
      <c r="H2666" s="111"/>
      <c r="J2666" s="111"/>
    </row>
    <row r="2667" spans="1:10" s="3" customFormat="1" x14ac:dyDescent="0.25">
      <c r="A2667" s="112"/>
      <c r="D2667" s="111"/>
      <c r="E2667" s="111"/>
      <c r="F2667" s="112"/>
      <c r="G2667" s="111"/>
      <c r="H2667" s="111"/>
      <c r="J2667" s="111"/>
    </row>
    <row r="2668" spans="1:10" s="3" customFormat="1" x14ac:dyDescent="0.25">
      <c r="A2668" s="112"/>
      <c r="D2668" s="111"/>
      <c r="E2668" s="111"/>
      <c r="F2668" s="112"/>
      <c r="G2668" s="111"/>
      <c r="H2668" s="111"/>
      <c r="J2668" s="111"/>
    </row>
    <row r="2669" spans="1:10" s="3" customFormat="1" x14ac:dyDescent="0.25">
      <c r="A2669" s="112"/>
      <c r="D2669" s="111"/>
      <c r="E2669" s="111"/>
      <c r="F2669" s="112"/>
      <c r="G2669" s="111"/>
      <c r="H2669" s="111"/>
      <c r="J2669" s="111"/>
    </row>
    <row r="2670" spans="1:10" s="3" customFormat="1" x14ac:dyDescent="0.25">
      <c r="A2670" s="112"/>
      <c r="D2670" s="111"/>
      <c r="E2670" s="111"/>
      <c r="F2670" s="112"/>
      <c r="G2670" s="111"/>
      <c r="H2670" s="111"/>
      <c r="J2670" s="111"/>
    </row>
    <row r="2671" spans="1:10" s="3" customFormat="1" x14ac:dyDescent="0.25">
      <c r="A2671" s="112"/>
      <c r="D2671" s="111"/>
      <c r="E2671" s="111"/>
      <c r="F2671" s="112"/>
      <c r="G2671" s="111"/>
      <c r="H2671" s="111"/>
      <c r="J2671" s="111"/>
    </row>
    <row r="2672" spans="1:10" s="3" customFormat="1" x14ac:dyDescent="0.25">
      <c r="A2672" s="112"/>
      <c r="D2672" s="111"/>
      <c r="E2672" s="111"/>
      <c r="F2672" s="112"/>
      <c r="G2672" s="111"/>
      <c r="H2672" s="111"/>
      <c r="J2672" s="111"/>
    </row>
    <row r="2673" spans="1:10" s="3" customFormat="1" x14ac:dyDescent="0.25">
      <c r="A2673" s="112"/>
      <c r="D2673" s="111"/>
      <c r="E2673" s="111"/>
      <c r="F2673" s="112"/>
      <c r="G2673" s="111"/>
      <c r="H2673" s="111"/>
      <c r="J2673" s="111"/>
    </row>
    <row r="2674" spans="1:10" s="3" customFormat="1" x14ac:dyDescent="0.25">
      <c r="A2674" s="112"/>
      <c r="D2674" s="111"/>
      <c r="E2674" s="111"/>
      <c r="F2674" s="112"/>
      <c r="G2674" s="111"/>
      <c r="H2674" s="111"/>
      <c r="J2674" s="111"/>
    </row>
    <row r="2675" spans="1:10" s="3" customFormat="1" x14ac:dyDescent="0.25">
      <c r="A2675" s="112"/>
      <c r="D2675" s="111"/>
      <c r="E2675" s="111"/>
      <c r="F2675" s="112"/>
      <c r="G2675" s="111"/>
      <c r="H2675" s="111"/>
      <c r="J2675" s="111"/>
    </row>
    <row r="2676" spans="1:10" s="3" customFormat="1" x14ac:dyDescent="0.25">
      <c r="A2676" s="112"/>
      <c r="D2676" s="111"/>
      <c r="E2676" s="111"/>
      <c r="F2676" s="112"/>
      <c r="G2676" s="111"/>
      <c r="H2676" s="111"/>
      <c r="J2676" s="111"/>
    </row>
    <row r="2677" spans="1:10" s="3" customFormat="1" x14ac:dyDescent="0.25">
      <c r="A2677" s="112"/>
      <c r="D2677" s="111"/>
      <c r="E2677" s="111"/>
      <c r="F2677" s="112"/>
      <c r="G2677" s="111"/>
      <c r="H2677" s="111"/>
      <c r="J2677" s="111"/>
    </row>
    <row r="2678" spans="1:10" s="3" customFormat="1" x14ac:dyDescent="0.25">
      <c r="A2678" s="112"/>
      <c r="D2678" s="111"/>
      <c r="E2678" s="111"/>
      <c r="F2678" s="112"/>
      <c r="G2678" s="111"/>
      <c r="H2678" s="111"/>
      <c r="J2678" s="111"/>
    </row>
    <row r="2679" spans="1:10" s="3" customFormat="1" x14ac:dyDescent="0.25">
      <c r="A2679" s="112"/>
      <c r="D2679" s="111"/>
      <c r="E2679" s="111"/>
      <c r="F2679" s="112"/>
      <c r="G2679" s="111"/>
      <c r="H2679" s="111"/>
      <c r="J2679" s="111"/>
    </row>
    <row r="2680" spans="1:10" s="3" customFormat="1" x14ac:dyDescent="0.25">
      <c r="A2680" s="112"/>
      <c r="D2680" s="111"/>
      <c r="E2680" s="111"/>
      <c r="F2680" s="112"/>
      <c r="G2680" s="111"/>
      <c r="H2680" s="111"/>
      <c r="J2680" s="111"/>
    </row>
    <row r="2681" spans="1:10" s="3" customFormat="1" x14ac:dyDescent="0.25">
      <c r="A2681" s="112"/>
      <c r="D2681" s="111"/>
      <c r="E2681" s="111"/>
      <c r="F2681" s="112"/>
      <c r="G2681" s="111"/>
      <c r="H2681" s="111"/>
      <c r="J2681" s="111"/>
    </row>
    <row r="2682" spans="1:10" s="3" customFormat="1" x14ac:dyDescent="0.25">
      <c r="A2682" s="112"/>
      <c r="D2682" s="111"/>
      <c r="E2682" s="111"/>
      <c r="F2682" s="112"/>
      <c r="G2682" s="111"/>
      <c r="H2682" s="111"/>
      <c r="J2682" s="111"/>
    </row>
    <row r="2683" spans="1:10" s="3" customFormat="1" x14ac:dyDescent="0.25">
      <c r="A2683" s="112"/>
      <c r="D2683" s="111"/>
      <c r="E2683" s="111"/>
      <c r="F2683" s="112"/>
      <c r="G2683" s="111"/>
      <c r="H2683" s="111"/>
      <c r="J2683" s="111"/>
    </row>
    <row r="2684" spans="1:10" s="3" customFormat="1" x14ac:dyDescent="0.25">
      <c r="A2684" s="112"/>
      <c r="D2684" s="111"/>
      <c r="E2684" s="111"/>
      <c r="F2684" s="112"/>
      <c r="G2684" s="111"/>
      <c r="H2684" s="111"/>
      <c r="J2684" s="111"/>
    </row>
    <row r="2685" spans="1:10" s="3" customFormat="1" x14ac:dyDescent="0.25">
      <c r="A2685" s="112"/>
      <c r="D2685" s="111"/>
      <c r="E2685" s="111"/>
      <c r="F2685" s="112"/>
      <c r="G2685" s="111"/>
      <c r="H2685" s="111"/>
      <c r="J2685" s="111"/>
    </row>
    <row r="2686" spans="1:10" s="3" customFormat="1" x14ac:dyDescent="0.25">
      <c r="A2686" s="112"/>
      <c r="D2686" s="111"/>
      <c r="E2686" s="111"/>
      <c r="F2686" s="112"/>
      <c r="G2686" s="111"/>
      <c r="H2686" s="111"/>
      <c r="J2686" s="111"/>
    </row>
    <row r="2687" spans="1:10" s="3" customFormat="1" x14ac:dyDescent="0.25">
      <c r="A2687" s="112"/>
      <c r="D2687" s="111"/>
      <c r="E2687" s="111"/>
      <c r="F2687" s="112"/>
      <c r="G2687" s="111"/>
      <c r="H2687" s="111"/>
      <c r="J2687" s="111"/>
    </row>
    <row r="2688" spans="1:10" s="3" customFormat="1" x14ac:dyDescent="0.25">
      <c r="A2688" s="112"/>
      <c r="D2688" s="111"/>
      <c r="E2688" s="111"/>
      <c r="F2688" s="112"/>
      <c r="G2688" s="111"/>
      <c r="H2688" s="111"/>
      <c r="J2688" s="111"/>
    </row>
    <row r="2689" spans="1:10" s="3" customFormat="1" x14ac:dyDescent="0.25">
      <c r="A2689" s="112"/>
      <c r="D2689" s="111"/>
      <c r="E2689" s="111"/>
      <c r="F2689" s="112"/>
      <c r="G2689" s="111"/>
      <c r="H2689" s="111"/>
      <c r="J2689" s="111"/>
    </row>
    <row r="2690" spans="1:10" s="3" customFormat="1" x14ac:dyDescent="0.25">
      <c r="A2690" s="112"/>
      <c r="D2690" s="111"/>
      <c r="E2690" s="111"/>
      <c r="F2690" s="112"/>
      <c r="G2690" s="111"/>
      <c r="H2690" s="111"/>
      <c r="J2690" s="111"/>
    </row>
    <row r="2691" spans="1:10" s="3" customFormat="1" x14ac:dyDescent="0.25">
      <c r="A2691" s="112"/>
      <c r="D2691" s="111"/>
      <c r="E2691" s="111"/>
      <c r="F2691" s="112"/>
      <c r="G2691" s="111"/>
      <c r="H2691" s="111"/>
      <c r="J2691" s="111"/>
    </row>
    <row r="2692" spans="1:10" s="3" customFormat="1" x14ac:dyDescent="0.25">
      <c r="A2692" s="112"/>
      <c r="D2692" s="111"/>
      <c r="E2692" s="111"/>
      <c r="F2692" s="112"/>
      <c r="G2692" s="111"/>
      <c r="H2692" s="111"/>
      <c r="J2692" s="111"/>
    </row>
    <row r="2693" spans="1:10" s="3" customFormat="1" x14ac:dyDescent="0.25">
      <c r="A2693" s="112"/>
      <c r="D2693" s="111"/>
      <c r="E2693" s="111"/>
      <c r="F2693" s="112"/>
      <c r="G2693" s="111"/>
      <c r="H2693" s="111"/>
      <c r="J2693" s="111"/>
    </row>
    <row r="2694" spans="1:10" s="3" customFormat="1" x14ac:dyDescent="0.25">
      <c r="A2694" s="112"/>
      <c r="D2694" s="111"/>
      <c r="E2694" s="111"/>
      <c r="F2694" s="112"/>
      <c r="G2694" s="111"/>
      <c r="H2694" s="111"/>
      <c r="J2694" s="111"/>
    </row>
    <row r="2695" spans="1:10" s="3" customFormat="1" x14ac:dyDescent="0.25">
      <c r="A2695" s="112"/>
      <c r="D2695" s="111"/>
      <c r="E2695" s="111"/>
      <c r="F2695" s="112"/>
      <c r="G2695" s="111"/>
      <c r="H2695" s="111"/>
      <c r="J2695" s="111"/>
    </row>
    <row r="2696" spans="1:10" s="3" customFormat="1" x14ac:dyDescent="0.25">
      <c r="A2696" s="112"/>
      <c r="D2696" s="111"/>
      <c r="E2696" s="111"/>
      <c r="F2696" s="112"/>
      <c r="G2696" s="111"/>
      <c r="H2696" s="111"/>
      <c r="J2696" s="111"/>
    </row>
    <row r="2697" spans="1:10" s="3" customFormat="1" x14ac:dyDescent="0.25">
      <c r="A2697" s="112"/>
      <c r="D2697" s="111"/>
      <c r="E2697" s="111"/>
      <c r="F2697" s="112"/>
      <c r="G2697" s="111"/>
      <c r="H2697" s="111"/>
      <c r="J2697" s="111"/>
    </row>
    <row r="2698" spans="1:10" s="3" customFormat="1" x14ac:dyDescent="0.25">
      <c r="A2698" s="112"/>
      <c r="D2698" s="111"/>
      <c r="E2698" s="111"/>
      <c r="F2698" s="112"/>
      <c r="G2698" s="111"/>
      <c r="H2698" s="111"/>
      <c r="J2698" s="111"/>
    </row>
    <row r="2699" spans="1:10" s="3" customFormat="1" x14ac:dyDescent="0.25">
      <c r="A2699" s="112"/>
      <c r="D2699" s="111"/>
      <c r="E2699" s="111"/>
      <c r="F2699" s="112"/>
      <c r="G2699" s="111"/>
      <c r="H2699" s="111"/>
      <c r="J2699" s="111"/>
    </row>
    <row r="2700" spans="1:10" s="3" customFormat="1" x14ac:dyDescent="0.25">
      <c r="A2700" s="112"/>
      <c r="D2700" s="111"/>
      <c r="E2700" s="111"/>
      <c r="F2700" s="112"/>
      <c r="G2700" s="111"/>
      <c r="H2700" s="111"/>
      <c r="J2700" s="111"/>
    </row>
    <row r="2701" spans="1:10" s="3" customFormat="1" x14ac:dyDescent="0.25">
      <c r="A2701" s="112"/>
      <c r="D2701" s="111"/>
      <c r="E2701" s="111"/>
      <c r="F2701" s="112"/>
      <c r="G2701" s="111"/>
      <c r="H2701" s="111"/>
      <c r="J2701" s="111"/>
    </row>
    <row r="2702" spans="1:10" s="3" customFormat="1" x14ac:dyDescent="0.25">
      <c r="A2702" s="112"/>
      <c r="D2702" s="111"/>
      <c r="E2702" s="111"/>
      <c r="F2702" s="112"/>
      <c r="G2702" s="111"/>
      <c r="H2702" s="111"/>
      <c r="J2702" s="111"/>
    </row>
    <row r="2703" spans="1:10" s="3" customFormat="1" x14ac:dyDescent="0.25">
      <c r="A2703" s="112"/>
      <c r="D2703" s="111"/>
      <c r="E2703" s="111"/>
      <c r="F2703" s="112"/>
      <c r="G2703" s="111"/>
      <c r="H2703" s="111"/>
      <c r="J2703" s="111"/>
    </row>
    <row r="2704" spans="1:10" s="3" customFormat="1" x14ac:dyDescent="0.25">
      <c r="A2704" s="112"/>
      <c r="D2704" s="111"/>
      <c r="E2704" s="111"/>
      <c r="F2704" s="112"/>
      <c r="G2704" s="111"/>
      <c r="H2704" s="111"/>
      <c r="J2704" s="111"/>
    </row>
    <row r="2705" spans="1:10" s="3" customFormat="1" x14ac:dyDescent="0.25">
      <c r="A2705" s="112"/>
      <c r="D2705" s="111"/>
      <c r="E2705" s="111"/>
      <c r="F2705" s="112"/>
      <c r="G2705" s="111"/>
      <c r="H2705" s="111"/>
      <c r="J2705" s="111"/>
    </row>
    <row r="2706" spans="1:10" s="3" customFormat="1" x14ac:dyDescent="0.25">
      <c r="A2706" s="112"/>
      <c r="D2706" s="111"/>
      <c r="E2706" s="111"/>
      <c r="F2706" s="112"/>
      <c r="G2706" s="111"/>
      <c r="H2706" s="111"/>
      <c r="J2706" s="111"/>
    </row>
    <row r="2707" spans="1:10" s="3" customFormat="1" x14ac:dyDescent="0.25">
      <c r="A2707" s="112"/>
      <c r="D2707" s="111"/>
      <c r="E2707" s="111"/>
      <c r="F2707" s="112"/>
      <c r="G2707" s="111"/>
      <c r="H2707" s="111"/>
      <c r="J2707" s="111"/>
    </row>
    <row r="2708" spans="1:10" s="3" customFormat="1" x14ac:dyDescent="0.25">
      <c r="A2708" s="112"/>
      <c r="D2708" s="111"/>
      <c r="E2708" s="111"/>
      <c r="F2708" s="112"/>
      <c r="G2708" s="111"/>
      <c r="H2708" s="111"/>
      <c r="J2708" s="111"/>
    </row>
    <row r="2709" spans="1:10" s="3" customFormat="1" x14ac:dyDescent="0.25">
      <c r="A2709" s="112"/>
      <c r="D2709" s="111"/>
      <c r="E2709" s="111"/>
      <c r="F2709" s="112"/>
      <c r="G2709" s="111"/>
      <c r="H2709" s="111"/>
      <c r="J2709" s="111"/>
    </row>
    <row r="2710" spans="1:10" s="3" customFormat="1" x14ac:dyDescent="0.25">
      <c r="A2710" s="112"/>
      <c r="D2710" s="111"/>
      <c r="E2710" s="111"/>
      <c r="F2710" s="112"/>
      <c r="G2710" s="111"/>
      <c r="H2710" s="111"/>
      <c r="J2710" s="111"/>
    </row>
    <row r="2711" spans="1:10" s="3" customFormat="1" x14ac:dyDescent="0.25">
      <c r="A2711" s="112"/>
      <c r="D2711" s="111"/>
      <c r="E2711" s="111"/>
      <c r="F2711" s="112"/>
      <c r="G2711" s="111"/>
      <c r="H2711" s="111"/>
      <c r="J2711" s="111"/>
    </row>
    <row r="2712" spans="1:10" s="3" customFormat="1" x14ac:dyDescent="0.25">
      <c r="A2712" s="112"/>
      <c r="D2712" s="111"/>
      <c r="E2712" s="111"/>
      <c r="F2712" s="112"/>
      <c r="G2712" s="111"/>
      <c r="H2712" s="111"/>
      <c r="J2712" s="111"/>
    </row>
    <row r="2713" spans="1:10" s="3" customFormat="1" x14ac:dyDescent="0.25">
      <c r="A2713" s="112"/>
      <c r="D2713" s="111"/>
      <c r="E2713" s="111"/>
      <c r="F2713" s="112"/>
      <c r="G2713" s="111"/>
      <c r="H2713" s="111"/>
      <c r="J2713" s="111"/>
    </row>
    <row r="2714" spans="1:10" s="3" customFormat="1" x14ac:dyDescent="0.25">
      <c r="A2714" s="112"/>
      <c r="D2714" s="111"/>
      <c r="E2714" s="111"/>
      <c r="F2714" s="112"/>
      <c r="G2714" s="111"/>
      <c r="H2714" s="111"/>
      <c r="J2714" s="111"/>
    </row>
    <row r="2715" spans="1:10" s="3" customFormat="1" x14ac:dyDescent="0.25">
      <c r="A2715" s="112"/>
      <c r="D2715" s="111"/>
      <c r="E2715" s="111"/>
      <c r="F2715" s="112"/>
      <c r="G2715" s="111"/>
      <c r="H2715" s="111"/>
      <c r="J2715" s="111"/>
    </row>
    <row r="2716" spans="1:10" s="3" customFormat="1" x14ac:dyDescent="0.25">
      <c r="A2716" s="112"/>
      <c r="D2716" s="111"/>
      <c r="E2716" s="111"/>
      <c r="F2716" s="112"/>
      <c r="G2716" s="111"/>
      <c r="H2716" s="111"/>
      <c r="J2716" s="111"/>
    </row>
    <row r="2717" spans="1:10" s="3" customFormat="1" x14ac:dyDescent="0.25">
      <c r="A2717" s="112"/>
      <c r="D2717" s="111"/>
      <c r="E2717" s="111"/>
      <c r="F2717" s="112"/>
      <c r="G2717" s="111"/>
      <c r="H2717" s="111"/>
      <c r="J2717" s="111"/>
    </row>
    <row r="2718" spans="1:10" s="3" customFormat="1" x14ac:dyDescent="0.25">
      <c r="A2718" s="112"/>
      <c r="D2718" s="111"/>
      <c r="E2718" s="111"/>
      <c r="F2718" s="112"/>
      <c r="G2718" s="111"/>
      <c r="H2718" s="111"/>
      <c r="J2718" s="111"/>
    </row>
    <row r="2719" spans="1:10" s="3" customFormat="1" x14ac:dyDescent="0.25">
      <c r="A2719" s="112"/>
      <c r="D2719" s="111"/>
      <c r="E2719" s="111"/>
      <c r="F2719" s="112"/>
      <c r="G2719" s="111"/>
      <c r="H2719" s="111"/>
      <c r="J2719" s="111"/>
    </row>
    <row r="2720" spans="1:10" s="3" customFormat="1" x14ac:dyDescent="0.25">
      <c r="A2720" s="112"/>
      <c r="D2720" s="111"/>
      <c r="E2720" s="111"/>
      <c r="F2720" s="112"/>
      <c r="G2720" s="111"/>
      <c r="H2720" s="111"/>
      <c r="J2720" s="111"/>
    </row>
    <row r="2721" spans="1:10" s="3" customFormat="1" x14ac:dyDescent="0.25">
      <c r="A2721" s="112"/>
      <c r="D2721" s="111"/>
      <c r="E2721" s="111"/>
      <c r="F2721" s="112"/>
      <c r="G2721" s="111"/>
      <c r="H2721" s="111"/>
      <c r="J2721" s="111"/>
    </row>
    <row r="2722" spans="1:10" s="3" customFormat="1" x14ac:dyDescent="0.25">
      <c r="A2722" s="112"/>
      <c r="D2722" s="111"/>
      <c r="E2722" s="111"/>
      <c r="F2722" s="112"/>
      <c r="G2722" s="111"/>
      <c r="H2722" s="111"/>
      <c r="J2722" s="111"/>
    </row>
    <row r="2723" spans="1:10" s="3" customFormat="1" x14ac:dyDescent="0.25">
      <c r="A2723" s="112"/>
      <c r="D2723" s="111"/>
      <c r="E2723" s="111"/>
      <c r="F2723" s="112"/>
      <c r="G2723" s="111"/>
      <c r="H2723" s="111"/>
      <c r="J2723" s="111"/>
    </row>
    <row r="2724" spans="1:10" s="3" customFormat="1" x14ac:dyDescent="0.25">
      <c r="A2724" s="112"/>
      <c r="D2724" s="111"/>
      <c r="E2724" s="111"/>
      <c r="F2724" s="112"/>
      <c r="G2724" s="111"/>
      <c r="H2724" s="111"/>
      <c r="J2724" s="111"/>
    </row>
    <row r="2725" spans="1:10" s="3" customFormat="1" x14ac:dyDescent="0.25">
      <c r="A2725" s="112"/>
      <c r="D2725" s="111"/>
      <c r="E2725" s="111"/>
      <c r="F2725" s="112"/>
      <c r="G2725" s="111"/>
      <c r="H2725" s="111"/>
      <c r="J2725" s="111"/>
    </row>
    <row r="2726" spans="1:10" s="3" customFormat="1" x14ac:dyDescent="0.25">
      <c r="A2726" s="112"/>
      <c r="D2726" s="111"/>
      <c r="E2726" s="111"/>
      <c r="F2726" s="112"/>
      <c r="G2726" s="111"/>
      <c r="H2726" s="111"/>
      <c r="J2726" s="111"/>
    </row>
    <row r="2727" spans="1:10" s="3" customFormat="1" x14ac:dyDescent="0.25">
      <c r="A2727" s="112"/>
      <c r="D2727" s="111"/>
      <c r="E2727" s="111"/>
      <c r="F2727" s="112"/>
      <c r="G2727" s="111"/>
      <c r="H2727" s="111"/>
      <c r="J2727" s="111"/>
    </row>
    <row r="2728" spans="1:10" s="3" customFormat="1" x14ac:dyDescent="0.25">
      <c r="A2728" s="112"/>
      <c r="D2728" s="111"/>
      <c r="E2728" s="111"/>
      <c r="F2728" s="112"/>
      <c r="G2728" s="111"/>
      <c r="H2728" s="111"/>
      <c r="J2728" s="111"/>
    </row>
    <row r="2729" spans="1:10" s="3" customFormat="1" x14ac:dyDescent="0.25">
      <c r="A2729" s="112"/>
      <c r="D2729" s="111"/>
      <c r="E2729" s="111"/>
      <c r="F2729" s="112"/>
      <c r="G2729" s="111"/>
      <c r="H2729" s="111"/>
      <c r="J2729" s="111"/>
    </row>
    <row r="2730" spans="1:10" s="3" customFormat="1" x14ac:dyDescent="0.25">
      <c r="A2730" s="112"/>
      <c r="D2730" s="111"/>
      <c r="E2730" s="111"/>
      <c r="F2730" s="112"/>
      <c r="G2730" s="111"/>
      <c r="H2730" s="111"/>
      <c r="J2730" s="111"/>
    </row>
    <row r="2731" spans="1:10" s="3" customFormat="1" x14ac:dyDescent="0.25">
      <c r="A2731" s="112"/>
      <c r="D2731" s="111"/>
      <c r="E2731" s="111"/>
      <c r="F2731" s="112"/>
      <c r="G2731" s="111"/>
      <c r="H2731" s="111"/>
      <c r="J2731" s="111"/>
    </row>
    <row r="2732" spans="1:10" s="3" customFormat="1" x14ac:dyDescent="0.25">
      <c r="A2732" s="112"/>
      <c r="D2732" s="111"/>
      <c r="E2732" s="111"/>
      <c r="F2732" s="112"/>
      <c r="G2732" s="111"/>
      <c r="H2732" s="111"/>
      <c r="J2732" s="111"/>
    </row>
    <row r="2733" spans="1:10" s="3" customFormat="1" x14ac:dyDescent="0.25">
      <c r="A2733" s="112"/>
      <c r="D2733" s="111"/>
      <c r="E2733" s="111"/>
      <c r="F2733" s="112"/>
      <c r="G2733" s="111"/>
      <c r="H2733" s="111"/>
      <c r="J2733" s="111"/>
    </row>
    <row r="2734" spans="1:10" s="3" customFormat="1" x14ac:dyDescent="0.25">
      <c r="A2734" s="112"/>
      <c r="D2734" s="111"/>
      <c r="E2734" s="111"/>
      <c r="F2734" s="112"/>
      <c r="G2734" s="111"/>
      <c r="H2734" s="111"/>
      <c r="J2734" s="111"/>
    </row>
    <row r="2735" spans="1:10" s="3" customFormat="1" x14ac:dyDescent="0.25">
      <c r="A2735" s="112"/>
      <c r="D2735" s="111"/>
      <c r="E2735" s="111"/>
      <c r="F2735" s="112"/>
      <c r="G2735" s="111"/>
      <c r="H2735" s="111"/>
      <c r="J2735" s="111"/>
    </row>
    <row r="2736" spans="1:10" s="3" customFormat="1" x14ac:dyDescent="0.25">
      <c r="A2736" s="112"/>
      <c r="D2736" s="111"/>
      <c r="E2736" s="111"/>
      <c r="F2736" s="112"/>
      <c r="G2736" s="111"/>
      <c r="H2736" s="111"/>
      <c r="J2736" s="111"/>
    </row>
    <row r="2737" spans="1:10" s="3" customFormat="1" x14ac:dyDescent="0.25">
      <c r="A2737" s="112"/>
      <c r="D2737" s="111"/>
      <c r="E2737" s="111"/>
      <c r="F2737" s="112"/>
      <c r="G2737" s="111"/>
      <c r="H2737" s="111"/>
      <c r="J2737" s="111"/>
    </row>
    <row r="2738" spans="1:10" s="3" customFormat="1" x14ac:dyDescent="0.25">
      <c r="A2738" s="112"/>
      <c r="D2738" s="111"/>
      <c r="E2738" s="111"/>
      <c r="F2738" s="112"/>
      <c r="G2738" s="111"/>
      <c r="H2738" s="111"/>
      <c r="J2738" s="111"/>
    </row>
    <row r="2739" spans="1:10" s="3" customFormat="1" x14ac:dyDescent="0.25">
      <c r="A2739" s="112"/>
      <c r="D2739" s="111"/>
      <c r="E2739" s="111"/>
      <c r="F2739" s="112"/>
      <c r="G2739" s="111"/>
      <c r="H2739" s="111"/>
      <c r="J2739" s="111"/>
    </row>
    <row r="2740" spans="1:10" s="3" customFormat="1" x14ac:dyDescent="0.25">
      <c r="A2740" s="112"/>
      <c r="D2740" s="111"/>
      <c r="E2740" s="111"/>
      <c r="F2740" s="112"/>
      <c r="G2740" s="111"/>
      <c r="H2740" s="111"/>
      <c r="J2740" s="111"/>
    </row>
    <row r="2741" spans="1:10" s="3" customFormat="1" x14ac:dyDescent="0.25">
      <c r="A2741" s="112"/>
      <c r="D2741" s="111"/>
      <c r="E2741" s="111"/>
      <c r="F2741" s="112"/>
      <c r="G2741" s="111"/>
      <c r="H2741" s="111"/>
      <c r="J2741" s="111"/>
    </row>
    <row r="2742" spans="1:10" s="3" customFormat="1" x14ac:dyDescent="0.25">
      <c r="A2742" s="112"/>
      <c r="D2742" s="111"/>
      <c r="E2742" s="111"/>
      <c r="F2742" s="112"/>
      <c r="G2742" s="111"/>
      <c r="H2742" s="111"/>
      <c r="J2742" s="111"/>
    </row>
    <row r="2743" spans="1:10" s="3" customFormat="1" x14ac:dyDescent="0.25">
      <c r="A2743" s="112"/>
      <c r="D2743" s="111"/>
      <c r="E2743" s="111"/>
      <c r="F2743" s="112"/>
      <c r="G2743" s="111"/>
      <c r="H2743" s="111"/>
      <c r="J2743" s="111"/>
    </row>
    <row r="2744" spans="1:10" s="3" customFormat="1" x14ac:dyDescent="0.25">
      <c r="A2744" s="112"/>
      <c r="D2744" s="111"/>
      <c r="E2744" s="111"/>
      <c r="F2744" s="112"/>
      <c r="G2744" s="111"/>
      <c r="H2744" s="111"/>
      <c r="J2744" s="111"/>
    </row>
    <row r="2745" spans="1:10" s="3" customFormat="1" x14ac:dyDescent="0.25">
      <c r="A2745" s="112"/>
      <c r="D2745" s="111"/>
      <c r="E2745" s="111"/>
      <c r="F2745" s="112"/>
      <c r="G2745" s="111"/>
      <c r="H2745" s="111"/>
      <c r="J2745" s="111"/>
    </row>
    <row r="2746" spans="1:10" s="3" customFormat="1" x14ac:dyDescent="0.25">
      <c r="A2746" s="112"/>
      <c r="D2746" s="111"/>
      <c r="E2746" s="111"/>
      <c r="F2746" s="112"/>
      <c r="G2746" s="111"/>
      <c r="H2746" s="111"/>
      <c r="J2746" s="111"/>
    </row>
    <row r="2747" spans="1:10" s="3" customFormat="1" x14ac:dyDescent="0.25">
      <c r="A2747" s="112"/>
      <c r="D2747" s="111"/>
      <c r="E2747" s="111"/>
      <c r="F2747" s="112"/>
      <c r="G2747" s="111"/>
      <c r="H2747" s="111"/>
      <c r="J2747" s="111"/>
    </row>
    <row r="2748" spans="1:10" s="3" customFormat="1" x14ac:dyDescent="0.25">
      <c r="A2748" s="112"/>
      <c r="D2748" s="111"/>
      <c r="E2748" s="111"/>
      <c r="F2748" s="112"/>
      <c r="G2748" s="111"/>
      <c r="H2748" s="111"/>
      <c r="J2748" s="111"/>
    </row>
    <row r="2749" spans="1:10" s="3" customFormat="1" x14ac:dyDescent="0.25">
      <c r="A2749" s="112"/>
      <c r="D2749" s="111"/>
      <c r="E2749" s="111"/>
      <c r="F2749" s="112"/>
      <c r="G2749" s="111"/>
      <c r="H2749" s="111"/>
      <c r="J2749" s="111"/>
    </row>
    <row r="2750" spans="1:10" s="3" customFormat="1" x14ac:dyDescent="0.25">
      <c r="A2750" s="112"/>
      <c r="D2750" s="111"/>
      <c r="E2750" s="111"/>
      <c r="F2750" s="112"/>
      <c r="G2750" s="111"/>
      <c r="H2750" s="111"/>
      <c r="J2750" s="111"/>
    </row>
    <row r="2751" spans="1:10" s="3" customFormat="1" x14ac:dyDescent="0.25">
      <c r="A2751" s="112"/>
      <c r="D2751" s="111"/>
      <c r="E2751" s="111"/>
      <c r="F2751" s="112"/>
      <c r="G2751" s="111"/>
      <c r="H2751" s="111"/>
      <c r="J2751" s="111"/>
    </row>
    <row r="2752" spans="1:10" s="3" customFormat="1" x14ac:dyDescent="0.25">
      <c r="A2752" s="112"/>
      <c r="D2752" s="111"/>
      <c r="E2752" s="111"/>
      <c r="F2752" s="112"/>
      <c r="G2752" s="111"/>
      <c r="H2752" s="111"/>
      <c r="J2752" s="111"/>
    </row>
    <row r="2753" spans="1:10" s="3" customFormat="1" x14ac:dyDescent="0.25">
      <c r="A2753" s="112"/>
      <c r="D2753" s="111"/>
      <c r="E2753" s="111"/>
      <c r="F2753" s="112"/>
      <c r="G2753" s="111"/>
      <c r="H2753" s="111"/>
      <c r="J2753" s="111"/>
    </row>
    <row r="2754" spans="1:10" s="3" customFormat="1" x14ac:dyDescent="0.25">
      <c r="A2754" s="112"/>
      <c r="D2754" s="111"/>
      <c r="E2754" s="111"/>
      <c r="F2754" s="112"/>
      <c r="G2754" s="111"/>
      <c r="H2754" s="111"/>
      <c r="J2754" s="111"/>
    </row>
    <row r="2755" spans="1:10" s="3" customFormat="1" x14ac:dyDescent="0.25">
      <c r="A2755" s="112"/>
      <c r="D2755" s="111"/>
      <c r="E2755" s="111"/>
      <c r="F2755" s="112"/>
      <c r="G2755" s="111"/>
      <c r="H2755" s="111"/>
      <c r="J2755" s="111"/>
    </row>
    <row r="2756" spans="1:10" s="3" customFormat="1" x14ac:dyDescent="0.25">
      <c r="A2756" s="112"/>
      <c r="D2756" s="111"/>
      <c r="E2756" s="111"/>
      <c r="F2756" s="112"/>
      <c r="G2756" s="111"/>
      <c r="H2756" s="111"/>
      <c r="J2756" s="111"/>
    </row>
    <row r="2757" spans="1:10" s="3" customFormat="1" x14ac:dyDescent="0.25">
      <c r="A2757" s="112"/>
      <c r="D2757" s="111"/>
      <c r="E2757" s="111"/>
      <c r="F2757" s="112"/>
      <c r="G2757" s="111"/>
      <c r="H2757" s="111"/>
      <c r="J2757" s="111"/>
    </row>
    <row r="2758" spans="1:10" s="3" customFormat="1" x14ac:dyDescent="0.25">
      <c r="A2758" s="112"/>
      <c r="D2758" s="111"/>
      <c r="E2758" s="111"/>
      <c r="F2758" s="112"/>
      <c r="G2758" s="111"/>
      <c r="H2758" s="111"/>
      <c r="J2758" s="111"/>
    </row>
    <row r="2759" spans="1:10" s="3" customFormat="1" x14ac:dyDescent="0.25">
      <c r="A2759" s="112"/>
      <c r="D2759" s="111"/>
      <c r="E2759" s="111"/>
      <c r="F2759" s="112"/>
      <c r="G2759" s="111"/>
      <c r="H2759" s="111"/>
      <c r="J2759" s="111"/>
    </row>
    <row r="2760" spans="1:10" s="3" customFormat="1" x14ac:dyDescent="0.25">
      <c r="A2760" s="112"/>
      <c r="D2760" s="111"/>
      <c r="E2760" s="111"/>
      <c r="F2760" s="112"/>
      <c r="G2760" s="111"/>
      <c r="H2760" s="111"/>
      <c r="J2760" s="111"/>
    </row>
    <row r="2761" spans="1:10" s="3" customFormat="1" x14ac:dyDescent="0.25">
      <c r="A2761" s="112"/>
      <c r="D2761" s="111"/>
      <c r="E2761" s="111"/>
      <c r="F2761" s="112"/>
      <c r="G2761" s="111"/>
      <c r="H2761" s="111"/>
      <c r="J2761" s="111"/>
    </row>
  </sheetData>
  <sheetProtection password="C68E" sheet="1" objects="1" scenarios="1"/>
  <mergeCells count="1">
    <mergeCell ref="A1:J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7" tint="-0.249977111117893"/>
  </sheetPr>
  <dimension ref="A1"/>
  <sheetViews>
    <sheetView workbookViewId="0">
      <selection activeCell="I14" sqref="I14"/>
    </sheetView>
  </sheetViews>
  <sheetFormatPr baseColWidth="10"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L211"/>
  <sheetViews>
    <sheetView topLeftCell="A28" workbookViewId="0">
      <selection activeCell="L43" sqref="L43"/>
    </sheetView>
  </sheetViews>
  <sheetFormatPr baseColWidth="10" defaultRowHeight="15" x14ac:dyDescent="0.25"/>
  <cols>
    <col min="1" max="1" width="14.28515625" bestFit="1" customWidth="1"/>
    <col min="2" max="2" width="21.42578125" bestFit="1" customWidth="1"/>
    <col min="3" max="3" width="11.7109375" bestFit="1" customWidth="1"/>
    <col min="4" max="4" width="14.7109375" bestFit="1" customWidth="1"/>
    <col min="5" max="6" width="7" bestFit="1" customWidth="1"/>
    <col min="7" max="7" width="8.85546875" bestFit="1" customWidth="1"/>
    <col min="8" max="8" width="7.5703125" bestFit="1" customWidth="1"/>
    <col min="9" max="9" width="5" bestFit="1" customWidth="1"/>
    <col min="11" max="11" width="24.42578125" bestFit="1" customWidth="1"/>
  </cols>
  <sheetData>
    <row r="1" spans="1:12" x14ac:dyDescent="0.25">
      <c r="A1" s="104" t="s">
        <v>7692</v>
      </c>
      <c r="B1" s="104" t="s">
        <v>7693</v>
      </c>
      <c r="C1" s="104" t="s">
        <v>7694</v>
      </c>
      <c r="D1" s="104" t="s">
        <v>7695</v>
      </c>
      <c r="E1" s="104" t="s">
        <v>7696</v>
      </c>
      <c r="F1" s="104" t="s">
        <v>7697</v>
      </c>
      <c r="G1" s="104" t="s">
        <v>7698</v>
      </c>
      <c r="H1" s="104" t="s">
        <v>7699</v>
      </c>
      <c r="I1" s="104" t="s">
        <v>7700</v>
      </c>
      <c r="J1" s="104" t="s">
        <v>7701</v>
      </c>
      <c r="K1" s="104" t="s">
        <v>7702</v>
      </c>
      <c r="L1" s="104" t="s">
        <v>7922</v>
      </c>
    </row>
    <row r="2" spans="1:12" x14ac:dyDescent="0.25">
      <c r="A2" s="105" t="s">
        <v>7703</v>
      </c>
      <c r="B2" s="104"/>
      <c r="C2" s="104" t="s">
        <v>7704</v>
      </c>
      <c r="D2" s="104"/>
      <c r="E2" s="104" t="s">
        <v>7705</v>
      </c>
      <c r="F2" s="104" t="s">
        <v>7706</v>
      </c>
      <c r="G2" s="104" t="s">
        <v>7707</v>
      </c>
      <c r="H2" s="104" t="s">
        <v>7708</v>
      </c>
      <c r="I2" s="104" t="s">
        <v>7709</v>
      </c>
      <c r="J2" s="105" t="s">
        <v>7703</v>
      </c>
      <c r="K2" s="104"/>
      <c r="L2" s="104" t="s">
        <v>7704</v>
      </c>
    </row>
    <row r="3" spans="1:12" x14ac:dyDescent="0.25">
      <c r="A3" s="105" t="s">
        <v>21</v>
      </c>
      <c r="B3" s="104" t="s">
        <v>7710</v>
      </c>
      <c r="C3" s="104" t="s">
        <v>7394</v>
      </c>
      <c r="D3" s="104">
        <v>1</v>
      </c>
      <c r="E3" s="104" t="s">
        <v>7711</v>
      </c>
      <c r="F3" s="104" t="s">
        <v>7712</v>
      </c>
      <c r="G3" s="104" t="s">
        <v>7713</v>
      </c>
      <c r="H3" s="104" t="s">
        <v>7714</v>
      </c>
      <c r="I3" s="104" t="s">
        <v>7715</v>
      </c>
      <c r="J3" s="105" t="s">
        <v>21</v>
      </c>
      <c r="K3" s="104" t="str">
        <f>CONCATENATE(Tabla1[[#This Row],[EQUIVALENCIA]],". ",Tabla1[[#This Row],[CAMUFLADO]])</f>
        <v>01. Pitón Gris</v>
      </c>
      <c r="L3" s="104" t="s">
        <v>7394</v>
      </c>
    </row>
    <row r="4" spans="1:12" x14ac:dyDescent="0.25">
      <c r="A4" s="105" t="s">
        <v>7716</v>
      </c>
      <c r="B4" s="104" t="s">
        <v>7717</v>
      </c>
      <c r="C4" s="104" t="s">
        <v>7718</v>
      </c>
      <c r="D4" s="104">
        <v>2</v>
      </c>
      <c r="E4" s="104" t="s">
        <v>7719</v>
      </c>
      <c r="F4" s="104"/>
      <c r="G4" s="104" t="s">
        <v>7720</v>
      </c>
      <c r="H4" s="104" t="s">
        <v>7721</v>
      </c>
      <c r="I4" s="104"/>
      <c r="J4" s="105" t="s">
        <v>7716</v>
      </c>
      <c r="K4" s="104" t="str">
        <f>CONCATENATE(Tabla1[[#This Row],[EQUIVALENCIA]],". ",Tabla1[[#This Row],[CAMUFLADO]])</f>
        <v>02. Pitón Beige</v>
      </c>
      <c r="L4" s="104" t="s">
        <v>7718</v>
      </c>
    </row>
    <row r="5" spans="1:12" x14ac:dyDescent="0.25">
      <c r="A5" s="105" t="s">
        <v>7722</v>
      </c>
      <c r="B5" s="104" t="s">
        <v>7723</v>
      </c>
      <c r="C5" s="104" t="s">
        <v>7724</v>
      </c>
      <c r="D5" s="104">
        <v>3</v>
      </c>
      <c r="E5" s="104"/>
      <c r="F5" s="104"/>
      <c r="G5" s="104"/>
      <c r="H5" s="104" t="s">
        <v>7725</v>
      </c>
      <c r="I5" s="104"/>
      <c r="J5" s="105" t="s">
        <v>7722</v>
      </c>
      <c r="K5" s="104" t="str">
        <f>CONCATENATE(Tabla1[[#This Row],[EQUIVALENCIA]],". ",Tabla1[[#This Row],[CAMUFLADO]])</f>
        <v>03. Beige</v>
      </c>
      <c r="L5" s="104" t="s">
        <v>7724</v>
      </c>
    </row>
    <row r="6" spans="1:12" x14ac:dyDescent="0.25">
      <c r="A6" s="105" t="s">
        <v>7726</v>
      </c>
      <c r="B6" s="104" t="s">
        <v>7727</v>
      </c>
      <c r="C6" s="104" t="s">
        <v>7728</v>
      </c>
      <c r="D6" s="104">
        <v>4</v>
      </c>
      <c r="E6" s="104"/>
      <c r="F6" s="104"/>
      <c r="G6" s="104"/>
      <c r="H6" s="104" t="s">
        <v>7729</v>
      </c>
      <c r="I6" s="104"/>
      <c r="J6" s="105" t="s">
        <v>7726</v>
      </c>
      <c r="K6" s="104" t="str">
        <f>CONCATENATE(Tabla1[[#This Row],[EQUIVALENCIA]],". ",Tabla1[[#This Row],[CAMUFLADO]])</f>
        <v>04. Woodland</v>
      </c>
      <c r="L6" s="104" t="s">
        <v>7728</v>
      </c>
    </row>
    <row r="7" spans="1:12" x14ac:dyDescent="0.25">
      <c r="A7" s="105" t="s">
        <v>7730</v>
      </c>
      <c r="B7" s="104" t="s">
        <v>7731</v>
      </c>
      <c r="C7" s="104" t="s">
        <v>7732</v>
      </c>
      <c r="D7" s="104">
        <v>5</v>
      </c>
      <c r="E7" s="104"/>
      <c r="F7" s="104"/>
      <c r="G7" s="104"/>
      <c r="H7" s="104" t="s">
        <v>7733</v>
      </c>
      <c r="I7" s="104"/>
      <c r="J7" s="105" t="s">
        <v>7730</v>
      </c>
      <c r="K7" s="104" t="str">
        <f>CONCATENATE(Tabla1[[#This Row],[EQUIVALENCIA]],". ",Tabla1[[#This Row],[CAMUFLADO]])</f>
        <v>05. Digital Desert</v>
      </c>
      <c r="L7" s="104" t="s">
        <v>7732</v>
      </c>
    </row>
    <row r="8" spans="1:12" x14ac:dyDescent="0.25">
      <c r="A8" s="105" t="s">
        <v>7734</v>
      </c>
      <c r="B8" s="104" t="s">
        <v>7735</v>
      </c>
      <c r="C8" s="104" t="s">
        <v>7736</v>
      </c>
      <c r="D8" s="104">
        <v>6</v>
      </c>
      <c r="E8" s="104"/>
      <c r="F8" s="104"/>
      <c r="G8" s="104"/>
      <c r="H8" s="104" t="s">
        <v>7737</v>
      </c>
      <c r="I8" s="104"/>
      <c r="J8" s="105" t="s">
        <v>7734</v>
      </c>
      <c r="K8" s="104" t="str">
        <f>CONCATENATE(Tabla1[[#This Row],[EQUIVALENCIA]],". ",Tabla1[[#This Row],[CAMUFLADO]])</f>
        <v>06. Verde</v>
      </c>
      <c r="L8" s="104" t="s">
        <v>7736</v>
      </c>
    </row>
    <row r="9" spans="1:12" x14ac:dyDescent="0.25">
      <c r="A9" s="105" t="s">
        <v>7738</v>
      </c>
      <c r="B9" s="104" t="s">
        <v>7739</v>
      </c>
      <c r="C9" s="104" t="s">
        <v>7740</v>
      </c>
      <c r="D9" s="104">
        <v>7</v>
      </c>
      <c r="E9" s="104"/>
      <c r="F9" s="104"/>
      <c r="G9" s="104"/>
      <c r="H9" s="104" t="s">
        <v>7741</v>
      </c>
      <c r="I9" s="104"/>
      <c r="J9" s="105" t="s">
        <v>7738</v>
      </c>
      <c r="K9" s="104" t="str">
        <f>CONCATENATE(Tabla1[[#This Row],[EQUIVALENCIA]],". ",Tabla1[[#This Row],[CAMUFLADO]])</f>
        <v>07. Acu</v>
      </c>
      <c r="L9" s="104" t="s">
        <v>7740</v>
      </c>
    </row>
    <row r="10" spans="1:12" x14ac:dyDescent="0.25">
      <c r="A10" s="105" t="s">
        <v>7742</v>
      </c>
      <c r="B10" s="104" t="s">
        <v>7743</v>
      </c>
      <c r="C10" s="104" t="s">
        <v>7744</v>
      </c>
      <c r="D10" s="104">
        <v>8</v>
      </c>
      <c r="E10" s="104"/>
      <c r="F10" s="104"/>
      <c r="G10" s="104"/>
      <c r="H10" s="104"/>
      <c r="I10" s="104"/>
      <c r="J10" s="105" t="s">
        <v>7742</v>
      </c>
      <c r="K10" s="104" t="str">
        <f>CONCATENATE(Tabla1[[#This Row],[EQUIVALENCIA]],". ",Tabla1[[#This Row],[CAMUFLADO]])</f>
        <v>08. Multicam</v>
      </c>
      <c r="L10" s="104" t="s">
        <v>7744</v>
      </c>
    </row>
    <row r="11" spans="1:12" x14ac:dyDescent="0.25">
      <c r="A11" s="105" t="s">
        <v>7745</v>
      </c>
      <c r="B11" s="104" t="s">
        <v>7746</v>
      </c>
      <c r="C11" s="104" t="s">
        <v>7747</v>
      </c>
      <c r="D11" s="104">
        <v>9</v>
      </c>
      <c r="E11" s="104"/>
      <c r="F11" s="104"/>
      <c r="G11" s="104"/>
      <c r="H11" s="104"/>
      <c r="I11" s="104"/>
      <c r="J11" s="105" t="s">
        <v>7745</v>
      </c>
      <c r="K11" s="104" t="str">
        <f>CONCATENATE(Tabla1[[#This Row],[EQUIVALENCIA]],". ",Tabla1[[#This Row],[CAMUFLADO]])</f>
        <v>09. Negro</v>
      </c>
      <c r="L11" s="104" t="s">
        <v>7747</v>
      </c>
    </row>
    <row r="12" spans="1:12" x14ac:dyDescent="0.25">
      <c r="A12" s="105" t="s">
        <v>25</v>
      </c>
      <c r="B12" s="104" t="s">
        <v>7748</v>
      </c>
      <c r="C12" s="104" t="s">
        <v>7749</v>
      </c>
      <c r="D12" s="104">
        <v>10</v>
      </c>
      <c r="E12" s="104"/>
      <c r="F12" s="104"/>
      <c r="G12" s="104"/>
      <c r="H12" s="104"/>
      <c r="I12" s="104"/>
      <c r="J12" s="105" t="s">
        <v>25</v>
      </c>
      <c r="K12" s="104" t="str">
        <f>CONCATENATE(Tabla1[[#This Row],[EQUIVALENCIA]],". ",Tabla1[[#This Row],[CAMUFLADO]])</f>
        <v>10. Tri Desert</v>
      </c>
      <c r="L12" s="104" t="s">
        <v>7749</v>
      </c>
    </row>
    <row r="13" spans="1:12" x14ac:dyDescent="0.25">
      <c r="A13" s="105" t="s">
        <v>7750</v>
      </c>
      <c r="B13" s="104" t="s">
        <v>7751</v>
      </c>
      <c r="C13" s="104" t="s">
        <v>7752</v>
      </c>
      <c r="D13" s="104">
        <v>11</v>
      </c>
      <c r="E13" s="104"/>
      <c r="F13" s="104"/>
      <c r="G13" s="104"/>
      <c r="H13" s="104"/>
      <c r="I13" s="104"/>
      <c r="J13" s="105" t="s">
        <v>7750</v>
      </c>
      <c r="K13" s="104" t="str">
        <f>CONCATENATE(Tabla1[[#This Row],[EQUIVALENCIA]],". ",Tabla1[[#This Row],[CAMUFLADO]])</f>
        <v>11. Digital Woodland</v>
      </c>
      <c r="L13" s="104" t="s">
        <v>7752</v>
      </c>
    </row>
    <row r="14" spans="1:12" x14ac:dyDescent="0.25">
      <c r="A14" s="105" t="s">
        <v>7753</v>
      </c>
      <c r="B14" s="104" t="s">
        <v>7754</v>
      </c>
      <c r="C14" s="104"/>
      <c r="D14" s="104">
        <v>12</v>
      </c>
      <c r="E14" s="104"/>
      <c r="F14" s="104"/>
      <c r="G14" s="104"/>
      <c r="H14" s="104"/>
      <c r="I14" s="104"/>
      <c r="J14" s="105" t="s">
        <v>7753</v>
      </c>
      <c r="K14" s="104" t="str">
        <f>CONCATENATE(Tabla1[[#This Row],[EQUIVALENCIA]],". ",Tabla1[[#This Row],[CAMUFLADO]])</f>
        <v>12. Pitón Verde</v>
      </c>
      <c r="L14" s="104" t="s">
        <v>7705</v>
      </c>
    </row>
    <row r="15" spans="1:12" x14ac:dyDescent="0.25">
      <c r="A15" s="105" t="s">
        <v>7755</v>
      </c>
      <c r="B15" s="104" t="s">
        <v>7756</v>
      </c>
      <c r="C15" s="104"/>
      <c r="D15" s="104">
        <v>13</v>
      </c>
      <c r="E15" s="104"/>
      <c r="F15" s="104"/>
      <c r="G15" s="104"/>
      <c r="H15" s="104"/>
      <c r="I15" s="104"/>
      <c r="J15" s="105" t="s">
        <v>7755</v>
      </c>
      <c r="K15" s="104" t="str">
        <f>CONCATENATE(Tabla1[[#This Row],[EQUIVALENCIA]],". ",Tabla1[[#This Row],[CAMUFLADO]])</f>
        <v>13. Gris</v>
      </c>
      <c r="L15" s="104" t="s">
        <v>7711</v>
      </c>
    </row>
    <row r="16" spans="1:12" x14ac:dyDescent="0.25">
      <c r="A16" s="105" t="s">
        <v>1106</v>
      </c>
      <c r="B16" s="104" t="s">
        <v>7757</v>
      </c>
      <c r="C16" s="104"/>
      <c r="D16" s="104">
        <v>14</v>
      </c>
      <c r="E16" s="104"/>
      <c r="F16" s="104"/>
      <c r="G16" s="104"/>
      <c r="H16" s="104"/>
      <c r="I16" s="104"/>
      <c r="J16" s="105" t="s">
        <v>1106</v>
      </c>
      <c r="K16" s="104" t="str">
        <f>CONCATENATE(Tabla1[[#This Row],[EQUIVALENCIA]],". ",Tabla1[[#This Row],[CAMUFLADO]])</f>
        <v>14. Real Tree</v>
      </c>
      <c r="L16" s="104" t="s">
        <v>7719</v>
      </c>
    </row>
    <row r="17" spans="1:12" x14ac:dyDescent="0.25">
      <c r="A17" s="105" t="s">
        <v>12</v>
      </c>
      <c r="B17" s="104" t="s">
        <v>7758</v>
      </c>
      <c r="C17" s="104"/>
      <c r="D17" s="104">
        <v>15</v>
      </c>
      <c r="E17" s="104"/>
      <c r="F17" s="104"/>
      <c r="G17" s="104"/>
      <c r="H17" s="104"/>
      <c r="I17" s="104"/>
      <c r="J17" s="105" t="s">
        <v>12</v>
      </c>
      <c r="K17" s="104" t="str">
        <f>CONCATENATE(Tabla1[[#This Row],[EQUIVALENCIA]],". ",Tabla1[[#This Row],[CAMUFLADO]])</f>
        <v>15. Digital Tiger Woodland</v>
      </c>
      <c r="L17" s="104" t="s">
        <v>7706</v>
      </c>
    </row>
    <row r="18" spans="1:12" x14ac:dyDescent="0.25">
      <c r="A18" s="105" t="s">
        <v>36</v>
      </c>
      <c r="B18" s="104" t="s">
        <v>7759</v>
      </c>
      <c r="C18" s="104"/>
      <c r="D18" s="104">
        <v>16</v>
      </c>
      <c r="E18" s="104"/>
      <c r="F18" s="104"/>
      <c r="G18" s="104"/>
      <c r="H18" s="104"/>
      <c r="I18" s="104"/>
      <c r="J18" s="105" t="s">
        <v>36</v>
      </c>
      <c r="K18" s="104" t="str">
        <f>CONCATENATE(Tabla1[[#This Row],[EQUIVALENCIA]],". ",Tabla1[[#This Row],[CAMUFLADO]])</f>
        <v>16. Digital Fuerza Aérea</v>
      </c>
      <c r="L18" s="104" t="s">
        <v>7712</v>
      </c>
    </row>
    <row r="19" spans="1:12" x14ac:dyDescent="0.25">
      <c r="A19" s="105" t="s">
        <v>3</v>
      </c>
      <c r="B19" s="104" t="s">
        <v>7760</v>
      </c>
      <c r="C19" s="104"/>
      <c r="D19" s="104">
        <v>17</v>
      </c>
      <c r="E19" s="104"/>
      <c r="F19" s="104"/>
      <c r="G19" s="104"/>
      <c r="H19" s="104"/>
      <c r="I19" s="104"/>
      <c r="J19" s="105" t="s">
        <v>3</v>
      </c>
      <c r="K19" s="104" t="str">
        <f>CONCATENATE(Tabla1[[#This Row],[EQUIVALENCIA]],". ",Tabla1[[#This Row],[CAMUFLADO]])</f>
        <v>17. Digital Naval</v>
      </c>
      <c r="L19" s="104" t="s">
        <v>7707</v>
      </c>
    </row>
    <row r="20" spans="1:12" x14ac:dyDescent="0.25">
      <c r="A20" s="105" t="s">
        <v>2</v>
      </c>
      <c r="B20" s="104" t="s">
        <v>7761</v>
      </c>
      <c r="C20" s="104"/>
      <c r="D20" s="104">
        <v>18</v>
      </c>
      <c r="E20" s="104"/>
      <c r="F20" s="104"/>
      <c r="G20" s="104"/>
      <c r="H20" s="104"/>
      <c r="I20" s="104"/>
      <c r="J20" s="105" t="s">
        <v>2</v>
      </c>
      <c r="K20" s="104" t="str">
        <f>CONCATENATE(Tabla1[[#This Row],[EQUIVALENCIA]],". ",Tabla1[[#This Row],[CAMUFLADO]])</f>
        <v>18. Azul</v>
      </c>
      <c r="L20" s="104" t="s">
        <v>7713</v>
      </c>
    </row>
    <row r="21" spans="1:12" x14ac:dyDescent="0.25">
      <c r="A21" s="105" t="s">
        <v>41</v>
      </c>
      <c r="B21" s="104" t="s">
        <v>7762</v>
      </c>
      <c r="C21" s="104"/>
      <c r="D21" s="104">
        <v>19</v>
      </c>
      <c r="E21" s="104"/>
      <c r="F21" s="104"/>
      <c r="G21" s="104"/>
      <c r="H21" s="104"/>
      <c r="I21" s="104"/>
      <c r="J21" s="105" t="s">
        <v>41</v>
      </c>
      <c r="K21" s="104" t="str">
        <f>CONCATENATE(Tabla1[[#This Row],[EQUIVALENCIA]],". ",Tabla1[[#This Row],[CAMUFLADO]])</f>
        <v>19. Camuflado</v>
      </c>
      <c r="L21" s="104" t="s">
        <v>7720</v>
      </c>
    </row>
    <row r="22" spans="1:12" x14ac:dyDescent="0.25">
      <c r="A22" s="105" t="s">
        <v>46</v>
      </c>
      <c r="B22" s="104" t="s">
        <v>7763</v>
      </c>
      <c r="C22" s="104"/>
      <c r="D22" s="104">
        <v>20</v>
      </c>
      <c r="E22" s="104"/>
      <c r="F22" s="104"/>
      <c r="G22" s="104"/>
      <c r="H22" s="104"/>
      <c r="I22" s="104"/>
      <c r="J22" s="105" t="s">
        <v>46</v>
      </c>
      <c r="K22" s="104" t="str">
        <f>CONCATENATE(Tabla1[[#This Row],[EQUIVALENCIA]],". ",Tabla1[[#This Row],[CAMUFLADO]])</f>
        <v>20. Blanco</v>
      </c>
      <c r="L22" s="104" t="s">
        <v>7708</v>
      </c>
    </row>
    <row r="23" spans="1:12" x14ac:dyDescent="0.25">
      <c r="A23" s="105" t="s">
        <v>120</v>
      </c>
      <c r="B23" s="104" t="s">
        <v>14180</v>
      </c>
      <c r="C23" s="104"/>
      <c r="D23" s="104">
        <v>21</v>
      </c>
      <c r="E23" s="104"/>
      <c r="F23" s="104"/>
      <c r="G23" s="104"/>
      <c r="H23" s="104"/>
      <c r="I23" s="104"/>
      <c r="J23" s="105" t="s">
        <v>120</v>
      </c>
      <c r="K23" s="104" t="str">
        <f>CONCATENATE(Tabla1[[#This Row],[EQUIVALENCIA]],". ",Tabla1[[#This Row],[CAMUFLADO]])</f>
        <v>21. Multicam Black</v>
      </c>
      <c r="L23" s="104" t="s">
        <v>7714</v>
      </c>
    </row>
    <row r="24" spans="1:12" x14ac:dyDescent="0.25">
      <c r="A24" s="105" t="s">
        <v>635</v>
      </c>
      <c r="B24" s="104" t="s">
        <v>7764</v>
      </c>
      <c r="C24" s="104"/>
      <c r="D24" s="104">
        <v>22</v>
      </c>
      <c r="E24" s="104"/>
      <c r="F24" s="104"/>
      <c r="G24" s="104"/>
      <c r="H24" s="104"/>
      <c r="I24" s="104"/>
      <c r="J24" s="105" t="s">
        <v>635</v>
      </c>
      <c r="K24" s="104" t="str">
        <f>CONCATENATE(Tabla1[[#This Row],[EQUIVALENCIA]],". ",Tabla1[[#This Row],[CAMUFLADO]])</f>
        <v>22. Rojo</v>
      </c>
      <c r="L24" s="104" t="s">
        <v>7721</v>
      </c>
    </row>
    <row r="25" spans="1:12" x14ac:dyDescent="0.25">
      <c r="A25" s="105" t="s">
        <v>7765</v>
      </c>
      <c r="B25" s="104" t="s">
        <v>7766</v>
      </c>
      <c r="C25" s="104"/>
      <c r="D25" s="104">
        <v>23</v>
      </c>
      <c r="E25" s="104"/>
      <c r="F25" s="104"/>
      <c r="G25" s="104"/>
      <c r="H25" s="104"/>
      <c r="I25" s="104"/>
      <c r="J25" s="105" t="s">
        <v>7765</v>
      </c>
      <c r="K25" s="104" t="str">
        <f>CONCATENATE(Tabla1[[#This Row],[EQUIVALENCIA]],". ",Tabla1[[#This Row],[CAMUFLADO]])</f>
        <v>23. Digital Ruso</v>
      </c>
      <c r="L25" s="104" t="s">
        <v>7725</v>
      </c>
    </row>
    <row r="26" spans="1:12" x14ac:dyDescent="0.25">
      <c r="A26" s="105" t="s">
        <v>7767</v>
      </c>
      <c r="B26" s="104" t="s">
        <v>14176</v>
      </c>
      <c r="C26" s="104"/>
      <c r="D26" s="104">
        <v>24</v>
      </c>
      <c r="E26" s="104"/>
      <c r="F26" s="104"/>
      <c r="G26" s="104"/>
      <c r="H26" s="104"/>
      <c r="I26" s="104"/>
      <c r="J26" s="105" t="s">
        <v>7767</v>
      </c>
      <c r="K26" s="104" t="str">
        <f>CONCATENATE(Tabla1[[#This Row],[EQUIVALENCIA]],". ",Tabla1[[#This Row],[CAMUFLADO]])</f>
        <v>24. Bordo</v>
      </c>
      <c r="L26" s="104" t="s">
        <v>7729</v>
      </c>
    </row>
    <row r="27" spans="1:12" x14ac:dyDescent="0.25">
      <c r="A27" s="105" t="s">
        <v>7768</v>
      </c>
      <c r="B27" s="104" t="s">
        <v>14177</v>
      </c>
      <c r="C27" s="104"/>
      <c r="D27" s="104">
        <v>25</v>
      </c>
      <c r="E27" s="104"/>
      <c r="F27" s="104"/>
      <c r="G27" s="104"/>
      <c r="H27" s="104"/>
      <c r="I27" s="104"/>
      <c r="J27" s="105" t="s">
        <v>7768</v>
      </c>
      <c r="K27" s="104" t="str">
        <f>CONCATENATE(Tabla1[[#This Row],[EQUIVALENCIA]],". ",Tabla1[[#This Row],[CAMUFLADO]])</f>
        <v>25. Camel</v>
      </c>
      <c r="L27" s="104" t="s">
        <v>7733</v>
      </c>
    </row>
    <row r="28" spans="1:12" x14ac:dyDescent="0.25">
      <c r="A28" s="105" t="s">
        <v>7769</v>
      </c>
      <c r="B28" s="104" t="s">
        <v>14181</v>
      </c>
      <c r="C28" s="104"/>
      <c r="D28" s="104">
        <v>26</v>
      </c>
      <c r="E28" s="104"/>
      <c r="F28" s="104"/>
      <c r="G28" s="104"/>
      <c r="H28" s="104"/>
      <c r="I28" s="104"/>
      <c r="J28" s="105" t="s">
        <v>7769</v>
      </c>
      <c r="K28" s="104" t="str">
        <f>CONCATENATE(Tabla1[[#This Row],[EQUIVALENCIA]],". ",Tabla1[[#This Row],[CAMUFLADO]])</f>
        <v>26. Vial Tucuman</v>
      </c>
      <c r="L28" s="104" t="s">
        <v>7737</v>
      </c>
    </row>
    <row r="29" spans="1:12" x14ac:dyDescent="0.25">
      <c r="A29" s="105" t="s">
        <v>7770</v>
      </c>
      <c r="B29" s="104" t="s">
        <v>14178</v>
      </c>
      <c r="C29" s="104"/>
      <c r="D29" s="104">
        <v>27</v>
      </c>
      <c r="E29" s="104"/>
      <c r="F29" s="104"/>
      <c r="G29" s="104"/>
      <c r="H29" s="104"/>
      <c r="I29" s="104"/>
      <c r="J29" s="105" t="s">
        <v>7770</v>
      </c>
      <c r="K29" s="104" t="str">
        <f>CONCATENATE(Tabla1[[#This Row],[EQUIVALENCIA]],". ",Tabla1[[#This Row],[CAMUFLADO]])</f>
        <v>27. Digital Gris</v>
      </c>
      <c r="L29" s="104" t="s">
        <v>7741</v>
      </c>
    </row>
    <row r="30" spans="1:12" x14ac:dyDescent="0.25">
      <c r="A30" s="105" t="s">
        <v>7771</v>
      </c>
      <c r="B30" s="104" t="s">
        <v>14179</v>
      </c>
      <c r="C30" s="104"/>
      <c r="D30" s="104">
        <v>28</v>
      </c>
      <c r="E30" s="104"/>
      <c r="F30" s="104"/>
      <c r="G30" s="104"/>
      <c r="H30" s="104"/>
      <c r="I30" s="104"/>
      <c r="J30" s="105" t="s">
        <v>7771</v>
      </c>
      <c r="K30" s="104" t="str">
        <f>CONCATENATE(Tabla1[[#This Row],[EQUIVALENCIA]],". ",Tabla1[[#This Row],[CAMUFLADO]])</f>
        <v>28. Amarillo</v>
      </c>
      <c r="L30" s="104" t="s">
        <v>7709</v>
      </c>
    </row>
    <row r="31" spans="1:12" x14ac:dyDescent="0.25">
      <c r="A31" s="105" t="s">
        <v>7772</v>
      </c>
      <c r="B31" s="104" t="s">
        <v>14182</v>
      </c>
      <c r="C31" s="104"/>
      <c r="D31" s="104">
        <v>29</v>
      </c>
      <c r="E31" s="104"/>
      <c r="F31" s="104"/>
      <c r="G31" s="104"/>
      <c r="H31" s="104"/>
      <c r="I31" s="104"/>
      <c r="J31" s="105" t="s">
        <v>7772</v>
      </c>
      <c r="K31" s="104" t="str">
        <f>CONCATENATE(Tabla1[[#This Row],[EQUIVALENCIA]],". ",Tabla1[[#This Row],[CAMUFLADO]])</f>
        <v>29. Violeta</v>
      </c>
      <c r="L31" s="104" t="s">
        <v>7715</v>
      </c>
    </row>
    <row r="32" spans="1:12" x14ac:dyDescent="0.25">
      <c r="A32" s="105" t="s">
        <v>7773</v>
      </c>
      <c r="B32" s="104" t="s">
        <v>14183</v>
      </c>
      <c r="C32" s="104"/>
      <c r="D32" s="104">
        <v>30</v>
      </c>
      <c r="E32" s="104"/>
      <c r="F32" s="104"/>
      <c r="G32" s="104"/>
      <c r="H32" s="104"/>
      <c r="I32" s="104"/>
      <c r="J32" s="105" t="s">
        <v>7773</v>
      </c>
      <c r="K32" s="104" t="str">
        <f>CONCATENATE(Tabla1[[#This Row],[EQUIVALENCIA]],". ",Tabla1[[#This Row],[CAMUFLADO]])</f>
        <v>30. Star Seg</v>
      </c>
      <c r="L32" s="104">
        <v>1</v>
      </c>
    </row>
    <row r="33" spans="1:12" x14ac:dyDescent="0.25">
      <c r="A33" s="105" t="s">
        <v>7774</v>
      </c>
      <c r="B33" s="104" t="s">
        <v>14184</v>
      </c>
      <c r="C33" s="104"/>
      <c r="D33" s="104">
        <v>31</v>
      </c>
      <c r="E33" s="104"/>
      <c r="F33" s="104"/>
      <c r="G33" s="104"/>
      <c r="H33" s="104"/>
      <c r="I33" s="104"/>
      <c r="J33" s="105" t="s">
        <v>7774</v>
      </c>
      <c r="K33" s="104" t="str">
        <f>CONCATENATE(Tabla1[[#This Row],[EQUIVALENCIA]],". ",Tabla1[[#This Row],[CAMUFLADO]])</f>
        <v>31. Dama</v>
      </c>
      <c r="L33" s="104">
        <v>2</v>
      </c>
    </row>
    <row r="34" spans="1:12" x14ac:dyDescent="0.25">
      <c r="A34" s="105" t="s">
        <v>13408</v>
      </c>
      <c r="B34" s="104" t="s">
        <v>14185</v>
      </c>
      <c r="C34" s="104"/>
      <c r="D34" s="104">
        <v>32</v>
      </c>
      <c r="E34" s="104"/>
      <c r="F34" s="104"/>
      <c r="G34" s="104"/>
      <c r="H34" s="104"/>
      <c r="I34" s="104"/>
      <c r="J34" s="105" t="s">
        <v>7775</v>
      </c>
      <c r="K34" s="104" t="str">
        <f>CONCATENATE(Tabla1[[#This Row],[EQUIVALENCIA]],". ",Tabla1[[#This Row],[CAMUFLADO]])</f>
        <v>ABR. Abrojo</v>
      </c>
      <c r="L34" s="104">
        <v>3</v>
      </c>
    </row>
    <row r="35" spans="1:12" x14ac:dyDescent="0.25">
      <c r="A35" s="105" t="s">
        <v>13907</v>
      </c>
      <c r="B35" s="104" t="s">
        <v>14186</v>
      </c>
      <c r="C35" s="104"/>
      <c r="D35" s="104">
        <v>33</v>
      </c>
      <c r="E35" s="104"/>
      <c r="F35" s="104"/>
      <c r="G35" s="104"/>
      <c r="H35" s="104"/>
      <c r="I35" s="104"/>
      <c r="J35" s="105" t="s">
        <v>7776</v>
      </c>
      <c r="K35" s="104" t="str">
        <f>CONCATENATE(Tabla1[[#This Row],[EQUIVALENCIA]],". ",Tabla1[[#This Row],[CAMUFLADO]])</f>
        <v>ESTAMP. Estampado</v>
      </c>
      <c r="L35" s="104">
        <v>4</v>
      </c>
    </row>
    <row r="36" spans="1:12" x14ac:dyDescent="0.25">
      <c r="A36" s="105" t="s">
        <v>7777</v>
      </c>
      <c r="B36" s="104"/>
      <c r="C36" s="104"/>
      <c r="D36" s="104">
        <v>34</v>
      </c>
      <c r="E36" s="104"/>
      <c r="F36" s="104"/>
      <c r="G36" s="104"/>
      <c r="H36" s="104"/>
      <c r="I36" s="104"/>
      <c r="J36" s="105" t="s">
        <v>7777</v>
      </c>
      <c r="K36" s="104"/>
      <c r="L36" s="104">
        <v>5</v>
      </c>
    </row>
    <row r="37" spans="1:12" x14ac:dyDescent="0.25">
      <c r="A37" s="105" t="s">
        <v>7778</v>
      </c>
      <c r="B37" s="104"/>
      <c r="C37" s="104"/>
      <c r="D37" s="104">
        <v>35</v>
      </c>
      <c r="E37" s="104"/>
      <c r="F37" s="104"/>
      <c r="G37" s="104"/>
      <c r="H37" s="104"/>
      <c r="I37" s="104"/>
      <c r="J37" s="105" t="s">
        <v>7778</v>
      </c>
      <c r="K37" s="104"/>
      <c r="L37" s="104">
        <v>6</v>
      </c>
    </row>
    <row r="38" spans="1:12" x14ac:dyDescent="0.25">
      <c r="A38" s="105" t="s">
        <v>7779</v>
      </c>
      <c r="B38" s="104"/>
      <c r="C38" s="104"/>
      <c r="D38" s="104">
        <v>36</v>
      </c>
      <c r="E38" s="104"/>
      <c r="F38" s="104"/>
      <c r="G38" s="104"/>
      <c r="H38" s="104"/>
      <c r="I38" s="104"/>
      <c r="J38" s="105" t="s">
        <v>7779</v>
      </c>
      <c r="K38" s="104"/>
      <c r="L38" s="104">
        <v>7</v>
      </c>
    </row>
    <row r="39" spans="1:12" x14ac:dyDescent="0.25">
      <c r="A39" s="105" t="s">
        <v>7780</v>
      </c>
      <c r="B39" s="104"/>
      <c r="C39" s="104"/>
      <c r="D39" s="104">
        <v>37</v>
      </c>
      <c r="E39" s="104"/>
      <c r="F39" s="104"/>
      <c r="G39" s="104"/>
      <c r="H39" s="104"/>
      <c r="I39" s="104"/>
      <c r="J39" s="105" t="s">
        <v>7780</v>
      </c>
      <c r="K39" s="104"/>
      <c r="L39" s="104">
        <v>8</v>
      </c>
    </row>
    <row r="40" spans="1:12" x14ac:dyDescent="0.25">
      <c r="A40" s="105" t="s">
        <v>7781</v>
      </c>
      <c r="B40" s="104"/>
      <c r="C40" s="104"/>
      <c r="D40" s="104">
        <v>38</v>
      </c>
      <c r="E40" s="104"/>
      <c r="F40" s="104"/>
      <c r="G40" s="104"/>
      <c r="H40" s="104"/>
      <c r="I40" s="104"/>
      <c r="J40" s="105" t="s">
        <v>7781</v>
      </c>
      <c r="K40" s="104"/>
      <c r="L40" s="104">
        <v>9</v>
      </c>
    </row>
    <row r="41" spans="1:12" x14ac:dyDescent="0.25">
      <c r="A41" s="105" t="s">
        <v>7782</v>
      </c>
      <c r="B41" s="104"/>
      <c r="C41" s="104"/>
      <c r="D41" s="104">
        <v>39</v>
      </c>
      <c r="E41" s="104"/>
      <c r="F41" s="104"/>
      <c r="G41" s="104"/>
      <c r="H41" s="104"/>
      <c r="I41" s="104"/>
      <c r="J41" s="105" t="s">
        <v>7782</v>
      </c>
      <c r="K41" s="104"/>
      <c r="L41" s="104">
        <v>10</v>
      </c>
    </row>
    <row r="42" spans="1:12" x14ac:dyDescent="0.25">
      <c r="A42" s="105" t="s">
        <v>7783</v>
      </c>
      <c r="B42" s="104"/>
      <c r="C42" s="104"/>
      <c r="D42" s="104">
        <v>40</v>
      </c>
      <c r="E42" s="104"/>
      <c r="F42" s="104"/>
      <c r="G42" s="104"/>
      <c r="H42" s="104"/>
      <c r="I42" s="104"/>
      <c r="J42" s="105" t="s">
        <v>7783</v>
      </c>
      <c r="K42" s="104"/>
      <c r="L42" s="104">
        <v>11</v>
      </c>
    </row>
    <row r="43" spans="1:12" x14ac:dyDescent="0.25">
      <c r="A43" s="105" t="s">
        <v>7784</v>
      </c>
      <c r="B43" s="104"/>
      <c r="C43" s="104"/>
      <c r="D43" s="104">
        <v>41</v>
      </c>
      <c r="E43" s="104"/>
      <c r="F43" s="104"/>
      <c r="G43" s="104"/>
      <c r="H43" s="104"/>
      <c r="I43" s="104"/>
      <c r="J43" s="105" t="s">
        <v>7784</v>
      </c>
      <c r="K43" s="104"/>
      <c r="L43" s="104">
        <v>12</v>
      </c>
    </row>
    <row r="44" spans="1:12" x14ac:dyDescent="0.25">
      <c r="A44" s="105" t="s">
        <v>7785</v>
      </c>
      <c r="B44" s="104"/>
      <c r="C44" s="104"/>
      <c r="D44" s="104">
        <v>42</v>
      </c>
      <c r="E44" s="104"/>
      <c r="F44" s="104"/>
      <c r="G44" s="104"/>
      <c r="H44" s="104"/>
      <c r="I44" s="104"/>
      <c r="J44" s="105" t="s">
        <v>7785</v>
      </c>
      <c r="K44" s="104"/>
      <c r="L44" s="104">
        <v>13</v>
      </c>
    </row>
    <row r="45" spans="1:12" x14ac:dyDescent="0.25">
      <c r="A45" s="105" t="s">
        <v>7786</v>
      </c>
      <c r="B45" s="104"/>
      <c r="C45" s="104"/>
      <c r="D45" s="104">
        <v>43</v>
      </c>
      <c r="E45" s="104"/>
      <c r="F45" s="104"/>
      <c r="G45" s="104"/>
      <c r="H45" s="104"/>
      <c r="I45" s="104"/>
      <c r="J45" s="105" t="s">
        <v>7786</v>
      </c>
      <c r="K45" s="104"/>
      <c r="L45" s="104">
        <v>14</v>
      </c>
    </row>
    <row r="46" spans="1:12" x14ac:dyDescent="0.25">
      <c r="A46" s="105" t="s">
        <v>7787</v>
      </c>
      <c r="B46" s="104"/>
      <c r="C46" s="104"/>
      <c r="D46" s="104">
        <v>44</v>
      </c>
      <c r="E46" s="104"/>
      <c r="F46" s="104"/>
      <c r="G46" s="104"/>
      <c r="H46" s="104"/>
      <c r="I46" s="104"/>
      <c r="J46" s="105" t="s">
        <v>7787</v>
      </c>
      <c r="K46" s="104"/>
      <c r="L46" s="104">
        <v>15</v>
      </c>
    </row>
    <row r="47" spans="1:12" x14ac:dyDescent="0.25">
      <c r="A47" s="105" t="s">
        <v>7788</v>
      </c>
      <c r="B47" s="104"/>
      <c r="C47" s="104"/>
      <c r="D47" s="104">
        <v>45</v>
      </c>
      <c r="E47" s="104"/>
      <c r="F47" s="104"/>
      <c r="G47" s="104"/>
      <c r="H47" s="104"/>
      <c r="I47" s="104"/>
      <c r="J47" s="105" t="s">
        <v>7788</v>
      </c>
      <c r="K47" s="104"/>
      <c r="L47" s="104">
        <v>16</v>
      </c>
    </row>
    <row r="48" spans="1:12" x14ac:dyDescent="0.25">
      <c r="A48" s="105" t="s">
        <v>7789</v>
      </c>
      <c r="B48" s="104"/>
      <c r="C48" s="104"/>
      <c r="D48" s="104">
        <v>46</v>
      </c>
      <c r="E48" s="104"/>
      <c r="F48" s="104"/>
      <c r="G48" s="104"/>
      <c r="H48" s="104"/>
      <c r="I48" s="104"/>
      <c r="J48" s="105" t="s">
        <v>7789</v>
      </c>
      <c r="K48" s="104"/>
      <c r="L48" s="104">
        <v>17</v>
      </c>
    </row>
    <row r="49" spans="1:12" x14ac:dyDescent="0.25">
      <c r="A49" s="105" t="s">
        <v>7790</v>
      </c>
      <c r="B49" s="104"/>
      <c r="C49" s="104"/>
      <c r="D49" s="104">
        <v>47</v>
      </c>
      <c r="E49" s="104"/>
      <c r="F49" s="104"/>
      <c r="G49" s="104"/>
      <c r="H49" s="104"/>
      <c r="I49" s="104"/>
      <c r="J49" s="105" t="s">
        <v>7790</v>
      </c>
      <c r="K49" s="104"/>
      <c r="L49" s="104">
        <v>18</v>
      </c>
    </row>
    <row r="50" spans="1:12" x14ac:dyDescent="0.25">
      <c r="A50" s="105" t="s">
        <v>7791</v>
      </c>
      <c r="B50" s="104"/>
      <c r="C50" s="104"/>
      <c r="D50" s="104">
        <v>48</v>
      </c>
      <c r="E50" s="104"/>
      <c r="F50" s="104"/>
      <c r="G50" s="104"/>
      <c r="H50" s="104"/>
      <c r="I50" s="104"/>
      <c r="J50" s="105" t="s">
        <v>7791</v>
      </c>
      <c r="K50" s="104"/>
      <c r="L50" s="104">
        <v>19</v>
      </c>
    </row>
    <row r="51" spans="1:12" x14ac:dyDescent="0.25">
      <c r="A51" s="105" t="s">
        <v>7792</v>
      </c>
      <c r="B51" s="104"/>
      <c r="C51" s="104"/>
      <c r="D51" s="104">
        <v>49</v>
      </c>
      <c r="E51" s="104"/>
      <c r="F51" s="104"/>
      <c r="G51" s="104"/>
      <c r="H51" s="104"/>
      <c r="I51" s="104"/>
      <c r="J51" s="105" t="s">
        <v>7792</v>
      </c>
      <c r="K51" s="104"/>
      <c r="L51" s="104">
        <v>20</v>
      </c>
    </row>
    <row r="52" spans="1:12" x14ac:dyDescent="0.25">
      <c r="A52" s="105" t="s">
        <v>7793</v>
      </c>
      <c r="B52" s="104"/>
      <c r="C52" s="104"/>
      <c r="D52" s="104">
        <v>50</v>
      </c>
      <c r="E52" s="104"/>
      <c r="F52" s="104"/>
      <c r="G52" s="104"/>
      <c r="H52" s="104"/>
      <c r="I52" s="104"/>
      <c r="J52" s="105" t="s">
        <v>7793</v>
      </c>
      <c r="K52" s="104"/>
      <c r="L52" s="104">
        <v>21</v>
      </c>
    </row>
    <row r="53" spans="1:12" x14ac:dyDescent="0.25">
      <c r="A53" s="105" t="s">
        <v>7794</v>
      </c>
      <c r="B53" s="104"/>
      <c r="C53" s="104"/>
      <c r="D53" s="104">
        <v>51</v>
      </c>
      <c r="E53" s="104"/>
      <c r="F53" s="104"/>
      <c r="G53" s="104"/>
      <c r="H53" s="104"/>
      <c r="I53" s="104"/>
      <c r="J53" s="105" t="s">
        <v>7794</v>
      </c>
      <c r="K53" s="104"/>
      <c r="L53" s="104">
        <v>22</v>
      </c>
    </row>
    <row r="54" spans="1:12" x14ac:dyDescent="0.25">
      <c r="A54" s="105" t="s">
        <v>7795</v>
      </c>
      <c r="B54" s="104"/>
      <c r="C54" s="104"/>
      <c r="D54" s="104">
        <v>52</v>
      </c>
      <c r="E54" s="104"/>
      <c r="F54" s="104"/>
      <c r="G54" s="104"/>
      <c r="H54" s="104"/>
      <c r="I54" s="104"/>
      <c r="J54" s="105" t="s">
        <v>7795</v>
      </c>
      <c r="K54" s="104"/>
      <c r="L54" s="104">
        <v>23</v>
      </c>
    </row>
    <row r="55" spans="1:12" x14ac:dyDescent="0.25">
      <c r="A55" s="105" t="s">
        <v>7796</v>
      </c>
      <c r="B55" s="104"/>
      <c r="C55" s="104"/>
      <c r="D55" s="104">
        <v>53</v>
      </c>
      <c r="E55" s="104"/>
      <c r="F55" s="104"/>
      <c r="G55" s="104"/>
      <c r="H55" s="104"/>
      <c r="I55" s="104"/>
      <c r="J55" s="105" t="s">
        <v>7796</v>
      </c>
      <c r="K55" s="104"/>
      <c r="L55" s="104">
        <v>24</v>
      </c>
    </row>
    <row r="56" spans="1:12" x14ac:dyDescent="0.25">
      <c r="A56" s="105" t="s">
        <v>7797</v>
      </c>
      <c r="B56" s="104"/>
      <c r="C56" s="104"/>
      <c r="D56" s="104">
        <v>54</v>
      </c>
      <c r="E56" s="104"/>
      <c r="F56" s="104"/>
      <c r="G56" s="104"/>
      <c r="H56" s="104"/>
      <c r="I56" s="104"/>
      <c r="J56" s="105" t="s">
        <v>7797</v>
      </c>
      <c r="K56" s="104"/>
      <c r="L56" s="104">
        <v>25</v>
      </c>
    </row>
    <row r="57" spans="1:12" x14ac:dyDescent="0.25">
      <c r="A57" s="105" t="s">
        <v>7798</v>
      </c>
      <c r="B57" s="104"/>
      <c r="C57" s="104"/>
      <c r="D57" s="104">
        <v>55</v>
      </c>
      <c r="E57" s="104"/>
      <c r="F57" s="104"/>
      <c r="G57" s="104"/>
      <c r="H57" s="104"/>
      <c r="I57" s="104"/>
      <c r="J57" s="105" t="s">
        <v>7798</v>
      </c>
      <c r="K57" s="104"/>
      <c r="L57" s="104">
        <v>26</v>
      </c>
    </row>
    <row r="58" spans="1:12" x14ac:dyDescent="0.25">
      <c r="A58" s="105" t="s">
        <v>7799</v>
      </c>
      <c r="B58" s="104"/>
      <c r="C58" s="104"/>
      <c r="D58" s="104">
        <v>56</v>
      </c>
      <c r="E58" s="104"/>
      <c r="F58" s="104"/>
      <c r="G58" s="104"/>
      <c r="H58" s="104"/>
      <c r="I58" s="104"/>
      <c r="J58" s="105" t="s">
        <v>7799</v>
      </c>
      <c r="K58" s="104"/>
      <c r="L58" s="104">
        <v>27</v>
      </c>
    </row>
    <row r="59" spans="1:12" x14ac:dyDescent="0.25">
      <c r="A59" s="105" t="s">
        <v>7800</v>
      </c>
      <c r="B59" s="104"/>
      <c r="C59" s="104"/>
      <c r="D59" s="104">
        <v>57</v>
      </c>
      <c r="E59" s="104"/>
      <c r="F59" s="104"/>
      <c r="G59" s="104"/>
      <c r="H59" s="104"/>
      <c r="I59" s="104"/>
      <c r="J59" s="105" t="s">
        <v>7800</v>
      </c>
      <c r="K59" s="104"/>
      <c r="L59" s="104">
        <v>28</v>
      </c>
    </row>
    <row r="60" spans="1:12" x14ac:dyDescent="0.25">
      <c r="A60" s="105" t="s">
        <v>7801</v>
      </c>
      <c r="B60" s="104"/>
      <c r="C60" s="104"/>
      <c r="D60" s="104">
        <v>58</v>
      </c>
      <c r="E60" s="104"/>
      <c r="F60" s="104"/>
      <c r="G60" s="104"/>
      <c r="H60" s="104"/>
      <c r="I60" s="104"/>
      <c r="J60" s="105" t="s">
        <v>7801</v>
      </c>
      <c r="K60" s="104"/>
      <c r="L60" s="104">
        <v>29</v>
      </c>
    </row>
    <row r="61" spans="1:12" x14ac:dyDescent="0.25">
      <c r="A61" s="105" t="s">
        <v>7802</v>
      </c>
      <c r="B61" s="104"/>
      <c r="C61" s="104"/>
      <c r="D61" s="104">
        <v>59</v>
      </c>
      <c r="E61" s="104"/>
      <c r="F61" s="104"/>
      <c r="G61" s="104"/>
      <c r="H61" s="104"/>
      <c r="I61" s="104"/>
      <c r="J61" s="105" t="s">
        <v>7802</v>
      </c>
      <c r="K61" s="104"/>
      <c r="L61" s="104">
        <v>30</v>
      </c>
    </row>
    <row r="62" spans="1:12" x14ac:dyDescent="0.25">
      <c r="A62" s="105" t="s">
        <v>7803</v>
      </c>
      <c r="B62" s="104"/>
      <c r="C62" s="104"/>
      <c r="D62" s="104">
        <v>60</v>
      </c>
      <c r="E62" s="104"/>
      <c r="F62" s="104"/>
      <c r="G62" s="104"/>
      <c r="H62" s="104"/>
      <c r="I62" s="104"/>
      <c r="J62" s="105" t="s">
        <v>7803</v>
      </c>
      <c r="K62" s="104"/>
      <c r="L62" s="104">
        <v>31</v>
      </c>
    </row>
    <row r="63" spans="1:12" x14ac:dyDescent="0.25">
      <c r="A63" s="105" t="s">
        <v>7804</v>
      </c>
      <c r="B63" s="104"/>
      <c r="C63" s="104"/>
      <c r="D63" s="104">
        <v>61</v>
      </c>
      <c r="E63" s="104"/>
      <c r="F63" s="104"/>
      <c r="G63" s="104"/>
      <c r="H63" s="104"/>
      <c r="I63" s="104"/>
      <c r="J63" s="105" t="s">
        <v>7804</v>
      </c>
      <c r="K63" s="104"/>
      <c r="L63" s="104">
        <v>32</v>
      </c>
    </row>
    <row r="64" spans="1:12" x14ac:dyDescent="0.25">
      <c r="A64" s="105" t="s">
        <v>7805</v>
      </c>
      <c r="B64" s="104"/>
      <c r="C64" s="104"/>
      <c r="D64" s="104">
        <v>62</v>
      </c>
      <c r="E64" s="104"/>
      <c r="F64" s="104"/>
      <c r="G64" s="104"/>
      <c r="H64" s="104"/>
      <c r="I64" s="104"/>
      <c r="J64" s="105" t="s">
        <v>7805</v>
      </c>
      <c r="K64" s="104"/>
      <c r="L64" s="104">
        <v>33</v>
      </c>
    </row>
    <row r="65" spans="1:12" x14ac:dyDescent="0.25">
      <c r="A65" s="105" t="s">
        <v>7806</v>
      </c>
      <c r="B65" s="104"/>
      <c r="C65" s="104"/>
      <c r="D65" s="104">
        <v>63</v>
      </c>
      <c r="E65" s="104"/>
      <c r="F65" s="104"/>
      <c r="G65" s="104"/>
      <c r="H65" s="104"/>
      <c r="I65" s="104"/>
      <c r="J65" s="105" t="s">
        <v>7806</v>
      </c>
      <c r="K65" s="104"/>
      <c r="L65" s="104">
        <v>34</v>
      </c>
    </row>
    <row r="66" spans="1:12" x14ac:dyDescent="0.25">
      <c r="A66" s="105" t="s">
        <v>7807</v>
      </c>
      <c r="B66" s="104"/>
      <c r="C66" s="104"/>
      <c r="D66" s="104">
        <v>64</v>
      </c>
      <c r="E66" s="104"/>
      <c r="F66" s="104"/>
      <c r="G66" s="104"/>
      <c r="H66" s="104"/>
      <c r="I66" s="104"/>
      <c r="J66" s="105" t="s">
        <v>7807</v>
      </c>
      <c r="K66" s="104"/>
      <c r="L66" s="104">
        <v>35</v>
      </c>
    </row>
    <row r="67" spans="1:12" x14ac:dyDescent="0.25">
      <c r="A67" s="105" t="s">
        <v>7808</v>
      </c>
      <c r="B67" s="104"/>
      <c r="C67" s="104"/>
      <c r="D67" s="104">
        <v>65</v>
      </c>
      <c r="E67" s="104"/>
      <c r="F67" s="104"/>
      <c r="G67" s="104"/>
      <c r="H67" s="104"/>
      <c r="I67" s="104"/>
      <c r="J67" s="105" t="s">
        <v>7808</v>
      </c>
      <c r="K67" s="104"/>
      <c r="L67" s="104">
        <v>36</v>
      </c>
    </row>
    <row r="68" spans="1:12" x14ac:dyDescent="0.25">
      <c r="A68" s="105" t="s">
        <v>7809</v>
      </c>
      <c r="B68" s="104"/>
      <c r="C68" s="104"/>
      <c r="D68" s="104">
        <v>66</v>
      </c>
      <c r="E68" s="104"/>
      <c r="F68" s="104"/>
      <c r="G68" s="104"/>
      <c r="H68" s="104"/>
      <c r="I68" s="104"/>
      <c r="J68" s="105" t="s">
        <v>7809</v>
      </c>
      <c r="K68" s="104"/>
      <c r="L68" s="104">
        <v>37</v>
      </c>
    </row>
    <row r="69" spans="1:12" x14ac:dyDescent="0.25">
      <c r="A69" s="105" t="s">
        <v>7810</v>
      </c>
      <c r="B69" s="104"/>
      <c r="C69" s="104"/>
      <c r="D69" s="104">
        <v>67</v>
      </c>
      <c r="E69" s="104"/>
      <c r="F69" s="104"/>
      <c r="G69" s="104"/>
      <c r="H69" s="104"/>
      <c r="I69" s="104"/>
      <c r="J69" s="105" t="s">
        <v>7810</v>
      </c>
      <c r="K69" s="104"/>
      <c r="L69" s="104">
        <v>38</v>
      </c>
    </row>
    <row r="70" spans="1:12" x14ac:dyDescent="0.25">
      <c r="A70" s="105" t="s">
        <v>7811</v>
      </c>
      <c r="B70" s="104"/>
      <c r="C70" s="104"/>
      <c r="D70" s="104">
        <v>68</v>
      </c>
      <c r="E70" s="104"/>
      <c r="F70" s="104"/>
      <c r="G70" s="104"/>
      <c r="H70" s="104"/>
      <c r="I70" s="104"/>
      <c r="J70" s="105" t="s">
        <v>7811</v>
      </c>
      <c r="K70" s="104"/>
      <c r="L70" s="104">
        <v>39</v>
      </c>
    </row>
    <row r="71" spans="1:12" x14ac:dyDescent="0.25">
      <c r="A71" s="105" t="s">
        <v>7812</v>
      </c>
      <c r="B71" s="104"/>
      <c r="C71" s="104"/>
      <c r="D71" s="104">
        <v>69</v>
      </c>
      <c r="E71" s="104"/>
      <c r="F71" s="104"/>
      <c r="G71" s="104"/>
      <c r="H71" s="104"/>
      <c r="I71" s="104"/>
      <c r="J71" s="105" t="s">
        <v>7812</v>
      </c>
      <c r="K71" s="104"/>
      <c r="L71" s="104">
        <v>40</v>
      </c>
    </row>
    <row r="72" spans="1:12" x14ac:dyDescent="0.25">
      <c r="A72" s="105" t="s">
        <v>7813</v>
      </c>
      <c r="B72" s="104"/>
      <c r="C72" s="104"/>
      <c r="D72" s="104">
        <v>70</v>
      </c>
      <c r="E72" s="104"/>
      <c r="F72" s="104"/>
      <c r="G72" s="104"/>
      <c r="H72" s="104"/>
      <c r="I72" s="104"/>
      <c r="J72" s="105" t="s">
        <v>7813</v>
      </c>
      <c r="K72" s="104"/>
      <c r="L72" s="104">
        <v>41</v>
      </c>
    </row>
    <row r="73" spans="1:12" x14ac:dyDescent="0.25">
      <c r="A73" s="105" t="s">
        <v>7814</v>
      </c>
      <c r="B73" s="104"/>
      <c r="C73" s="104"/>
      <c r="D73" s="104">
        <v>71</v>
      </c>
      <c r="E73" s="104"/>
      <c r="F73" s="104"/>
      <c r="G73" s="104"/>
      <c r="H73" s="104"/>
      <c r="I73" s="104"/>
      <c r="J73" s="105" t="s">
        <v>7814</v>
      </c>
      <c r="K73" s="104"/>
      <c r="L73" s="104">
        <v>42</v>
      </c>
    </row>
    <row r="74" spans="1:12" x14ac:dyDescent="0.25">
      <c r="A74" s="105" t="s">
        <v>7815</v>
      </c>
      <c r="B74" s="104"/>
      <c r="C74" s="104"/>
      <c r="D74" s="104">
        <v>72</v>
      </c>
      <c r="E74" s="104"/>
      <c r="F74" s="104"/>
      <c r="G74" s="104"/>
      <c r="H74" s="104"/>
      <c r="I74" s="104"/>
      <c r="J74" s="105" t="s">
        <v>7815</v>
      </c>
      <c r="K74" s="104"/>
      <c r="L74" s="104">
        <v>43</v>
      </c>
    </row>
    <row r="75" spans="1:12" x14ac:dyDescent="0.25">
      <c r="A75" s="105" t="s">
        <v>7816</v>
      </c>
      <c r="B75" s="104"/>
      <c r="C75" s="104"/>
      <c r="D75" s="104">
        <v>73</v>
      </c>
      <c r="E75" s="104"/>
      <c r="F75" s="104"/>
      <c r="G75" s="104"/>
      <c r="H75" s="104"/>
      <c r="I75" s="104"/>
      <c r="J75" s="105" t="s">
        <v>7816</v>
      </c>
      <c r="K75" s="104"/>
      <c r="L75" s="104">
        <v>44</v>
      </c>
    </row>
    <row r="76" spans="1:12" x14ac:dyDescent="0.25">
      <c r="A76" s="105" t="s">
        <v>7817</v>
      </c>
      <c r="B76" s="104"/>
      <c r="C76" s="104"/>
      <c r="D76" s="104">
        <v>74</v>
      </c>
      <c r="E76" s="104"/>
      <c r="F76" s="104"/>
      <c r="G76" s="104"/>
      <c r="H76" s="104"/>
      <c r="I76" s="104"/>
      <c r="J76" s="105" t="s">
        <v>7817</v>
      </c>
      <c r="K76" s="104"/>
      <c r="L76" s="104">
        <v>45</v>
      </c>
    </row>
    <row r="77" spans="1:12" x14ac:dyDescent="0.25">
      <c r="A77" s="105" t="s">
        <v>7818</v>
      </c>
      <c r="B77" s="104"/>
      <c r="C77" s="104"/>
      <c r="D77" s="104">
        <v>75</v>
      </c>
      <c r="E77" s="104"/>
      <c r="F77" s="104"/>
      <c r="G77" s="104"/>
      <c r="H77" s="104"/>
      <c r="I77" s="104"/>
      <c r="J77" s="105" t="s">
        <v>7818</v>
      </c>
      <c r="K77" s="104"/>
      <c r="L77" s="104">
        <v>46</v>
      </c>
    </row>
    <row r="78" spans="1:12" x14ac:dyDescent="0.25">
      <c r="A78" s="105" t="s">
        <v>7819</v>
      </c>
      <c r="B78" s="104"/>
      <c r="C78" s="104"/>
      <c r="D78" s="104">
        <v>76</v>
      </c>
      <c r="E78" s="104"/>
      <c r="F78" s="104"/>
      <c r="G78" s="104"/>
      <c r="H78" s="104"/>
      <c r="I78" s="104"/>
      <c r="J78" s="105" t="s">
        <v>7819</v>
      </c>
      <c r="K78" s="104"/>
      <c r="L78" s="104">
        <v>47</v>
      </c>
    </row>
    <row r="79" spans="1:12" x14ac:dyDescent="0.25">
      <c r="A79" s="105" t="s">
        <v>7820</v>
      </c>
      <c r="B79" s="104"/>
      <c r="C79" s="104"/>
      <c r="D79" s="104">
        <v>77</v>
      </c>
      <c r="E79" s="104"/>
      <c r="F79" s="104"/>
      <c r="G79" s="104"/>
      <c r="H79" s="104"/>
      <c r="I79" s="104"/>
      <c r="J79" s="105" t="s">
        <v>7820</v>
      </c>
      <c r="K79" s="104"/>
      <c r="L79" s="104">
        <v>48</v>
      </c>
    </row>
    <row r="80" spans="1:12" x14ac:dyDescent="0.25">
      <c r="A80" s="105" t="s">
        <v>7821</v>
      </c>
      <c r="B80" s="104"/>
      <c r="C80" s="104"/>
      <c r="D80" s="104">
        <v>78</v>
      </c>
      <c r="E80" s="104"/>
      <c r="F80" s="104"/>
      <c r="G80" s="104"/>
      <c r="H80" s="104"/>
      <c r="I80" s="104"/>
      <c r="J80" s="105" t="s">
        <v>7821</v>
      </c>
      <c r="K80" s="104"/>
      <c r="L80" s="104">
        <v>49</v>
      </c>
    </row>
    <row r="81" spans="1:12" x14ac:dyDescent="0.25">
      <c r="A81" s="105" t="s">
        <v>7822</v>
      </c>
      <c r="B81" s="104"/>
      <c r="C81" s="104"/>
      <c r="D81" s="104">
        <v>79</v>
      </c>
      <c r="E81" s="104"/>
      <c r="F81" s="104"/>
      <c r="G81" s="104"/>
      <c r="H81" s="104"/>
      <c r="I81" s="104"/>
      <c r="J81" s="105" t="s">
        <v>7822</v>
      </c>
      <c r="K81" s="104"/>
      <c r="L81" s="104">
        <v>50</v>
      </c>
    </row>
    <row r="82" spans="1:12" x14ac:dyDescent="0.25">
      <c r="A82" s="105" t="s">
        <v>7823</v>
      </c>
      <c r="B82" s="104"/>
      <c r="C82" s="104"/>
      <c r="D82" s="104">
        <v>80</v>
      </c>
      <c r="E82" s="104"/>
      <c r="F82" s="104"/>
      <c r="G82" s="104"/>
      <c r="H82" s="104"/>
      <c r="I82" s="104"/>
      <c r="J82" s="105" t="s">
        <v>7823</v>
      </c>
      <c r="K82" s="104"/>
      <c r="L82" s="104">
        <v>51</v>
      </c>
    </row>
    <row r="83" spans="1:12" x14ac:dyDescent="0.25">
      <c r="A83" s="105" t="s">
        <v>7824</v>
      </c>
      <c r="B83" s="104"/>
      <c r="C83" s="104"/>
      <c r="D83" s="104">
        <v>81</v>
      </c>
      <c r="E83" s="104"/>
      <c r="F83" s="104"/>
      <c r="G83" s="104"/>
      <c r="H83" s="104"/>
      <c r="I83" s="104"/>
      <c r="J83" s="105" t="s">
        <v>7824</v>
      </c>
      <c r="K83" s="104"/>
      <c r="L83" s="104">
        <v>52</v>
      </c>
    </row>
    <row r="84" spans="1:12" x14ac:dyDescent="0.25">
      <c r="A84" s="105" t="s">
        <v>7825</v>
      </c>
      <c r="B84" s="104"/>
      <c r="C84" s="104"/>
      <c r="D84" s="104">
        <v>82</v>
      </c>
      <c r="E84" s="104"/>
      <c r="F84" s="104"/>
      <c r="G84" s="104"/>
      <c r="H84" s="104"/>
      <c r="I84" s="104"/>
      <c r="J84" s="105" t="s">
        <v>7825</v>
      </c>
      <c r="K84" s="104"/>
      <c r="L84" s="104">
        <v>53</v>
      </c>
    </row>
    <row r="85" spans="1:12" x14ac:dyDescent="0.25">
      <c r="A85" s="105" t="s">
        <v>7826</v>
      </c>
      <c r="B85" s="104"/>
      <c r="C85" s="104"/>
      <c r="D85" s="104">
        <v>83</v>
      </c>
      <c r="E85" s="104"/>
      <c r="F85" s="104"/>
      <c r="G85" s="104"/>
      <c r="H85" s="104"/>
      <c r="I85" s="104"/>
      <c r="J85" s="105" t="s">
        <v>7826</v>
      </c>
      <c r="K85" s="104"/>
      <c r="L85" s="104">
        <v>54</v>
      </c>
    </row>
    <row r="86" spans="1:12" x14ac:dyDescent="0.25">
      <c r="A86" s="105" t="s">
        <v>7827</v>
      </c>
      <c r="B86" s="104"/>
      <c r="C86" s="104"/>
      <c r="D86" s="104">
        <v>84</v>
      </c>
      <c r="E86" s="104"/>
      <c r="F86" s="104"/>
      <c r="G86" s="104"/>
      <c r="H86" s="104"/>
      <c r="I86" s="104"/>
      <c r="J86" s="105" t="s">
        <v>7827</v>
      </c>
      <c r="K86" s="104"/>
      <c r="L86" s="104">
        <v>55</v>
      </c>
    </row>
    <row r="87" spans="1:12" x14ac:dyDescent="0.25">
      <c r="A87" s="105" t="s">
        <v>7828</v>
      </c>
      <c r="B87" s="104"/>
      <c r="C87" s="104"/>
      <c r="D87" s="104">
        <v>85</v>
      </c>
      <c r="E87" s="104"/>
      <c r="F87" s="104"/>
      <c r="G87" s="104"/>
      <c r="H87" s="104"/>
      <c r="I87" s="104"/>
      <c r="J87" s="105" t="s">
        <v>7828</v>
      </c>
      <c r="K87" s="104"/>
      <c r="L87" s="104">
        <v>56</v>
      </c>
    </row>
    <row r="88" spans="1:12" x14ac:dyDescent="0.25">
      <c r="A88" s="105" t="s">
        <v>7829</v>
      </c>
      <c r="B88" s="104"/>
      <c r="C88" s="104"/>
      <c r="D88" s="104">
        <v>86</v>
      </c>
      <c r="E88" s="104"/>
      <c r="F88" s="104"/>
      <c r="G88" s="104"/>
      <c r="H88" s="104"/>
      <c r="I88" s="104"/>
      <c r="J88" s="105" t="s">
        <v>7829</v>
      </c>
      <c r="K88" s="104"/>
      <c r="L88" s="104">
        <v>57</v>
      </c>
    </row>
    <row r="89" spans="1:12" x14ac:dyDescent="0.25">
      <c r="A89" s="105" t="s">
        <v>5916</v>
      </c>
      <c r="B89" s="104"/>
      <c r="C89" s="104"/>
      <c r="D89" s="104">
        <v>87</v>
      </c>
      <c r="E89" s="104"/>
      <c r="F89" s="104"/>
      <c r="G89" s="104"/>
      <c r="H89" s="104"/>
      <c r="I89" s="104"/>
      <c r="J89" s="105" t="s">
        <v>5916</v>
      </c>
      <c r="K89" s="104"/>
      <c r="L89" s="104">
        <v>58</v>
      </c>
    </row>
    <row r="90" spans="1:12" x14ac:dyDescent="0.25">
      <c r="A90" s="105" t="s">
        <v>7830</v>
      </c>
      <c r="B90" s="104"/>
      <c r="C90" s="104"/>
      <c r="D90" s="104">
        <v>88</v>
      </c>
      <c r="E90" s="104"/>
      <c r="F90" s="104"/>
      <c r="G90" s="104"/>
      <c r="H90" s="104"/>
      <c r="I90" s="104"/>
      <c r="J90" s="105" t="s">
        <v>7830</v>
      </c>
      <c r="K90" s="104"/>
      <c r="L90" s="104">
        <v>59</v>
      </c>
    </row>
    <row r="91" spans="1:12" x14ac:dyDescent="0.25">
      <c r="A91" s="105" t="s">
        <v>7831</v>
      </c>
      <c r="B91" s="104"/>
      <c r="C91" s="104"/>
      <c r="D91" s="104">
        <v>89</v>
      </c>
      <c r="E91" s="104"/>
      <c r="F91" s="104"/>
      <c r="G91" s="104"/>
      <c r="H91" s="104"/>
      <c r="I91" s="104"/>
      <c r="J91" s="105" t="s">
        <v>7831</v>
      </c>
      <c r="K91" s="104"/>
      <c r="L91" s="104">
        <v>60</v>
      </c>
    </row>
    <row r="92" spans="1:12" x14ac:dyDescent="0.25">
      <c r="A92" s="105" t="s">
        <v>7832</v>
      </c>
      <c r="B92" s="104"/>
      <c r="C92" s="104"/>
      <c r="D92" s="104">
        <v>90</v>
      </c>
      <c r="E92" s="104"/>
      <c r="F92" s="104"/>
      <c r="G92" s="104"/>
      <c r="H92" s="104"/>
      <c r="I92" s="104"/>
      <c r="J92" s="105" t="s">
        <v>7832</v>
      </c>
      <c r="K92" s="104"/>
      <c r="L92" s="104">
        <v>61</v>
      </c>
    </row>
    <row r="93" spans="1:12" x14ac:dyDescent="0.25">
      <c r="A93" s="105" t="s">
        <v>7833</v>
      </c>
      <c r="B93" s="104"/>
      <c r="C93" s="104"/>
      <c r="D93" s="104">
        <v>91</v>
      </c>
      <c r="E93" s="104"/>
      <c r="F93" s="104"/>
      <c r="G93" s="104"/>
      <c r="H93" s="104"/>
      <c r="I93" s="104"/>
      <c r="J93" s="105" t="s">
        <v>7833</v>
      </c>
      <c r="K93" s="104"/>
      <c r="L93" s="104">
        <v>62</v>
      </c>
    </row>
    <row r="94" spans="1:12" x14ac:dyDescent="0.25">
      <c r="A94" s="105" t="s">
        <v>7834</v>
      </c>
      <c r="B94" s="104"/>
      <c r="C94" s="104"/>
      <c r="D94" s="104">
        <v>92</v>
      </c>
      <c r="E94" s="104"/>
      <c r="F94" s="104"/>
      <c r="G94" s="104"/>
      <c r="H94" s="104"/>
      <c r="I94" s="104"/>
      <c r="J94" s="105" t="s">
        <v>7834</v>
      </c>
      <c r="K94" s="104"/>
      <c r="L94" s="104">
        <v>63</v>
      </c>
    </row>
    <row r="95" spans="1:12" x14ac:dyDescent="0.25">
      <c r="A95" s="105" t="s">
        <v>7835</v>
      </c>
      <c r="B95" s="104"/>
      <c r="C95" s="104"/>
      <c r="D95" s="104">
        <v>93</v>
      </c>
      <c r="E95" s="104"/>
      <c r="F95" s="104"/>
      <c r="G95" s="104"/>
      <c r="H95" s="104"/>
      <c r="I95" s="104"/>
      <c r="J95" s="105" t="s">
        <v>7835</v>
      </c>
      <c r="K95" s="104"/>
      <c r="L95" s="104">
        <v>64</v>
      </c>
    </row>
    <row r="96" spans="1:12" x14ac:dyDescent="0.25">
      <c r="A96" s="105" t="s">
        <v>7836</v>
      </c>
      <c r="B96" s="104"/>
      <c r="C96" s="104"/>
      <c r="D96" s="104">
        <v>94</v>
      </c>
      <c r="E96" s="104"/>
      <c r="F96" s="104"/>
      <c r="G96" s="104"/>
      <c r="H96" s="104"/>
      <c r="I96" s="104"/>
      <c r="J96" s="105" t="s">
        <v>7836</v>
      </c>
      <c r="K96" s="104"/>
      <c r="L96" s="104">
        <v>65</v>
      </c>
    </row>
    <row r="97" spans="1:12" x14ac:dyDescent="0.25">
      <c r="A97" s="105" t="s">
        <v>7837</v>
      </c>
      <c r="B97" s="104"/>
      <c r="C97" s="104"/>
      <c r="D97" s="104">
        <v>95</v>
      </c>
      <c r="E97" s="104"/>
      <c r="F97" s="104"/>
      <c r="G97" s="104"/>
      <c r="H97" s="104"/>
      <c r="I97" s="104"/>
      <c r="J97" s="105" t="s">
        <v>7837</v>
      </c>
      <c r="K97" s="104"/>
      <c r="L97" s="104">
        <v>66</v>
      </c>
    </row>
    <row r="98" spans="1:12" x14ac:dyDescent="0.25">
      <c r="A98" s="105" t="s">
        <v>7838</v>
      </c>
      <c r="B98" s="104"/>
      <c r="C98" s="104"/>
      <c r="D98" s="104">
        <v>96</v>
      </c>
      <c r="E98" s="104"/>
      <c r="F98" s="104"/>
      <c r="G98" s="104"/>
      <c r="H98" s="104"/>
      <c r="I98" s="104"/>
      <c r="J98" s="105" t="s">
        <v>7838</v>
      </c>
      <c r="K98" s="104"/>
      <c r="L98" s="104">
        <v>67</v>
      </c>
    </row>
    <row r="99" spans="1:12" x14ac:dyDescent="0.25">
      <c r="A99" s="105" t="s">
        <v>7839</v>
      </c>
      <c r="B99" s="104"/>
      <c r="C99" s="104"/>
      <c r="D99" s="104">
        <v>97</v>
      </c>
      <c r="E99" s="104"/>
      <c r="F99" s="104"/>
      <c r="G99" s="104"/>
      <c r="H99" s="104"/>
      <c r="I99" s="104"/>
      <c r="J99" s="105" t="s">
        <v>7839</v>
      </c>
      <c r="K99" s="104"/>
      <c r="L99" s="104">
        <v>68</v>
      </c>
    </row>
    <row r="100" spans="1:12" x14ac:dyDescent="0.25">
      <c r="A100" s="105" t="s">
        <v>7840</v>
      </c>
      <c r="B100" s="104"/>
      <c r="C100" s="104"/>
      <c r="D100" s="104">
        <v>98</v>
      </c>
      <c r="E100" s="104"/>
      <c r="F100" s="104"/>
      <c r="G100" s="104"/>
      <c r="H100" s="104"/>
      <c r="I100" s="104"/>
      <c r="J100" s="105" t="s">
        <v>7840</v>
      </c>
      <c r="K100" s="104"/>
      <c r="L100" s="104">
        <v>69</v>
      </c>
    </row>
    <row r="101" spans="1:12" x14ac:dyDescent="0.25">
      <c r="A101" s="105" t="s">
        <v>7841</v>
      </c>
      <c r="B101" s="104"/>
      <c r="C101" s="104"/>
      <c r="D101" s="104">
        <v>99</v>
      </c>
      <c r="E101" s="104"/>
      <c r="F101" s="104"/>
      <c r="G101" s="104"/>
      <c r="H101" s="104"/>
      <c r="I101" s="104"/>
      <c r="J101" s="105" t="s">
        <v>7841</v>
      </c>
      <c r="K101" s="104"/>
      <c r="L101" s="104">
        <v>70</v>
      </c>
    </row>
    <row r="102" spans="1:12" x14ac:dyDescent="0.25">
      <c r="A102" s="105" t="s">
        <v>27</v>
      </c>
      <c r="B102" s="104"/>
      <c r="C102" s="104"/>
      <c r="D102" s="104">
        <v>100</v>
      </c>
      <c r="E102" s="104"/>
      <c r="F102" s="104"/>
      <c r="G102" s="104"/>
      <c r="H102" s="104"/>
      <c r="I102" s="104"/>
      <c r="J102" s="105" t="s">
        <v>27</v>
      </c>
      <c r="K102" s="104"/>
      <c r="L102" s="104">
        <v>71</v>
      </c>
    </row>
    <row r="103" spans="1:12" x14ac:dyDescent="0.25">
      <c r="A103" s="105" t="s">
        <v>7842</v>
      </c>
      <c r="B103" s="104"/>
      <c r="C103" s="104"/>
      <c r="D103" s="104">
        <v>101</v>
      </c>
      <c r="E103" s="104"/>
      <c r="F103" s="104"/>
      <c r="G103" s="104"/>
      <c r="H103" s="104"/>
      <c r="I103" s="104"/>
      <c r="J103" s="105" t="s">
        <v>7842</v>
      </c>
      <c r="K103" s="104"/>
      <c r="L103" s="104">
        <v>72</v>
      </c>
    </row>
    <row r="104" spans="1:12" x14ac:dyDescent="0.25">
      <c r="A104" s="105" t="s">
        <v>7843</v>
      </c>
      <c r="B104" s="104"/>
      <c r="C104" s="104"/>
      <c r="D104" s="104">
        <v>102</v>
      </c>
      <c r="E104" s="104"/>
      <c r="F104" s="104"/>
      <c r="G104" s="104"/>
      <c r="H104" s="104"/>
      <c r="I104" s="104"/>
      <c r="J104" s="105" t="s">
        <v>7843</v>
      </c>
      <c r="K104" s="104"/>
      <c r="L104" s="104">
        <v>73</v>
      </c>
    </row>
    <row r="105" spans="1:12" x14ac:dyDescent="0.25">
      <c r="A105" s="105" t="s">
        <v>7844</v>
      </c>
      <c r="B105" s="104"/>
      <c r="C105" s="104"/>
      <c r="D105" s="104">
        <v>103</v>
      </c>
      <c r="E105" s="104"/>
      <c r="F105" s="104"/>
      <c r="G105" s="104"/>
      <c r="H105" s="104"/>
      <c r="I105" s="104"/>
      <c r="J105" s="105" t="s">
        <v>7844</v>
      </c>
      <c r="K105" s="104"/>
      <c r="L105" s="104">
        <v>74</v>
      </c>
    </row>
    <row r="106" spans="1:12" x14ac:dyDescent="0.25">
      <c r="A106" s="105" t="s">
        <v>7845</v>
      </c>
      <c r="B106" s="104"/>
      <c r="C106" s="104"/>
      <c r="D106" s="104">
        <v>104</v>
      </c>
      <c r="E106" s="104"/>
      <c r="F106" s="104"/>
      <c r="G106" s="104"/>
      <c r="H106" s="104"/>
      <c r="I106" s="104"/>
      <c r="J106" s="105" t="s">
        <v>7845</v>
      </c>
      <c r="K106" s="104"/>
      <c r="L106" s="104">
        <v>75</v>
      </c>
    </row>
    <row r="107" spans="1:12" x14ac:dyDescent="0.25">
      <c r="A107" s="105" t="s">
        <v>7846</v>
      </c>
      <c r="B107" s="104"/>
      <c r="C107" s="104"/>
      <c r="D107" s="104">
        <v>105</v>
      </c>
      <c r="E107" s="104"/>
      <c r="F107" s="104"/>
      <c r="G107" s="104"/>
      <c r="H107" s="104"/>
      <c r="I107" s="104"/>
      <c r="J107" s="105" t="s">
        <v>7846</v>
      </c>
      <c r="K107" s="104"/>
      <c r="L107" s="104">
        <v>76</v>
      </c>
    </row>
    <row r="108" spans="1:12" x14ac:dyDescent="0.25">
      <c r="A108" s="105" t="s">
        <v>7847</v>
      </c>
      <c r="B108" s="104"/>
      <c r="C108" s="104"/>
      <c r="D108" s="104">
        <v>106</v>
      </c>
      <c r="E108" s="104"/>
      <c r="F108" s="104"/>
      <c r="G108" s="104"/>
      <c r="H108" s="104"/>
      <c r="I108" s="104"/>
      <c r="J108" s="105" t="s">
        <v>7847</v>
      </c>
      <c r="K108" s="104"/>
      <c r="L108" s="104">
        <v>77</v>
      </c>
    </row>
    <row r="109" spans="1:12" x14ac:dyDescent="0.25">
      <c r="A109" s="105" t="s">
        <v>7848</v>
      </c>
      <c r="B109" s="104"/>
      <c r="C109" s="104"/>
      <c r="D109" s="104">
        <v>107</v>
      </c>
      <c r="E109" s="104"/>
      <c r="F109" s="104"/>
      <c r="G109" s="104"/>
      <c r="H109" s="104"/>
      <c r="I109" s="104"/>
      <c r="J109" s="105" t="s">
        <v>7848</v>
      </c>
      <c r="K109" s="104"/>
      <c r="L109" s="104">
        <v>78</v>
      </c>
    </row>
    <row r="110" spans="1:12" x14ac:dyDescent="0.25">
      <c r="A110" s="105" t="s">
        <v>7849</v>
      </c>
      <c r="B110" s="104"/>
      <c r="C110" s="104"/>
      <c r="D110" s="104">
        <v>108</v>
      </c>
      <c r="E110" s="104"/>
      <c r="F110" s="104"/>
      <c r="G110" s="104"/>
      <c r="H110" s="104"/>
      <c r="I110" s="104"/>
      <c r="J110" s="105" t="s">
        <v>7849</v>
      </c>
      <c r="K110" s="104"/>
      <c r="L110" s="104">
        <v>79</v>
      </c>
    </row>
    <row r="111" spans="1:12" x14ac:dyDescent="0.25">
      <c r="A111" s="105" t="s">
        <v>7850</v>
      </c>
      <c r="B111" s="104"/>
      <c r="C111" s="104"/>
      <c r="D111" s="104">
        <v>109</v>
      </c>
      <c r="E111" s="104"/>
      <c r="F111" s="104"/>
      <c r="G111" s="104"/>
      <c r="H111" s="104"/>
      <c r="I111" s="104"/>
      <c r="J111" s="105" t="s">
        <v>7850</v>
      </c>
      <c r="K111" s="104"/>
      <c r="L111" s="104">
        <v>80</v>
      </c>
    </row>
    <row r="112" spans="1:12" x14ac:dyDescent="0.25">
      <c r="A112" s="105" t="s">
        <v>7851</v>
      </c>
      <c r="B112" s="104"/>
      <c r="C112" s="104"/>
      <c r="D112" s="104">
        <v>110</v>
      </c>
      <c r="E112" s="104"/>
      <c r="F112" s="104"/>
      <c r="G112" s="104"/>
      <c r="H112" s="104"/>
      <c r="I112" s="104"/>
      <c r="J112" s="105" t="s">
        <v>7851</v>
      </c>
      <c r="K112" s="104"/>
      <c r="L112" s="104">
        <v>81</v>
      </c>
    </row>
    <row r="113" spans="1:12" x14ac:dyDescent="0.25">
      <c r="A113" s="105" t="s">
        <v>7852</v>
      </c>
      <c r="B113" s="104"/>
      <c r="C113" s="104"/>
      <c r="D113" s="104">
        <v>111</v>
      </c>
      <c r="E113" s="104"/>
      <c r="F113" s="104"/>
      <c r="G113" s="104"/>
      <c r="H113" s="104"/>
      <c r="I113" s="104"/>
      <c r="J113" s="105" t="s">
        <v>7852</v>
      </c>
      <c r="K113" s="104"/>
      <c r="L113" s="104">
        <v>82</v>
      </c>
    </row>
    <row r="114" spans="1:12" x14ac:dyDescent="0.25">
      <c r="A114" s="105" t="s">
        <v>7853</v>
      </c>
      <c r="B114" s="104"/>
      <c r="C114" s="104"/>
      <c r="D114" s="104">
        <v>112</v>
      </c>
      <c r="E114" s="104"/>
      <c r="F114" s="104"/>
      <c r="G114" s="104"/>
      <c r="H114" s="104"/>
      <c r="I114" s="104"/>
      <c r="J114" s="105" t="s">
        <v>7853</v>
      </c>
      <c r="K114" s="104"/>
      <c r="L114" s="104">
        <v>83</v>
      </c>
    </row>
    <row r="115" spans="1:12" x14ac:dyDescent="0.25">
      <c r="A115" s="105" t="s">
        <v>7854</v>
      </c>
      <c r="B115" s="104"/>
      <c r="C115" s="104"/>
      <c r="D115" s="104">
        <v>113</v>
      </c>
      <c r="E115" s="104"/>
      <c r="F115" s="104"/>
      <c r="G115" s="104"/>
      <c r="H115" s="104"/>
      <c r="I115" s="104"/>
      <c r="J115" s="105" t="s">
        <v>7854</v>
      </c>
      <c r="K115" s="104"/>
      <c r="L115" s="104">
        <v>84</v>
      </c>
    </row>
    <row r="116" spans="1:12" x14ac:dyDescent="0.25">
      <c r="A116" s="105" t="s">
        <v>7855</v>
      </c>
      <c r="B116" s="104"/>
      <c r="C116" s="104"/>
      <c r="D116" s="104">
        <v>114</v>
      </c>
      <c r="E116" s="104"/>
      <c r="F116" s="104"/>
      <c r="G116" s="104"/>
      <c r="H116" s="104"/>
      <c r="I116" s="104"/>
      <c r="J116" s="105" t="s">
        <v>7855</v>
      </c>
      <c r="K116" s="104"/>
      <c r="L116" s="104">
        <v>85</v>
      </c>
    </row>
    <row r="117" spans="1:12" x14ac:dyDescent="0.25">
      <c r="A117" s="105" t="s">
        <v>7856</v>
      </c>
      <c r="B117" s="104"/>
      <c r="C117" s="104"/>
      <c r="D117" s="104">
        <v>115</v>
      </c>
      <c r="E117" s="104"/>
      <c r="F117" s="104"/>
      <c r="G117" s="104"/>
      <c r="H117" s="104"/>
      <c r="I117" s="104"/>
      <c r="J117" s="105" t="s">
        <v>7856</v>
      </c>
      <c r="K117" s="104"/>
      <c r="L117" s="104">
        <v>86</v>
      </c>
    </row>
    <row r="118" spans="1:12" x14ac:dyDescent="0.25">
      <c r="A118" s="105" t="s">
        <v>7857</v>
      </c>
      <c r="B118" s="104"/>
      <c r="C118" s="104"/>
      <c r="D118" s="104">
        <v>116</v>
      </c>
      <c r="E118" s="104"/>
      <c r="F118" s="104"/>
      <c r="G118" s="104"/>
      <c r="H118" s="104"/>
      <c r="I118" s="104"/>
      <c r="J118" s="105" t="s">
        <v>7857</v>
      </c>
      <c r="K118" s="104"/>
      <c r="L118" s="104">
        <v>87</v>
      </c>
    </row>
    <row r="119" spans="1:12" x14ac:dyDescent="0.25">
      <c r="A119" s="105" t="s">
        <v>7858</v>
      </c>
      <c r="B119" s="104"/>
      <c r="C119" s="104"/>
      <c r="D119" s="104">
        <v>117</v>
      </c>
      <c r="E119" s="104"/>
      <c r="F119" s="104"/>
      <c r="G119" s="104"/>
      <c r="H119" s="104"/>
      <c r="I119" s="104"/>
      <c r="J119" s="105" t="s">
        <v>7858</v>
      </c>
      <c r="K119" s="104"/>
      <c r="L119" s="104">
        <v>88</v>
      </c>
    </row>
    <row r="120" spans="1:12" x14ac:dyDescent="0.25">
      <c r="A120" s="105" t="s">
        <v>7859</v>
      </c>
      <c r="B120" s="104"/>
      <c r="C120" s="104"/>
      <c r="D120" s="104">
        <v>118</v>
      </c>
      <c r="E120" s="104"/>
      <c r="F120" s="104"/>
      <c r="G120" s="104"/>
      <c r="H120" s="104"/>
      <c r="I120" s="104"/>
      <c r="J120" s="105" t="s">
        <v>7859</v>
      </c>
      <c r="K120" s="104"/>
      <c r="L120" s="104">
        <v>89</v>
      </c>
    </row>
    <row r="121" spans="1:12" x14ac:dyDescent="0.25">
      <c r="A121" s="105" t="s">
        <v>7860</v>
      </c>
      <c r="B121" s="104"/>
      <c r="C121" s="104"/>
      <c r="D121" s="104">
        <v>119</v>
      </c>
      <c r="E121" s="104"/>
      <c r="F121" s="104"/>
      <c r="G121" s="104"/>
      <c r="H121" s="104"/>
      <c r="I121" s="104"/>
      <c r="J121" s="105" t="s">
        <v>7860</v>
      </c>
      <c r="K121" s="104"/>
      <c r="L121" s="104">
        <v>90</v>
      </c>
    </row>
    <row r="122" spans="1:12" x14ac:dyDescent="0.25">
      <c r="A122" s="105" t="s">
        <v>7861</v>
      </c>
      <c r="B122" s="104"/>
      <c r="C122" s="104"/>
      <c r="D122" s="104">
        <v>120</v>
      </c>
      <c r="E122" s="104"/>
      <c r="F122" s="104"/>
      <c r="G122" s="104"/>
      <c r="H122" s="104"/>
      <c r="I122" s="104"/>
      <c r="J122" s="105" t="s">
        <v>7861</v>
      </c>
      <c r="K122" s="104"/>
      <c r="L122" s="104">
        <v>91</v>
      </c>
    </row>
    <row r="123" spans="1:12" x14ac:dyDescent="0.25">
      <c r="A123" s="105" t="s">
        <v>7862</v>
      </c>
      <c r="B123" s="104"/>
      <c r="C123" s="104"/>
      <c r="D123" s="104">
        <v>121</v>
      </c>
      <c r="E123" s="104"/>
      <c r="F123" s="104"/>
      <c r="G123" s="104"/>
      <c r="H123" s="104"/>
      <c r="I123" s="104"/>
      <c r="J123" s="105" t="s">
        <v>7862</v>
      </c>
      <c r="K123" s="104"/>
      <c r="L123" s="104">
        <v>92</v>
      </c>
    </row>
    <row r="124" spans="1:12" x14ac:dyDescent="0.25">
      <c r="A124" s="105" t="s">
        <v>7863</v>
      </c>
      <c r="B124" s="104"/>
      <c r="C124" s="104"/>
      <c r="D124" s="104">
        <v>122</v>
      </c>
      <c r="E124" s="104"/>
      <c r="F124" s="104"/>
      <c r="G124" s="104"/>
      <c r="H124" s="104"/>
      <c r="I124" s="104"/>
      <c r="J124" s="105" t="s">
        <v>7863</v>
      </c>
      <c r="K124" s="104"/>
      <c r="L124" s="104">
        <v>93</v>
      </c>
    </row>
    <row r="125" spans="1:12" x14ac:dyDescent="0.25">
      <c r="A125" s="105" t="s">
        <v>7864</v>
      </c>
      <c r="B125" s="104"/>
      <c r="C125" s="104"/>
      <c r="D125" s="104">
        <v>123</v>
      </c>
      <c r="E125" s="104"/>
      <c r="F125" s="104"/>
      <c r="G125" s="104"/>
      <c r="H125" s="104"/>
      <c r="I125" s="104"/>
      <c r="J125" s="105" t="s">
        <v>7864</v>
      </c>
      <c r="K125" s="104"/>
      <c r="L125" s="104">
        <v>94</v>
      </c>
    </row>
    <row r="126" spans="1:12" x14ac:dyDescent="0.25">
      <c r="A126" s="105" t="s">
        <v>7865</v>
      </c>
      <c r="B126" s="104"/>
      <c r="C126" s="104"/>
      <c r="D126" s="104">
        <v>124</v>
      </c>
      <c r="E126" s="104"/>
      <c r="F126" s="104"/>
      <c r="G126" s="104"/>
      <c r="H126" s="104"/>
      <c r="I126" s="104"/>
      <c r="J126" s="105" t="s">
        <v>7865</v>
      </c>
      <c r="K126" s="104"/>
      <c r="L126" s="104">
        <v>95</v>
      </c>
    </row>
    <row r="127" spans="1:12" x14ac:dyDescent="0.25">
      <c r="A127" s="105" t="s">
        <v>7866</v>
      </c>
      <c r="B127" s="104"/>
      <c r="C127" s="104"/>
      <c r="D127" s="104">
        <v>125</v>
      </c>
      <c r="E127" s="104"/>
      <c r="F127" s="104"/>
      <c r="G127" s="104"/>
      <c r="H127" s="104"/>
      <c r="I127" s="104"/>
      <c r="J127" s="105" t="s">
        <v>7866</v>
      </c>
      <c r="K127" s="104"/>
      <c r="L127" s="104">
        <v>96</v>
      </c>
    </row>
    <row r="128" spans="1:12" x14ac:dyDescent="0.25">
      <c r="A128" s="105" t="s">
        <v>7867</v>
      </c>
      <c r="B128" s="104"/>
      <c r="C128" s="104"/>
      <c r="D128" s="104">
        <v>126</v>
      </c>
      <c r="E128" s="104"/>
      <c r="F128" s="104"/>
      <c r="G128" s="104"/>
      <c r="H128" s="104"/>
      <c r="I128" s="104"/>
      <c r="J128" s="105" t="s">
        <v>7867</v>
      </c>
      <c r="K128" s="104"/>
      <c r="L128" s="104">
        <v>97</v>
      </c>
    </row>
    <row r="129" spans="1:12" x14ac:dyDescent="0.25">
      <c r="A129" s="105" t="s">
        <v>7868</v>
      </c>
      <c r="B129" s="104"/>
      <c r="C129" s="104"/>
      <c r="D129" s="104">
        <v>127</v>
      </c>
      <c r="E129" s="104"/>
      <c r="F129" s="104"/>
      <c r="G129" s="104"/>
      <c r="H129" s="104"/>
      <c r="I129" s="104"/>
      <c r="J129" s="105" t="s">
        <v>7868</v>
      </c>
      <c r="K129" s="104"/>
      <c r="L129" s="104">
        <v>98</v>
      </c>
    </row>
    <row r="130" spans="1:12" x14ac:dyDescent="0.25">
      <c r="A130" s="105" t="s">
        <v>7869</v>
      </c>
      <c r="B130" s="104"/>
      <c r="C130" s="104"/>
      <c r="D130" s="104">
        <v>128</v>
      </c>
      <c r="E130" s="104"/>
      <c r="F130" s="104"/>
      <c r="G130" s="104"/>
      <c r="H130" s="104"/>
      <c r="I130" s="104"/>
      <c r="J130" s="105" t="s">
        <v>7869</v>
      </c>
      <c r="K130" s="104"/>
      <c r="L130" s="104">
        <v>99</v>
      </c>
    </row>
    <row r="131" spans="1:12" x14ac:dyDescent="0.25">
      <c r="A131" s="105" t="s">
        <v>7870</v>
      </c>
      <c r="B131" s="104"/>
      <c r="C131" s="104"/>
      <c r="D131" s="104">
        <v>129</v>
      </c>
      <c r="E131" s="104"/>
      <c r="F131" s="104"/>
      <c r="G131" s="104"/>
      <c r="H131" s="104"/>
      <c r="I131" s="104"/>
      <c r="J131" s="105" t="s">
        <v>7870</v>
      </c>
      <c r="K131" s="104"/>
      <c r="L131" s="104">
        <v>100</v>
      </c>
    </row>
    <row r="132" spans="1:12" x14ac:dyDescent="0.25">
      <c r="A132" s="105" t="s">
        <v>7871</v>
      </c>
      <c r="B132" s="104"/>
      <c r="C132" s="104"/>
      <c r="D132" s="104">
        <v>130</v>
      </c>
      <c r="E132" s="104"/>
      <c r="F132" s="104"/>
      <c r="G132" s="104"/>
      <c r="H132" s="104"/>
      <c r="I132" s="104"/>
      <c r="J132" s="105" t="s">
        <v>7871</v>
      </c>
      <c r="K132" s="104"/>
      <c r="L132" s="104">
        <v>101</v>
      </c>
    </row>
    <row r="133" spans="1:12" x14ac:dyDescent="0.25">
      <c r="A133" s="105" t="s">
        <v>7872</v>
      </c>
      <c r="B133" s="104"/>
      <c r="C133" s="104"/>
      <c r="D133" s="104">
        <v>131</v>
      </c>
      <c r="E133" s="104"/>
      <c r="F133" s="104"/>
      <c r="G133" s="104"/>
      <c r="H133" s="104"/>
      <c r="I133" s="104"/>
      <c r="J133" s="105" t="s">
        <v>7872</v>
      </c>
      <c r="K133" s="104"/>
      <c r="L133" s="104">
        <v>102</v>
      </c>
    </row>
    <row r="134" spans="1:12" x14ac:dyDescent="0.25">
      <c r="A134" s="105" t="s">
        <v>7873</v>
      </c>
      <c r="B134" s="104"/>
      <c r="C134" s="104"/>
      <c r="D134" s="104">
        <v>132</v>
      </c>
      <c r="E134" s="104"/>
      <c r="F134" s="104"/>
      <c r="G134" s="104"/>
      <c r="H134" s="104"/>
      <c r="I134" s="104"/>
      <c r="J134" s="105" t="s">
        <v>7873</v>
      </c>
      <c r="K134" s="104"/>
      <c r="L134" s="104">
        <v>103</v>
      </c>
    </row>
    <row r="135" spans="1:12" x14ac:dyDescent="0.25">
      <c r="A135" s="105" t="s">
        <v>7874</v>
      </c>
      <c r="B135" s="104"/>
      <c r="C135" s="104"/>
      <c r="D135" s="104">
        <v>133</v>
      </c>
      <c r="E135" s="104"/>
      <c r="F135" s="104"/>
      <c r="G135" s="104"/>
      <c r="H135" s="104"/>
      <c r="I135" s="104"/>
      <c r="J135" s="105" t="s">
        <v>7874</v>
      </c>
      <c r="K135" s="104"/>
      <c r="L135" s="104">
        <v>104</v>
      </c>
    </row>
    <row r="136" spans="1:12" x14ac:dyDescent="0.25">
      <c r="A136" s="105" t="s">
        <v>7875</v>
      </c>
      <c r="B136" s="104"/>
      <c r="C136" s="104"/>
      <c r="D136" s="104">
        <v>134</v>
      </c>
      <c r="E136" s="104"/>
      <c r="F136" s="104"/>
      <c r="G136" s="104"/>
      <c r="H136" s="104"/>
      <c r="I136" s="104"/>
      <c r="J136" s="105" t="s">
        <v>7875</v>
      </c>
      <c r="K136" s="104"/>
      <c r="L136" s="104">
        <v>105</v>
      </c>
    </row>
    <row r="137" spans="1:12" x14ac:dyDescent="0.25">
      <c r="A137" s="105" t="s">
        <v>7876</v>
      </c>
      <c r="B137" s="104"/>
      <c r="C137" s="104"/>
      <c r="D137" s="104">
        <v>135</v>
      </c>
      <c r="E137" s="104"/>
      <c r="F137" s="104"/>
      <c r="G137" s="104"/>
      <c r="H137" s="104"/>
      <c r="I137" s="104"/>
      <c r="J137" s="105" t="s">
        <v>7876</v>
      </c>
      <c r="K137" s="104"/>
      <c r="L137" s="104">
        <v>106</v>
      </c>
    </row>
    <row r="138" spans="1:12" x14ac:dyDescent="0.25">
      <c r="A138" s="105" t="s">
        <v>7877</v>
      </c>
      <c r="B138" s="104"/>
      <c r="C138" s="104"/>
      <c r="D138" s="104">
        <v>136</v>
      </c>
      <c r="E138" s="104"/>
      <c r="F138" s="104"/>
      <c r="G138" s="104"/>
      <c r="H138" s="104"/>
      <c r="I138" s="104"/>
      <c r="J138" s="105" t="s">
        <v>7877</v>
      </c>
      <c r="K138" s="104"/>
      <c r="L138" s="104">
        <v>107</v>
      </c>
    </row>
    <row r="139" spans="1:12" x14ac:dyDescent="0.25">
      <c r="A139" s="105" t="s">
        <v>7878</v>
      </c>
      <c r="B139" s="104"/>
      <c r="C139" s="104"/>
      <c r="D139" s="104">
        <v>137</v>
      </c>
      <c r="E139" s="104"/>
      <c r="F139" s="104"/>
      <c r="G139" s="104"/>
      <c r="H139" s="104"/>
      <c r="I139" s="104"/>
      <c r="J139" s="105" t="s">
        <v>7878</v>
      </c>
      <c r="K139" s="104"/>
      <c r="L139" s="104">
        <v>108</v>
      </c>
    </row>
    <row r="140" spans="1:12" x14ac:dyDescent="0.25">
      <c r="A140" s="105" t="s">
        <v>7879</v>
      </c>
      <c r="B140" s="104"/>
      <c r="C140" s="104"/>
      <c r="D140" s="104">
        <v>138</v>
      </c>
      <c r="E140" s="104"/>
      <c r="F140" s="104"/>
      <c r="G140" s="104"/>
      <c r="H140" s="104"/>
      <c r="I140" s="104"/>
      <c r="J140" s="105" t="s">
        <v>7879</v>
      </c>
      <c r="K140" s="104"/>
      <c r="L140" s="104">
        <v>109</v>
      </c>
    </row>
    <row r="141" spans="1:12" x14ac:dyDescent="0.25">
      <c r="A141" s="105" t="s">
        <v>7880</v>
      </c>
      <c r="B141" s="104"/>
      <c r="C141" s="104"/>
      <c r="D141" s="104">
        <v>139</v>
      </c>
      <c r="E141" s="104"/>
      <c r="F141" s="104"/>
      <c r="G141" s="104"/>
      <c r="H141" s="104"/>
      <c r="I141" s="104"/>
      <c r="J141" s="105" t="s">
        <v>7880</v>
      </c>
      <c r="K141" s="104"/>
      <c r="L141" s="104">
        <v>110</v>
      </c>
    </row>
    <row r="142" spans="1:12" x14ac:dyDescent="0.25">
      <c r="A142" s="105" t="s">
        <v>7881</v>
      </c>
      <c r="B142" s="104"/>
      <c r="C142" s="104"/>
      <c r="D142" s="104">
        <v>140</v>
      </c>
      <c r="E142" s="104"/>
      <c r="F142" s="104"/>
      <c r="G142" s="104"/>
      <c r="H142" s="104"/>
      <c r="I142" s="104"/>
      <c r="J142" s="105" t="s">
        <v>7881</v>
      </c>
      <c r="K142" s="104"/>
      <c r="L142" s="104">
        <v>111</v>
      </c>
    </row>
    <row r="143" spans="1:12" x14ac:dyDescent="0.25">
      <c r="A143" s="105" t="s">
        <v>7882</v>
      </c>
      <c r="B143" s="104"/>
      <c r="C143" s="104"/>
      <c r="D143" s="104">
        <v>141</v>
      </c>
      <c r="E143" s="104"/>
      <c r="F143" s="104"/>
      <c r="G143" s="104"/>
      <c r="H143" s="104"/>
      <c r="I143" s="104"/>
      <c r="J143" s="105" t="s">
        <v>7882</v>
      </c>
      <c r="K143" s="104"/>
      <c r="L143" s="104">
        <v>112</v>
      </c>
    </row>
    <row r="144" spans="1:12" x14ac:dyDescent="0.25">
      <c r="A144" s="105" t="s">
        <v>7883</v>
      </c>
      <c r="B144" s="104"/>
      <c r="C144" s="104"/>
      <c r="D144" s="104">
        <v>142</v>
      </c>
      <c r="E144" s="104"/>
      <c r="F144" s="104"/>
      <c r="G144" s="104"/>
      <c r="H144" s="104"/>
      <c r="I144" s="104"/>
      <c r="J144" s="105" t="s">
        <v>7883</v>
      </c>
      <c r="K144" s="104"/>
      <c r="L144" s="104">
        <v>113</v>
      </c>
    </row>
    <row r="145" spans="1:12" x14ac:dyDescent="0.25">
      <c r="A145" s="105" t="s">
        <v>7884</v>
      </c>
      <c r="B145" s="104"/>
      <c r="C145" s="104"/>
      <c r="D145" s="104">
        <v>143</v>
      </c>
      <c r="E145" s="104"/>
      <c r="F145" s="104"/>
      <c r="G145" s="104"/>
      <c r="H145" s="104"/>
      <c r="I145" s="104"/>
      <c r="J145" s="105" t="s">
        <v>7884</v>
      </c>
      <c r="K145" s="104"/>
      <c r="L145" s="104">
        <v>114</v>
      </c>
    </row>
    <row r="146" spans="1:12" x14ac:dyDescent="0.25">
      <c r="A146" s="105" t="s">
        <v>7885</v>
      </c>
      <c r="B146" s="104"/>
      <c r="C146" s="104"/>
      <c r="D146" s="104">
        <v>144</v>
      </c>
      <c r="E146" s="104"/>
      <c r="F146" s="104"/>
      <c r="G146" s="104"/>
      <c r="H146" s="104"/>
      <c r="I146" s="104"/>
      <c r="J146" s="105" t="s">
        <v>7885</v>
      </c>
      <c r="K146" s="104"/>
      <c r="L146" s="104">
        <v>115</v>
      </c>
    </row>
    <row r="147" spans="1:12" x14ac:dyDescent="0.25">
      <c r="A147" s="105" t="s">
        <v>7886</v>
      </c>
      <c r="B147" s="104"/>
      <c r="C147" s="104"/>
      <c r="D147" s="104">
        <v>145</v>
      </c>
      <c r="E147" s="104"/>
      <c r="F147" s="104"/>
      <c r="G147" s="104"/>
      <c r="H147" s="104"/>
      <c r="I147" s="104"/>
      <c r="J147" s="105" t="s">
        <v>7886</v>
      </c>
      <c r="K147" s="104"/>
      <c r="L147" s="104">
        <v>116</v>
      </c>
    </row>
    <row r="148" spans="1:12" x14ac:dyDescent="0.25">
      <c r="A148" s="105" t="s">
        <v>7887</v>
      </c>
      <c r="B148" s="104"/>
      <c r="C148" s="104"/>
      <c r="D148" s="104">
        <v>146</v>
      </c>
      <c r="E148" s="104"/>
      <c r="F148" s="104"/>
      <c r="G148" s="104"/>
      <c r="H148" s="104"/>
      <c r="I148" s="104"/>
      <c r="J148" s="105" t="s">
        <v>7887</v>
      </c>
      <c r="K148" s="104"/>
      <c r="L148" s="104">
        <v>117</v>
      </c>
    </row>
    <row r="149" spans="1:12" x14ac:dyDescent="0.25">
      <c r="A149" s="105" t="s">
        <v>7888</v>
      </c>
      <c r="B149" s="104"/>
      <c r="C149" s="104"/>
      <c r="D149" s="104">
        <v>147</v>
      </c>
      <c r="E149" s="104"/>
      <c r="F149" s="104"/>
      <c r="G149" s="104"/>
      <c r="H149" s="104"/>
      <c r="I149" s="104"/>
      <c r="J149" s="105" t="s">
        <v>7888</v>
      </c>
      <c r="K149" s="104"/>
      <c r="L149" s="104">
        <v>118</v>
      </c>
    </row>
    <row r="150" spans="1:12" x14ac:dyDescent="0.25">
      <c r="A150" s="105" t="s">
        <v>7889</v>
      </c>
      <c r="B150" s="104"/>
      <c r="C150" s="104"/>
      <c r="D150" s="104">
        <v>148</v>
      </c>
      <c r="E150" s="104"/>
      <c r="F150" s="104"/>
      <c r="G150" s="104"/>
      <c r="H150" s="104"/>
      <c r="I150" s="104"/>
      <c r="J150" s="105" t="s">
        <v>7889</v>
      </c>
      <c r="K150" s="104"/>
      <c r="L150" s="104">
        <v>119</v>
      </c>
    </row>
    <row r="151" spans="1:12" x14ac:dyDescent="0.25">
      <c r="A151" s="105" t="s">
        <v>7890</v>
      </c>
      <c r="B151" s="104"/>
      <c r="C151" s="104"/>
      <c r="D151" s="104">
        <v>149</v>
      </c>
      <c r="E151" s="104"/>
      <c r="F151" s="104"/>
      <c r="G151" s="104"/>
      <c r="H151" s="104"/>
      <c r="I151" s="104"/>
      <c r="J151" s="105" t="s">
        <v>7890</v>
      </c>
      <c r="K151" s="104"/>
      <c r="L151" s="104">
        <v>120</v>
      </c>
    </row>
    <row r="152" spans="1:12" x14ac:dyDescent="0.25">
      <c r="A152" s="105" t="s">
        <v>7891</v>
      </c>
      <c r="B152" s="104"/>
      <c r="C152" s="104"/>
      <c r="D152" s="104">
        <v>150</v>
      </c>
      <c r="E152" s="104"/>
      <c r="F152" s="104"/>
      <c r="G152" s="104"/>
      <c r="H152" s="104"/>
      <c r="I152" s="104"/>
      <c r="J152" s="105" t="s">
        <v>7891</v>
      </c>
      <c r="K152" s="104"/>
      <c r="L152" s="104">
        <v>121</v>
      </c>
    </row>
    <row r="153" spans="1:12" x14ac:dyDescent="0.25">
      <c r="A153" s="105" t="s">
        <v>7892</v>
      </c>
      <c r="B153" s="104"/>
      <c r="C153" s="104"/>
      <c r="D153" s="104">
        <v>151</v>
      </c>
      <c r="E153" s="104"/>
      <c r="F153" s="104"/>
      <c r="G153" s="104"/>
      <c r="H153" s="104"/>
      <c r="I153" s="104"/>
      <c r="J153" s="105" t="s">
        <v>7892</v>
      </c>
      <c r="K153" s="104"/>
      <c r="L153" s="104">
        <v>122</v>
      </c>
    </row>
    <row r="154" spans="1:12" x14ac:dyDescent="0.25">
      <c r="A154" s="105" t="s">
        <v>7893</v>
      </c>
      <c r="B154" s="104"/>
      <c r="C154" s="104"/>
      <c r="D154" s="104">
        <v>152</v>
      </c>
      <c r="E154" s="104"/>
      <c r="F154" s="104"/>
      <c r="G154" s="104"/>
      <c r="H154" s="104"/>
      <c r="I154" s="104"/>
      <c r="J154" s="105" t="s">
        <v>7893</v>
      </c>
      <c r="K154" s="104"/>
      <c r="L154" s="104">
        <v>123</v>
      </c>
    </row>
    <row r="155" spans="1:12" x14ac:dyDescent="0.25">
      <c r="A155" s="105" t="s">
        <v>7894</v>
      </c>
      <c r="B155" s="104"/>
      <c r="C155" s="104"/>
      <c r="D155" s="104">
        <v>153</v>
      </c>
      <c r="E155" s="104"/>
      <c r="F155" s="104"/>
      <c r="G155" s="104"/>
      <c r="H155" s="104"/>
      <c r="I155" s="104"/>
      <c r="J155" s="105" t="s">
        <v>7894</v>
      </c>
      <c r="K155" s="104"/>
      <c r="L155" s="104">
        <v>124</v>
      </c>
    </row>
    <row r="156" spans="1:12" x14ac:dyDescent="0.25">
      <c r="A156" s="105" t="s">
        <v>7895</v>
      </c>
      <c r="B156" s="104"/>
      <c r="C156" s="104"/>
      <c r="D156" s="104">
        <v>154</v>
      </c>
      <c r="E156" s="104"/>
      <c r="F156" s="104"/>
      <c r="G156" s="104"/>
      <c r="H156" s="104"/>
      <c r="I156" s="104"/>
      <c r="J156" s="105" t="s">
        <v>7895</v>
      </c>
      <c r="K156" s="104"/>
      <c r="L156" s="104">
        <v>125</v>
      </c>
    </row>
    <row r="157" spans="1:12" x14ac:dyDescent="0.25">
      <c r="A157" s="105" t="s">
        <v>7896</v>
      </c>
      <c r="B157" s="104"/>
      <c r="C157" s="104"/>
      <c r="D157" s="104">
        <v>155</v>
      </c>
      <c r="E157" s="104"/>
      <c r="F157" s="104"/>
      <c r="G157" s="104"/>
      <c r="H157" s="104"/>
      <c r="I157" s="104"/>
      <c r="J157" s="105" t="s">
        <v>7896</v>
      </c>
      <c r="K157" s="104"/>
      <c r="L157" s="104">
        <v>126</v>
      </c>
    </row>
    <row r="158" spans="1:12" x14ac:dyDescent="0.25">
      <c r="A158" s="105" t="s">
        <v>7897</v>
      </c>
      <c r="B158" s="104"/>
      <c r="C158" s="104"/>
      <c r="D158" s="104">
        <v>156</v>
      </c>
      <c r="E158" s="104"/>
      <c r="F158" s="104"/>
      <c r="G158" s="104"/>
      <c r="H158" s="104"/>
      <c r="I158" s="104"/>
      <c r="J158" s="105" t="s">
        <v>7897</v>
      </c>
      <c r="K158" s="104"/>
      <c r="L158" s="104">
        <v>127</v>
      </c>
    </row>
    <row r="159" spans="1:12" x14ac:dyDescent="0.25">
      <c r="A159" s="105" t="s">
        <v>7898</v>
      </c>
      <c r="B159" s="104"/>
      <c r="C159" s="104"/>
      <c r="D159" s="104">
        <v>157</v>
      </c>
      <c r="E159" s="104"/>
      <c r="F159" s="104"/>
      <c r="G159" s="104"/>
      <c r="H159" s="104"/>
      <c r="I159" s="104"/>
      <c r="J159" s="105" t="s">
        <v>7898</v>
      </c>
      <c r="K159" s="104"/>
      <c r="L159" s="104">
        <v>128</v>
      </c>
    </row>
    <row r="160" spans="1:12" x14ac:dyDescent="0.25">
      <c r="A160" s="105" t="s">
        <v>7899</v>
      </c>
      <c r="B160" s="104"/>
      <c r="C160" s="104"/>
      <c r="D160" s="104">
        <v>158</v>
      </c>
      <c r="E160" s="104"/>
      <c r="F160" s="104"/>
      <c r="G160" s="104"/>
      <c r="H160" s="104"/>
      <c r="I160" s="104"/>
      <c r="J160" s="105" t="s">
        <v>7899</v>
      </c>
      <c r="K160" s="104"/>
      <c r="L160" s="104">
        <v>129</v>
      </c>
    </row>
    <row r="161" spans="1:12" x14ac:dyDescent="0.25">
      <c r="A161" s="105" t="s">
        <v>7900</v>
      </c>
      <c r="B161" s="104"/>
      <c r="C161" s="104"/>
      <c r="D161" s="104">
        <v>159</v>
      </c>
      <c r="E161" s="104"/>
      <c r="F161" s="104"/>
      <c r="G161" s="104"/>
      <c r="H161" s="104"/>
      <c r="I161" s="104"/>
      <c r="J161" s="105" t="s">
        <v>7900</v>
      </c>
      <c r="K161" s="104"/>
      <c r="L161" s="104">
        <v>130</v>
      </c>
    </row>
    <row r="162" spans="1:12" x14ac:dyDescent="0.25">
      <c r="A162" s="105" t="s">
        <v>7901</v>
      </c>
      <c r="B162" s="104"/>
      <c r="C162" s="104"/>
      <c r="D162" s="104">
        <v>160</v>
      </c>
      <c r="E162" s="104"/>
      <c r="F162" s="104"/>
      <c r="G162" s="104"/>
      <c r="H162" s="104"/>
      <c r="I162" s="104"/>
      <c r="J162" s="105" t="s">
        <v>7901</v>
      </c>
      <c r="K162" s="104"/>
      <c r="L162" s="104">
        <v>131</v>
      </c>
    </row>
    <row r="163" spans="1:12" x14ac:dyDescent="0.25">
      <c r="A163" s="105" t="s">
        <v>7902</v>
      </c>
      <c r="B163" s="104"/>
      <c r="C163" s="104"/>
      <c r="D163" s="104">
        <v>161</v>
      </c>
      <c r="E163" s="104"/>
      <c r="F163" s="104"/>
      <c r="G163" s="104"/>
      <c r="H163" s="104"/>
      <c r="I163" s="104"/>
      <c r="J163" s="105" t="s">
        <v>7902</v>
      </c>
      <c r="K163" s="104"/>
      <c r="L163" s="104">
        <v>132</v>
      </c>
    </row>
    <row r="164" spans="1:12" x14ac:dyDescent="0.25">
      <c r="A164" s="105" t="s">
        <v>7903</v>
      </c>
      <c r="B164" s="104"/>
      <c r="C164" s="104"/>
      <c r="D164" s="104">
        <v>162</v>
      </c>
      <c r="E164" s="104"/>
      <c r="F164" s="104"/>
      <c r="G164" s="104"/>
      <c r="H164" s="104"/>
      <c r="I164" s="104"/>
      <c r="J164" s="105" t="s">
        <v>7903</v>
      </c>
      <c r="K164" s="104"/>
      <c r="L164" s="104">
        <v>133</v>
      </c>
    </row>
    <row r="165" spans="1:12" x14ac:dyDescent="0.25">
      <c r="A165" s="105" t="s">
        <v>7904</v>
      </c>
      <c r="B165" s="104"/>
      <c r="C165" s="104"/>
      <c r="D165" s="104">
        <v>163</v>
      </c>
      <c r="E165" s="104"/>
      <c r="F165" s="104"/>
      <c r="G165" s="104"/>
      <c r="H165" s="104"/>
      <c r="I165" s="104"/>
      <c r="J165" s="105" t="s">
        <v>7904</v>
      </c>
      <c r="K165" s="104"/>
      <c r="L165" s="104">
        <v>134</v>
      </c>
    </row>
    <row r="166" spans="1:12" x14ac:dyDescent="0.25">
      <c r="A166" s="105" t="s">
        <v>7905</v>
      </c>
      <c r="B166" s="104"/>
      <c r="C166" s="104"/>
      <c r="D166" s="104">
        <v>164</v>
      </c>
      <c r="E166" s="104"/>
      <c r="F166" s="104"/>
      <c r="G166" s="104"/>
      <c r="H166" s="104"/>
      <c r="I166" s="104"/>
      <c r="J166" s="105" t="s">
        <v>7905</v>
      </c>
      <c r="K166" s="104"/>
      <c r="L166" s="104">
        <v>135</v>
      </c>
    </row>
    <row r="167" spans="1:12" x14ac:dyDescent="0.25">
      <c r="A167" s="105" t="s">
        <v>7906</v>
      </c>
      <c r="B167" s="104"/>
      <c r="C167" s="104"/>
      <c r="D167" s="104">
        <v>165</v>
      </c>
      <c r="E167" s="104"/>
      <c r="F167" s="104"/>
      <c r="G167" s="104"/>
      <c r="H167" s="104"/>
      <c r="I167" s="104"/>
      <c r="J167" s="105" t="s">
        <v>7906</v>
      </c>
      <c r="K167" s="104"/>
      <c r="L167" s="104">
        <v>136</v>
      </c>
    </row>
    <row r="168" spans="1:12" x14ac:dyDescent="0.25">
      <c r="A168" s="105" t="s">
        <v>7907</v>
      </c>
      <c r="B168" s="104"/>
      <c r="C168" s="104"/>
      <c r="D168" s="104">
        <v>166</v>
      </c>
      <c r="E168" s="104"/>
      <c r="F168" s="104"/>
      <c r="G168" s="104"/>
      <c r="H168" s="104"/>
      <c r="I168" s="104"/>
      <c r="J168" s="105" t="s">
        <v>7907</v>
      </c>
      <c r="K168" s="104"/>
      <c r="L168" s="104">
        <v>137</v>
      </c>
    </row>
    <row r="169" spans="1:12" x14ac:dyDescent="0.25">
      <c r="A169" s="105" t="s">
        <v>7908</v>
      </c>
      <c r="B169" s="104"/>
      <c r="C169" s="104"/>
      <c r="D169" s="104">
        <v>167</v>
      </c>
      <c r="E169" s="104"/>
      <c r="F169" s="104"/>
      <c r="G169" s="104"/>
      <c r="H169" s="104"/>
      <c r="I169" s="104"/>
      <c r="J169" s="105" t="s">
        <v>7908</v>
      </c>
      <c r="K169" s="104"/>
      <c r="L169" s="104">
        <v>138</v>
      </c>
    </row>
    <row r="170" spans="1:12" x14ac:dyDescent="0.25">
      <c r="A170" s="105" t="s">
        <v>7909</v>
      </c>
      <c r="B170" s="104"/>
      <c r="C170" s="104"/>
      <c r="D170" s="104">
        <v>168</v>
      </c>
      <c r="E170" s="104"/>
      <c r="F170" s="104"/>
      <c r="G170" s="104"/>
      <c r="H170" s="104"/>
      <c r="I170" s="104"/>
      <c r="J170" s="105" t="s">
        <v>7909</v>
      </c>
      <c r="K170" s="104"/>
      <c r="L170" s="104">
        <v>139</v>
      </c>
    </row>
    <row r="171" spans="1:12" x14ac:dyDescent="0.25">
      <c r="A171" s="105" t="s">
        <v>7910</v>
      </c>
      <c r="B171" s="104"/>
      <c r="C171" s="104"/>
      <c r="D171" s="104">
        <v>169</v>
      </c>
      <c r="E171" s="104"/>
      <c r="F171" s="104"/>
      <c r="G171" s="104"/>
      <c r="H171" s="104"/>
      <c r="I171" s="104"/>
      <c r="J171" s="105" t="s">
        <v>7910</v>
      </c>
      <c r="K171" s="104"/>
      <c r="L171" s="104">
        <v>140</v>
      </c>
    </row>
    <row r="172" spans="1:12" x14ac:dyDescent="0.25">
      <c r="A172" s="105" t="s">
        <v>7911</v>
      </c>
      <c r="B172" s="104"/>
      <c r="C172" s="104"/>
      <c r="D172" s="104">
        <v>170</v>
      </c>
      <c r="E172" s="104"/>
      <c r="F172" s="104"/>
      <c r="G172" s="104"/>
      <c r="H172" s="104"/>
      <c r="I172" s="104"/>
      <c r="J172" s="105" t="s">
        <v>7911</v>
      </c>
      <c r="K172" s="104"/>
      <c r="L172" s="104">
        <v>141</v>
      </c>
    </row>
    <row r="173" spans="1:12" x14ac:dyDescent="0.25">
      <c r="A173" s="105" t="s">
        <v>7912</v>
      </c>
      <c r="B173" s="104"/>
      <c r="C173" s="104"/>
      <c r="D173" s="104">
        <v>171</v>
      </c>
      <c r="E173" s="104"/>
      <c r="F173" s="104"/>
      <c r="G173" s="104"/>
      <c r="H173" s="104"/>
      <c r="I173" s="104"/>
      <c r="J173" s="105" t="s">
        <v>7912</v>
      </c>
      <c r="K173" s="104"/>
      <c r="L173" s="104">
        <v>142</v>
      </c>
    </row>
    <row r="174" spans="1:12" x14ac:dyDescent="0.25">
      <c r="A174" s="105" t="s">
        <v>7913</v>
      </c>
      <c r="B174" s="104"/>
      <c r="C174" s="104"/>
      <c r="D174" s="104">
        <v>172</v>
      </c>
      <c r="E174" s="104"/>
      <c r="F174" s="104"/>
      <c r="G174" s="104"/>
      <c r="H174" s="104"/>
      <c r="I174" s="104"/>
      <c r="J174" s="105" t="s">
        <v>7913</v>
      </c>
      <c r="K174" s="104"/>
      <c r="L174" s="104">
        <v>143</v>
      </c>
    </row>
    <row r="175" spans="1:12" x14ac:dyDescent="0.25">
      <c r="A175" s="105" t="s">
        <v>7914</v>
      </c>
      <c r="B175" s="104"/>
      <c r="C175" s="104"/>
      <c r="D175" s="104">
        <v>173</v>
      </c>
      <c r="E175" s="104"/>
      <c r="F175" s="104"/>
      <c r="G175" s="104"/>
      <c r="H175" s="104"/>
      <c r="I175" s="104"/>
      <c r="J175" s="105" t="s">
        <v>7914</v>
      </c>
      <c r="K175" s="104"/>
      <c r="L175" s="104">
        <v>144</v>
      </c>
    </row>
    <row r="176" spans="1:12" x14ac:dyDescent="0.25">
      <c r="A176" s="105" t="s">
        <v>7915</v>
      </c>
      <c r="B176" s="104"/>
      <c r="C176" s="104"/>
      <c r="D176" s="104">
        <v>174</v>
      </c>
      <c r="E176" s="104"/>
      <c r="F176" s="104"/>
      <c r="G176" s="104"/>
      <c r="H176" s="104"/>
      <c r="I176" s="104"/>
      <c r="J176" s="105" t="s">
        <v>7915</v>
      </c>
      <c r="K176" s="104"/>
      <c r="L176" s="104">
        <v>145</v>
      </c>
    </row>
    <row r="177" spans="1:12" x14ac:dyDescent="0.25">
      <c r="A177" s="105" t="s">
        <v>7916</v>
      </c>
      <c r="B177" s="104"/>
      <c r="C177" s="104"/>
      <c r="D177" s="104">
        <v>175</v>
      </c>
      <c r="E177" s="104"/>
      <c r="F177" s="104"/>
      <c r="G177" s="104"/>
      <c r="H177" s="104"/>
      <c r="I177" s="104"/>
      <c r="J177" s="105" t="s">
        <v>7916</v>
      </c>
      <c r="K177" s="104"/>
      <c r="L177" s="104">
        <v>146</v>
      </c>
    </row>
    <row r="178" spans="1:12" x14ac:dyDescent="0.25">
      <c r="A178" s="105" t="s">
        <v>7917</v>
      </c>
      <c r="B178" s="104"/>
      <c r="C178" s="104"/>
      <c r="D178" s="104">
        <v>176</v>
      </c>
      <c r="E178" s="104"/>
      <c r="F178" s="104"/>
      <c r="G178" s="104"/>
      <c r="H178" s="104"/>
      <c r="I178" s="104"/>
      <c r="J178" s="105" t="s">
        <v>7917</v>
      </c>
      <c r="K178" s="104"/>
      <c r="L178" s="104">
        <v>147</v>
      </c>
    </row>
    <row r="179" spans="1:12" x14ac:dyDescent="0.25">
      <c r="A179" s="105" t="s">
        <v>7918</v>
      </c>
      <c r="B179" s="104"/>
      <c r="C179" s="104"/>
      <c r="D179" s="104">
        <v>177</v>
      </c>
      <c r="E179" s="104"/>
      <c r="F179" s="104"/>
      <c r="G179" s="104"/>
      <c r="H179" s="104"/>
      <c r="I179" s="104"/>
      <c r="J179" s="105" t="s">
        <v>7918</v>
      </c>
      <c r="K179" s="104"/>
      <c r="L179" s="104">
        <v>148</v>
      </c>
    </row>
    <row r="180" spans="1:12" x14ac:dyDescent="0.25">
      <c r="A180" s="105" t="s">
        <v>7919</v>
      </c>
      <c r="B180" s="104"/>
      <c r="C180" s="104"/>
      <c r="D180" s="104">
        <v>178</v>
      </c>
      <c r="E180" s="104"/>
      <c r="F180" s="104"/>
      <c r="G180" s="104"/>
      <c r="H180" s="104"/>
      <c r="I180" s="104"/>
      <c r="J180" s="105" t="s">
        <v>7919</v>
      </c>
      <c r="K180" s="104"/>
      <c r="L180" s="104">
        <v>149</v>
      </c>
    </row>
    <row r="181" spans="1:12" x14ac:dyDescent="0.25">
      <c r="A181" s="105" t="s">
        <v>7920</v>
      </c>
      <c r="B181" s="104"/>
      <c r="C181" s="104"/>
      <c r="D181" s="104">
        <v>179</v>
      </c>
      <c r="E181" s="104"/>
      <c r="F181" s="104"/>
      <c r="G181" s="104"/>
      <c r="H181" s="104"/>
      <c r="I181" s="104"/>
      <c r="J181" s="105" t="s">
        <v>7920</v>
      </c>
      <c r="K181" s="104"/>
      <c r="L181" s="104">
        <v>150</v>
      </c>
    </row>
    <row r="182" spans="1:12" x14ac:dyDescent="0.25">
      <c r="A182" s="105" t="s">
        <v>7921</v>
      </c>
      <c r="B182" s="104"/>
      <c r="C182" s="104"/>
      <c r="D182" s="104">
        <v>180</v>
      </c>
      <c r="E182" s="104"/>
      <c r="F182" s="104"/>
      <c r="G182" s="104"/>
      <c r="H182" s="104"/>
      <c r="I182" s="104"/>
      <c r="J182" s="105" t="s">
        <v>7921</v>
      </c>
      <c r="K182" s="104"/>
      <c r="L182" s="104">
        <v>151</v>
      </c>
    </row>
    <row r="183" spans="1:12" x14ac:dyDescent="0.25">
      <c r="A183" s="104"/>
      <c r="B183" s="104"/>
      <c r="C183" s="104"/>
      <c r="D183" s="104"/>
      <c r="E183" s="104"/>
      <c r="F183" s="104"/>
      <c r="G183" s="104"/>
      <c r="H183" s="104"/>
      <c r="I183" s="104"/>
      <c r="J183" s="106"/>
      <c r="K183" s="106" t="str">
        <f>CONCATENATE(Tabla1[[#This Row],[EQUIVALENCIA]],". ",Tabla1[[#This Row],[CAMUFLADO]])</f>
        <v xml:space="preserve">. </v>
      </c>
      <c r="L183" s="104">
        <v>152</v>
      </c>
    </row>
    <row r="184" spans="1:12" x14ac:dyDescent="0.25">
      <c r="A184" s="104"/>
      <c r="B184" s="104"/>
      <c r="C184" s="104"/>
      <c r="D184" s="104"/>
      <c r="E184" s="104"/>
      <c r="F184" s="104"/>
      <c r="G184" s="104"/>
      <c r="H184" s="104"/>
      <c r="I184" s="104"/>
      <c r="J184" s="106"/>
      <c r="K184" s="106" t="str">
        <f>CONCATENATE(Tabla1[[#This Row],[EQUIVALENCIA]],". ",Tabla1[[#This Row],[CAMUFLADO]])</f>
        <v xml:space="preserve">. </v>
      </c>
      <c r="L184" s="104">
        <v>153</v>
      </c>
    </row>
    <row r="185" spans="1:12" x14ac:dyDescent="0.25">
      <c r="A185" s="104"/>
      <c r="B185" s="104"/>
      <c r="C185" s="104"/>
      <c r="D185" s="104"/>
      <c r="E185" s="104"/>
      <c r="F185" s="104"/>
      <c r="G185" s="104"/>
      <c r="H185" s="104"/>
      <c r="I185" s="104"/>
      <c r="J185" s="106"/>
      <c r="K185" s="106" t="str">
        <f>CONCATENATE(Tabla1[[#This Row],[EQUIVALENCIA]],". ",Tabla1[[#This Row],[CAMUFLADO]])</f>
        <v xml:space="preserve">. </v>
      </c>
      <c r="L185" s="104">
        <v>154</v>
      </c>
    </row>
    <row r="186" spans="1:12" x14ac:dyDescent="0.25">
      <c r="A186" s="104"/>
      <c r="B186" s="104"/>
      <c r="C186" s="104"/>
      <c r="D186" s="104"/>
      <c r="E186" s="104"/>
      <c r="F186" s="104"/>
      <c r="G186" s="104"/>
      <c r="H186" s="104"/>
      <c r="I186" s="104"/>
      <c r="J186" s="106"/>
      <c r="K186" s="106" t="str">
        <f>CONCATENATE(Tabla1[[#This Row],[EQUIVALENCIA]],". ",Tabla1[[#This Row],[CAMUFLADO]])</f>
        <v xml:space="preserve">. </v>
      </c>
      <c r="L186" s="104">
        <v>155</v>
      </c>
    </row>
    <row r="187" spans="1:12" x14ac:dyDescent="0.25">
      <c r="A187" s="104"/>
      <c r="B187" s="104"/>
      <c r="C187" s="104"/>
      <c r="D187" s="104"/>
      <c r="E187" s="104"/>
      <c r="F187" s="104"/>
      <c r="G187" s="104"/>
      <c r="H187" s="104"/>
      <c r="I187" s="104"/>
      <c r="J187" s="106"/>
      <c r="K187" s="106" t="str">
        <f>CONCATENATE(Tabla1[[#This Row],[EQUIVALENCIA]],". ",Tabla1[[#This Row],[CAMUFLADO]])</f>
        <v xml:space="preserve">. </v>
      </c>
      <c r="L187" s="104">
        <v>156</v>
      </c>
    </row>
    <row r="188" spans="1:12" x14ac:dyDescent="0.25">
      <c r="A188" s="104"/>
      <c r="B188" s="104"/>
      <c r="C188" s="104"/>
      <c r="D188" s="104"/>
      <c r="E188" s="104"/>
      <c r="F188" s="104"/>
      <c r="G188" s="104"/>
      <c r="H188" s="104"/>
      <c r="I188" s="104"/>
      <c r="J188" s="106"/>
      <c r="K188" s="106" t="str">
        <f>CONCATENATE(Tabla1[[#This Row],[EQUIVALENCIA]],". ",Tabla1[[#This Row],[CAMUFLADO]])</f>
        <v xml:space="preserve">. </v>
      </c>
      <c r="L188" s="104">
        <v>157</v>
      </c>
    </row>
    <row r="189" spans="1:12" x14ac:dyDescent="0.25">
      <c r="A189" s="104"/>
      <c r="B189" s="104"/>
      <c r="C189" s="104"/>
      <c r="D189" s="104"/>
      <c r="E189" s="104"/>
      <c r="F189" s="104"/>
      <c r="G189" s="104"/>
      <c r="H189" s="104"/>
      <c r="I189" s="104"/>
      <c r="J189" s="106"/>
      <c r="K189" s="106" t="str">
        <f>CONCATENATE(Tabla1[[#This Row],[EQUIVALENCIA]],". ",Tabla1[[#This Row],[CAMUFLADO]])</f>
        <v xml:space="preserve">. </v>
      </c>
      <c r="L189" s="104">
        <v>158</v>
      </c>
    </row>
    <row r="190" spans="1:12" x14ac:dyDescent="0.25">
      <c r="A190" s="104"/>
      <c r="B190" s="104"/>
      <c r="C190" s="104"/>
      <c r="D190" s="104"/>
      <c r="E190" s="104"/>
      <c r="F190" s="104"/>
      <c r="G190" s="104"/>
      <c r="H190" s="104"/>
      <c r="I190" s="104"/>
      <c r="J190" s="106"/>
      <c r="K190" s="106" t="str">
        <f>CONCATENATE(Tabla1[[#This Row],[EQUIVALENCIA]],". ",Tabla1[[#This Row],[CAMUFLADO]])</f>
        <v xml:space="preserve">. </v>
      </c>
      <c r="L190" s="104">
        <v>159</v>
      </c>
    </row>
    <row r="191" spans="1:12" x14ac:dyDescent="0.25">
      <c r="A191" s="104"/>
      <c r="B191" s="104"/>
      <c r="C191" s="104"/>
      <c r="D191" s="104"/>
      <c r="E191" s="104"/>
      <c r="F191" s="104"/>
      <c r="G191" s="104"/>
      <c r="H191" s="104"/>
      <c r="I191" s="104"/>
      <c r="J191" s="106"/>
      <c r="K191" s="106" t="str">
        <f>CONCATENATE(Tabla1[[#This Row],[EQUIVALENCIA]],". ",Tabla1[[#This Row],[CAMUFLADO]])</f>
        <v xml:space="preserve">. </v>
      </c>
      <c r="L191" s="104">
        <v>160</v>
      </c>
    </row>
    <row r="192" spans="1:12" x14ac:dyDescent="0.25">
      <c r="A192" s="104"/>
      <c r="B192" s="104"/>
      <c r="C192" s="104"/>
      <c r="D192" s="104"/>
      <c r="E192" s="104"/>
      <c r="F192" s="104"/>
      <c r="G192" s="104"/>
      <c r="H192" s="104"/>
      <c r="I192" s="104"/>
      <c r="J192" s="106"/>
      <c r="K192" s="106" t="str">
        <f>CONCATENATE(Tabla1[[#This Row],[EQUIVALENCIA]],". ",Tabla1[[#This Row],[CAMUFLADO]])</f>
        <v xml:space="preserve">. </v>
      </c>
      <c r="L192" s="104">
        <v>161</v>
      </c>
    </row>
    <row r="193" spans="1:12" x14ac:dyDescent="0.25">
      <c r="A193" s="104"/>
      <c r="B193" s="104"/>
      <c r="C193" s="104"/>
      <c r="D193" s="104"/>
      <c r="E193" s="104"/>
      <c r="F193" s="104"/>
      <c r="G193" s="104"/>
      <c r="H193" s="104"/>
      <c r="I193" s="104"/>
      <c r="J193" s="106"/>
      <c r="K193" s="106" t="str">
        <f>CONCATENATE(Tabla1[[#This Row],[EQUIVALENCIA]],". ",Tabla1[[#This Row],[CAMUFLADO]])</f>
        <v xml:space="preserve">. </v>
      </c>
      <c r="L193" s="104">
        <v>162</v>
      </c>
    </row>
    <row r="194" spans="1:12" x14ac:dyDescent="0.25">
      <c r="A194" s="104"/>
      <c r="B194" s="104"/>
      <c r="C194" s="104"/>
      <c r="D194" s="104"/>
      <c r="E194" s="104"/>
      <c r="F194" s="104"/>
      <c r="G194" s="104"/>
      <c r="H194" s="104"/>
      <c r="I194" s="104"/>
      <c r="J194" s="106"/>
      <c r="K194" s="106" t="str">
        <f>CONCATENATE(Tabla1[[#This Row],[EQUIVALENCIA]],". ",Tabla1[[#This Row],[CAMUFLADO]])</f>
        <v xml:space="preserve">. </v>
      </c>
      <c r="L194" s="104">
        <v>163</v>
      </c>
    </row>
    <row r="195" spans="1:12" x14ac:dyDescent="0.25">
      <c r="A195" s="104"/>
      <c r="B195" s="104"/>
      <c r="C195" s="104"/>
      <c r="D195" s="104"/>
      <c r="E195" s="104"/>
      <c r="F195" s="104"/>
      <c r="G195" s="104"/>
      <c r="H195" s="104"/>
      <c r="I195" s="104"/>
      <c r="J195" s="106"/>
      <c r="K195" s="106" t="str">
        <f>CONCATENATE(Tabla1[[#This Row],[EQUIVALENCIA]],". ",Tabla1[[#This Row],[CAMUFLADO]])</f>
        <v xml:space="preserve">. </v>
      </c>
      <c r="L195" s="104">
        <v>164</v>
      </c>
    </row>
    <row r="196" spans="1:12" x14ac:dyDescent="0.25">
      <c r="A196" s="104"/>
      <c r="B196" s="104"/>
      <c r="C196" s="104"/>
      <c r="D196" s="104"/>
      <c r="E196" s="104"/>
      <c r="F196" s="104"/>
      <c r="G196" s="104"/>
      <c r="H196" s="104"/>
      <c r="I196" s="104"/>
      <c r="J196" s="106"/>
      <c r="K196" s="106" t="str">
        <f>CONCATENATE(Tabla1[[#This Row],[EQUIVALENCIA]],". ",Tabla1[[#This Row],[CAMUFLADO]])</f>
        <v xml:space="preserve">. </v>
      </c>
      <c r="L196" s="104">
        <v>165</v>
      </c>
    </row>
    <row r="197" spans="1:12" x14ac:dyDescent="0.25">
      <c r="A197" s="104"/>
      <c r="B197" s="104"/>
      <c r="C197" s="104"/>
      <c r="D197" s="104"/>
      <c r="E197" s="104"/>
      <c r="F197" s="104"/>
      <c r="G197" s="104"/>
      <c r="H197" s="104"/>
      <c r="I197" s="104"/>
      <c r="J197" s="106"/>
      <c r="K197" s="106" t="str">
        <f>CONCATENATE(Tabla1[[#This Row],[EQUIVALENCIA]],". ",Tabla1[[#This Row],[CAMUFLADO]])</f>
        <v xml:space="preserve">. </v>
      </c>
      <c r="L197" s="104">
        <v>166</v>
      </c>
    </row>
    <row r="198" spans="1:12" x14ac:dyDescent="0.25">
      <c r="A198" s="104"/>
      <c r="B198" s="104"/>
      <c r="C198" s="104"/>
      <c r="D198" s="104"/>
      <c r="E198" s="104"/>
      <c r="F198" s="104"/>
      <c r="G198" s="104"/>
      <c r="H198" s="104"/>
      <c r="I198" s="104"/>
      <c r="J198" s="106"/>
      <c r="K198" s="106" t="str">
        <f>CONCATENATE(Tabla1[[#This Row],[EQUIVALENCIA]],". ",Tabla1[[#This Row],[CAMUFLADO]])</f>
        <v xml:space="preserve">. </v>
      </c>
      <c r="L198" s="104">
        <v>167</v>
      </c>
    </row>
    <row r="199" spans="1:12" x14ac:dyDescent="0.25">
      <c r="A199" s="104"/>
      <c r="B199" s="104"/>
      <c r="C199" s="104"/>
      <c r="D199" s="104"/>
      <c r="E199" s="104"/>
      <c r="F199" s="104"/>
      <c r="G199" s="104"/>
      <c r="H199" s="104"/>
      <c r="I199" s="104"/>
      <c r="J199" s="106"/>
      <c r="K199" s="106" t="str">
        <f>CONCATENATE(Tabla1[[#This Row],[EQUIVALENCIA]],". ",Tabla1[[#This Row],[CAMUFLADO]])</f>
        <v xml:space="preserve">. </v>
      </c>
      <c r="L199" s="104">
        <v>168</v>
      </c>
    </row>
    <row r="200" spans="1:12" x14ac:dyDescent="0.25">
      <c r="A200" s="104"/>
      <c r="B200" s="104"/>
      <c r="C200" s="104"/>
      <c r="D200" s="104"/>
      <c r="E200" s="104"/>
      <c r="F200" s="104"/>
      <c r="G200" s="104"/>
      <c r="H200" s="104"/>
      <c r="I200" s="104"/>
      <c r="J200" s="106"/>
      <c r="K200" s="106" t="str">
        <f>CONCATENATE(Tabla1[[#This Row],[EQUIVALENCIA]],". ",Tabla1[[#This Row],[CAMUFLADO]])</f>
        <v xml:space="preserve">. </v>
      </c>
      <c r="L200" s="104">
        <v>169</v>
      </c>
    </row>
    <row r="201" spans="1:12" x14ac:dyDescent="0.25">
      <c r="A201" s="104"/>
      <c r="B201" s="104"/>
      <c r="C201" s="104"/>
      <c r="D201" s="104"/>
      <c r="E201" s="104"/>
      <c r="F201" s="104"/>
      <c r="G201" s="104"/>
      <c r="H201" s="104"/>
      <c r="I201" s="104"/>
      <c r="J201" s="106"/>
      <c r="K201" s="106" t="str">
        <f>CONCATENATE(Tabla1[[#This Row],[EQUIVALENCIA]],". ",Tabla1[[#This Row],[CAMUFLADO]])</f>
        <v xml:space="preserve">. </v>
      </c>
      <c r="L201" s="104">
        <v>170</v>
      </c>
    </row>
    <row r="202" spans="1:12" x14ac:dyDescent="0.25">
      <c r="A202" s="104"/>
      <c r="B202" s="104"/>
      <c r="C202" s="104"/>
      <c r="D202" s="104"/>
      <c r="E202" s="104"/>
      <c r="F202" s="104"/>
      <c r="G202" s="104"/>
      <c r="H202" s="104"/>
      <c r="I202" s="104"/>
      <c r="J202" s="106"/>
      <c r="K202" s="106" t="str">
        <f>CONCATENATE(Tabla1[[#This Row],[EQUIVALENCIA]],". ",Tabla1[[#This Row],[CAMUFLADO]])</f>
        <v xml:space="preserve">. </v>
      </c>
      <c r="L202" s="104">
        <v>171</v>
      </c>
    </row>
    <row r="203" spans="1:12" x14ac:dyDescent="0.25">
      <c r="A203" s="104"/>
      <c r="B203" s="104"/>
      <c r="C203" s="104"/>
      <c r="D203" s="104"/>
      <c r="E203" s="104"/>
      <c r="F203" s="104"/>
      <c r="G203" s="104"/>
      <c r="H203" s="104"/>
      <c r="I203" s="104"/>
      <c r="J203" s="106"/>
      <c r="K203" s="106" t="str">
        <f>CONCATENATE(Tabla1[[#This Row],[EQUIVALENCIA]],". ",Tabla1[[#This Row],[CAMUFLADO]])</f>
        <v xml:space="preserve">. </v>
      </c>
      <c r="L203" s="104">
        <v>172</v>
      </c>
    </row>
    <row r="204" spans="1:12" x14ac:dyDescent="0.25">
      <c r="A204" s="104"/>
      <c r="B204" s="104"/>
      <c r="C204" s="104"/>
      <c r="D204" s="104"/>
      <c r="E204" s="104"/>
      <c r="F204" s="104"/>
      <c r="G204" s="104"/>
      <c r="H204" s="104"/>
      <c r="I204" s="104"/>
      <c r="J204" s="106"/>
      <c r="K204" s="106" t="str">
        <f>CONCATENATE(Tabla1[[#This Row],[EQUIVALENCIA]],". ",Tabla1[[#This Row],[CAMUFLADO]])</f>
        <v xml:space="preserve">. </v>
      </c>
      <c r="L204" s="104">
        <v>173</v>
      </c>
    </row>
    <row r="205" spans="1:12" x14ac:dyDescent="0.25">
      <c r="A205" s="104"/>
      <c r="B205" s="104"/>
      <c r="C205" s="104"/>
      <c r="D205" s="104"/>
      <c r="E205" s="104"/>
      <c r="F205" s="104"/>
      <c r="G205" s="104"/>
      <c r="H205" s="104"/>
      <c r="I205" s="104"/>
      <c r="J205" s="106"/>
      <c r="K205" s="106" t="str">
        <f>CONCATENATE(Tabla1[[#This Row],[EQUIVALENCIA]],". ",Tabla1[[#This Row],[CAMUFLADO]])</f>
        <v xml:space="preserve">. </v>
      </c>
      <c r="L205" s="104">
        <v>174</v>
      </c>
    </row>
    <row r="206" spans="1:12" x14ac:dyDescent="0.25">
      <c r="A206" s="104"/>
      <c r="B206" s="104"/>
      <c r="C206" s="104"/>
      <c r="D206" s="104"/>
      <c r="E206" s="104"/>
      <c r="F206" s="104"/>
      <c r="G206" s="104"/>
      <c r="H206" s="104"/>
      <c r="I206" s="104"/>
      <c r="J206" s="106"/>
      <c r="K206" s="106" t="str">
        <f>CONCATENATE(Tabla1[[#This Row],[EQUIVALENCIA]],". ",Tabla1[[#This Row],[CAMUFLADO]])</f>
        <v xml:space="preserve">. </v>
      </c>
      <c r="L206" s="104">
        <v>175</v>
      </c>
    </row>
    <row r="207" spans="1:12" x14ac:dyDescent="0.25">
      <c r="A207" s="104"/>
      <c r="B207" s="104"/>
      <c r="C207" s="104"/>
      <c r="D207" s="104"/>
      <c r="E207" s="104"/>
      <c r="F207" s="104"/>
      <c r="G207" s="104"/>
      <c r="H207" s="104"/>
      <c r="I207" s="104"/>
      <c r="J207" s="106"/>
      <c r="K207" s="106" t="str">
        <f>CONCATENATE(Tabla1[[#This Row],[EQUIVALENCIA]],". ",Tabla1[[#This Row],[CAMUFLADO]])</f>
        <v xml:space="preserve">. </v>
      </c>
      <c r="L207" s="104">
        <v>176</v>
      </c>
    </row>
    <row r="208" spans="1:12" x14ac:dyDescent="0.25">
      <c r="A208" s="104"/>
      <c r="B208" s="104"/>
      <c r="C208" s="104"/>
      <c r="D208" s="104"/>
      <c r="E208" s="104"/>
      <c r="F208" s="104"/>
      <c r="G208" s="104"/>
      <c r="H208" s="104"/>
      <c r="I208" s="104"/>
      <c r="J208" s="106"/>
      <c r="K208" s="106" t="str">
        <f>CONCATENATE(Tabla1[[#This Row],[EQUIVALENCIA]],". ",Tabla1[[#This Row],[CAMUFLADO]])</f>
        <v xml:space="preserve">. </v>
      </c>
      <c r="L208" s="104">
        <v>177</v>
      </c>
    </row>
    <row r="209" spans="1:12" x14ac:dyDescent="0.25">
      <c r="A209" s="104"/>
      <c r="B209" s="104"/>
      <c r="C209" s="104"/>
      <c r="D209" s="104"/>
      <c r="E209" s="104"/>
      <c r="F209" s="104"/>
      <c r="G209" s="104"/>
      <c r="H209" s="104"/>
      <c r="I209" s="104"/>
      <c r="J209" s="106"/>
      <c r="K209" s="106" t="str">
        <f>CONCATENATE(Tabla1[[#This Row],[EQUIVALENCIA]],". ",Tabla1[[#This Row],[CAMUFLADO]])</f>
        <v xml:space="preserve">. </v>
      </c>
      <c r="L209" s="104">
        <v>178</v>
      </c>
    </row>
    <row r="210" spans="1:12" x14ac:dyDescent="0.25">
      <c r="A210" s="104"/>
      <c r="B210" s="104"/>
      <c r="C210" s="104"/>
      <c r="D210" s="104"/>
      <c r="E210" s="104"/>
      <c r="F210" s="104"/>
      <c r="G210" s="104"/>
      <c r="H210" s="104"/>
      <c r="I210" s="104"/>
      <c r="J210" s="106"/>
      <c r="K210" s="106" t="str">
        <f>CONCATENATE(Tabla1[[#This Row],[EQUIVALENCIA]],". ",Tabla1[[#This Row],[CAMUFLADO]])</f>
        <v xml:space="preserve">. </v>
      </c>
      <c r="L210" s="104">
        <v>179</v>
      </c>
    </row>
    <row r="211" spans="1:12" x14ac:dyDescent="0.25">
      <c r="A211" s="104"/>
      <c r="B211" s="104"/>
      <c r="C211" s="104"/>
      <c r="D211" s="104"/>
      <c r="E211" s="104"/>
      <c r="F211" s="104"/>
      <c r="G211" s="104"/>
      <c r="H211" s="104"/>
      <c r="I211" s="104"/>
      <c r="J211" s="106"/>
      <c r="K211" s="106" t="str">
        <f>CONCATENATE(Tabla1[[#This Row],[EQUIVALENCIA]],". ",Tabla1[[#This Row],[CAMUFLADO]])</f>
        <v xml:space="preserve">. </v>
      </c>
      <c r="L211" s="104">
        <v>180</v>
      </c>
    </row>
  </sheetData>
  <sheetProtection password="C68E" sheet="1" objects="1" scenarios="1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C25"/>
  <sheetViews>
    <sheetView workbookViewId="0">
      <selection activeCell="F19" sqref="F19"/>
    </sheetView>
  </sheetViews>
  <sheetFormatPr baseColWidth="10" defaultRowHeight="15" x14ac:dyDescent="0.25"/>
  <cols>
    <col min="1" max="1" width="38.140625" customWidth="1"/>
    <col min="2" max="2" width="18.5703125" customWidth="1"/>
    <col min="3" max="3" width="30.42578125" bestFit="1" customWidth="1"/>
  </cols>
  <sheetData>
    <row r="1" spans="1:3" x14ac:dyDescent="0.25">
      <c r="A1" s="100" t="s">
        <v>7926</v>
      </c>
      <c r="B1" s="101" t="s">
        <v>7931</v>
      </c>
      <c r="C1" s="101" t="s">
        <v>7955</v>
      </c>
    </row>
    <row r="2" spans="1:3" x14ac:dyDescent="0.25">
      <c r="A2" s="102" t="s">
        <v>7927</v>
      </c>
      <c r="B2" s="102" t="s">
        <v>7932</v>
      </c>
      <c r="C2" s="102" t="s">
        <v>13405</v>
      </c>
    </row>
    <row r="3" spans="1:3" x14ac:dyDescent="0.25">
      <c r="A3" s="103" t="s">
        <v>7930</v>
      </c>
      <c r="B3" s="103" t="s">
        <v>13160</v>
      </c>
      <c r="C3" s="103" t="s">
        <v>13406</v>
      </c>
    </row>
    <row r="4" spans="1:3" x14ac:dyDescent="0.25">
      <c r="A4" s="102" t="s">
        <v>7928</v>
      </c>
      <c r="B4" s="102" t="s">
        <v>7933</v>
      </c>
      <c r="C4" s="102" t="s">
        <v>13407</v>
      </c>
    </row>
    <row r="5" spans="1:3" x14ac:dyDescent="0.25">
      <c r="A5" s="103" t="s">
        <v>7929</v>
      </c>
      <c r="B5" s="103" t="s">
        <v>7934</v>
      </c>
      <c r="C5" s="103" t="s">
        <v>14174</v>
      </c>
    </row>
    <row r="6" spans="1:3" x14ac:dyDescent="0.25">
      <c r="A6" s="102"/>
      <c r="B6" s="102" t="s">
        <v>7935</v>
      </c>
      <c r="C6" s="102" t="s">
        <v>14175</v>
      </c>
    </row>
    <row r="7" spans="1:3" x14ac:dyDescent="0.25">
      <c r="A7" s="103"/>
      <c r="B7" s="103" t="s">
        <v>7936</v>
      </c>
      <c r="C7" s="103"/>
    </row>
    <row r="8" spans="1:3" x14ac:dyDescent="0.25">
      <c r="A8" s="102"/>
      <c r="B8" s="102" t="s">
        <v>7937</v>
      </c>
      <c r="C8" s="102"/>
    </row>
    <row r="9" spans="1:3" x14ac:dyDescent="0.25">
      <c r="A9" s="103"/>
      <c r="B9" s="103" t="s">
        <v>7938</v>
      </c>
      <c r="C9" s="103"/>
    </row>
    <row r="10" spans="1:3" x14ac:dyDescent="0.25">
      <c r="A10" s="102"/>
      <c r="B10" s="102" t="s">
        <v>7939</v>
      </c>
      <c r="C10" s="102"/>
    </row>
    <row r="11" spans="1:3" x14ac:dyDescent="0.25">
      <c r="A11" s="103"/>
      <c r="B11" s="103" t="s">
        <v>7940</v>
      </c>
      <c r="C11" s="103"/>
    </row>
    <row r="12" spans="1:3" x14ac:dyDescent="0.25">
      <c r="A12" s="102"/>
      <c r="B12" s="102" t="s">
        <v>7941</v>
      </c>
      <c r="C12" s="102"/>
    </row>
    <row r="13" spans="1:3" x14ac:dyDescent="0.25">
      <c r="A13" s="103"/>
      <c r="B13" s="103" t="s">
        <v>7942</v>
      </c>
      <c r="C13" s="103"/>
    </row>
    <row r="14" spans="1:3" x14ac:dyDescent="0.25">
      <c r="A14" s="102"/>
      <c r="B14" s="102" t="s">
        <v>7943</v>
      </c>
      <c r="C14" s="102"/>
    </row>
    <row r="15" spans="1:3" x14ac:dyDescent="0.25">
      <c r="A15" s="103"/>
      <c r="B15" s="103" t="s">
        <v>7944</v>
      </c>
      <c r="C15" s="103"/>
    </row>
    <row r="16" spans="1:3" x14ac:dyDescent="0.25">
      <c r="A16" s="102"/>
      <c r="B16" s="102" t="s">
        <v>7945</v>
      </c>
      <c r="C16" s="102"/>
    </row>
    <row r="17" spans="1:3" x14ac:dyDescent="0.25">
      <c r="A17" s="103"/>
      <c r="B17" s="103" t="s">
        <v>7946</v>
      </c>
      <c r="C17" s="103"/>
    </row>
    <row r="18" spans="1:3" x14ac:dyDescent="0.25">
      <c r="A18" s="102"/>
      <c r="B18" s="102" t="s">
        <v>7947</v>
      </c>
      <c r="C18" s="102"/>
    </row>
    <row r="19" spans="1:3" x14ac:dyDescent="0.25">
      <c r="A19" s="103"/>
      <c r="B19" s="103" t="s">
        <v>7948</v>
      </c>
      <c r="C19" s="103"/>
    </row>
    <row r="20" spans="1:3" x14ac:dyDescent="0.25">
      <c r="A20" s="102"/>
      <c r="B20" s="102" t="s">
        <v>7949</v>
      </c>
      <c r="C20" s="102"/>
    </row>
    <row r="21" spans="1:3" x14ac:dyDescent="0.25">
      <c r="A21" s="103"/>
      <c r="B21" s="103" t="s">
        <v>7950</v>
      </c>
      <c r="C21" s="103"/>
    </row>
    <row r="22" spans="1:3" x14ac:dyDescent="0.25">
      <c r="A22" s="102"/>
      <c r="B22" s="102" t="s">
        <v>7951</v>
      </c>
      <c r="C22" s="102"/>
    </row>
    <row r="23" spans="1:3" x14ac:dyDescent="0.25">
      <c r="A23" s="103"/>
      <c r="B23" s="103" t="s">
        <v>7952</v>
      </c>
      <c r="C23" s="103"/>
    </row>
    <row r="24" spans="1:3" x14ac:dyDescent="0.25">
      <c r="A24" s="102"/>
      <c r="B24" s="102" t="s">
        <v>7954</v>
      </c>
      <c r="C24" s="102"/>
    </row>
    <row r="25" spans="1:3" x14ac:dyDescent="0.25">
      <c r="A25" s="103"/>
      <c r="B25" s="103" t="s">
        <v>7953</v>
      </c>
      <c r="C25" s="103"/>
    </row>
  </sheetData>
  <sheetProtection password="C68E" sheet="1" objects="1" scenarios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2:B13"/>
  <sheetViews>
    <sheetView workbookViewId="0">
      <selection activeCell="B13" sqref="B13"/>
    </sheetView>
  </sheetViews>
  <sheetFormatPr baseColWidth="10" defaultRowHeight="15" x14ac:dyDescent="0.25"/>
  <cols>
    <col min="1" max="1" width="32" bestFit="1" customWidth="1"/>
    <col min="2" max="2" width="29.42578125" bestFit="1" customWidth="1"/>
  </cols>
  <sheetData>
    <row r="2" spans="1:2" x14ac:dyDescent="0.25">
      <c r="A2" s="34" t="s">
        <v>13136</v>
      </c>
      <c r="B2" s="34" t="s">
        <v>13137</v>
      </c>
    </row>
    <row r="3" spans="1:2" x14ac:dyDescent="0.25">
      <c r="A3" s="35" t="s">
        <v>13138</v>
      </c>
      <c r="B3" s="36">
        <v>20355</v>
      </c>
    </row>
    <row r="4" spans="1:2" x14ac:dyDescent="0.25">
      <c r="A4" s="35" t="s">
        <v>13139</v>
      </c>
      <c r="B4" s="36" t="s">
        <v>13140</v>
      </c>
    </row>
    <row r="5" spans="1:2" x14ac:dyDescent="0.25">
      <c r="A5" s="35" t="s">
        <v>13141</v>
      </c>
      <c r="B5" s="37">
        <v>30535195869</v>
      </c>
    </row>
    <row r="6" spans="1:2" x14ac:dyDescent="0.25">
      <c r="A6" s="35" t="s">
        <v>7960</v>
      </c>
      <c r="B6" s="36" t="s">
        <v>13142</v>
      </c>
    </row>
    <row r="7" spans="1:2" x14ac:dyDescent="0.25">
      <c r="A7" s="35" t="s">
        <v>13143</v>
      </c>
      <c r="B7" s="36">
        <v>1665</v>
      </c>
    </row>
    <row r="8" spans="1:2" x14ac:dyDescent="0.25">
      <c r="A8" s="35" t="s">
        <v>13144</v>
      </c>
      <c r="B8" s="36" t="s">
        <v>7943</v>
      </c>
    </row>
    <row r="9" spans="1:2" x14ac:dyDescent="0.25">
      <c r="A9" s="35" t="s">
        <v>7924</v>
      </c>
      <c r="B9" s="36" t="s">
        <v>7943</v>
      </c>
    </row>
    <row r="10" spans="1:2" x14ac:dyDescent="0.25">
      <c r="A10" s="35" t="s">
        <v>13145</v>
      </c>
      <c r="B10" s="38">
        <v>5500</v>
      </c>
    </row>
    <row r="11" spans="1:2" x14ac:dyDescent="0.25">
      <c r="A11" s="35" t="s">
        <v>13146</v>
      </c>
      <c r="B11" s="39" t="s">
        <v>13147</v>
      </c>
    </row>
    <row r="12" spans="1:2" x14ac:dyDescent="0.25">
      <c r="A12" s="35" t="s">
        <v>13148</v>
      </c>
      <c r="B12" s="38" t="s">
        <v>13149</v>
      </c>
    </row>
    <row r="13" spans="1:2" x14ac:dyDescent="0.25">
      <c r="A13" s="35" t="s">
        <v>13935</v>
      </c>
      <c r="B13" s="38" t="s">
        <v>13936</v>
      </c>
    </row>
  </sheetData>
  <sheetProtection sheet="1" objects="1" scenarios="1"/>
  <hyperlinks>
    <hyperlink ref="B11" r:id="rId1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C4316"/>
  <sheetViews>
    <sheetView workbookViewId="0">
      <selection activeCell="C9" sqref="C9"/>
    </sheetView>
  </sheetViews>
  <sheetFormatPr baseColWidth="10" defaultRowHeight="15" x14ac:dyDescent="0.25"/>
  <cols>
    <col min="1" max="1" width="15.85546875" bestFit="1" customWidth="1"/>
    <col min="2" max="2" width="16.85546875" bestFit="1" customWidth="1"/>
    <col min="3" max="3" width="59.28515625" bestFit="1" customWidth="1"/>
  </cols>
  <sheetData>
    <row r="1" spans="1:3" x14ac:dyDescent="0.25">
      <c r="A1" s="214" t="s">
        <v>14145</v>
      </c>
      <c r="B1" s="214" t="s">
        <v>14144</v>
      </c>
      <c r="C1" s="214" t="s">
        <v>0</v>
      </c>
    </row>
    <row r="2" spans="1:3" x14ac:dyDescent="0.25">
      <c r="A2" s="211">
        <f t="shared" ref="A2:A65" si="0">IFERROR(B2*1,"")</f>
        <v>8520745</v>
      </c>
      <c r="B2" s="213" t="s">
        <v>13652</v>
      </c>
      <c r="C2" s="212"/>
    </row>
    <row r="3" spans="1:3" x14ac:dyDescent="0.25">
      <c r="A3" s="211" t="str">
        <f t="shared" si="0"/>
        <v/>
      </c>
      <c r="B3" s="213" t="s">
        <v>1</v>
      </c>
      <c r="C3" s="213" t="s">
        <v>7395</v>
      </c>
    </row>
    <row r="4" spans="1:3" x14ac:dyDescent="0.25">
      <c r="A4" s="211" t="str">
        <f t="shared" si="0"/>
        <v/>
      </c>
      <c r="B4" s="213" t="s">
        <v>13653</v>
      </c>
      <c r="C4" s="212"/>
    </row>
    <row r="5" spans="1:3" x14ac:dyDescent="0.25">
      <c r="A5" s="211" t="str">
        <f t="shared" si="0"/>
        <v/>
      </c>
      <c r="B5" s="213" t="s">
        <v>13654</v>
      </c>
      <c r="C5" s="212"/>
    </row>
    <row r="6" spans="1:3" x14ac:dyDescent="0.25">
      <c r="A6" s="211" t="str">
        <f t="shared" si="0"/>
        <v/>
      </c>
      <c r="B6" s="213" t="s">
        <v>13655</v>
      </c>
      <c r="C6" s="212"/>
    </row>
    <row r="7" spans="1:3" x14ac:dyDescent="0.25">
      <c r="A7" s="211" t="str">
        <f t="shared" si="0"/>
        <v/>
      </c>
      <c r="B7" s="213" t="s">
        <v>13656</v>
      </c>
      <c r="C7" s="212"/>
    </row>
    <row r="8" spans="1:3" x14ac:dyDescent="0.25">
      <c r="A8" s="211" t="str">
        <f t="shared" si="0"/>
        <v/>
      </c>
      <c r="B8" s="213" t="s">
        <v>13657</v>
      </c>
      <c r="C8" s="212"/>
    </row>
    <row r="9" spans="1:3" x14ac:dyDescent="0.25">
      <c r="A9" s="211" t="str">
        <f t="shared" si="0"/>
        <v/>
      </c>
      <c r="B9" s="213" t="s">
        <v>13658</v>
      </c>
      <c r="C9" s="212"/>
    </row>
    <row r="10" spans="1:3" x14ac:dyDescent="0.25">
      <c r="A10" s="211" t="str">
        <f t="shared" si="0"/>
        <v/>
      </c>
      <c r="B10" s="213" t="s">
        <v>13659</v>
      </c>
      <c r="C10" s="212"/>
    </row>
    <row r="11" spans="1:3" x14ac:dyDescent="0.25">
      <c r="A11" s="211" t="str">
        <f t="shared" si="0"/>
        <v/>
      </c>
      <c r="B11" s="213" t="s">
        <v>13660</v>
      </c>
      <c r="C11" s="212"/>
    </row>
    <row r="12" spans="1:3" x14ac:dyDescent="0.25">
      <c r="A12" s="211" t="str">
        <f t="shared" si="0"/>
        <v/>
      </c>
      <c r="B12" s="213" t="s">
        <v>13661</v>
      </c>
      <c r="C12" s="212"/>
    </row>
    <row r="13" spans="1:3" x14ac:dyDescent="0.25">
      <c r="A13" s="211" t="str">
        <f t="shared" si="0"/>
        <v/>
      </c>
      <c r="B13" s="213" t="s">
        <v>13662</v>
      </c>
      <c r="C13" s="212"/>
    </row>
    <row r="14" spans="1:3" x14ac:dyDescent="0.25">
      <c r="A14" s="211" t="str">
        <f t="shared" si="0"/>
        <v/>
      </c>
      <c r="B14" s="213" t="s">
        <v>4</v>
      </c>
      <c r="C14" s="213" t="s">
        <v>5</v>
      </c>
    </row>
    <row r="15" spans="1:3" x14ac:dyDescent="0.25">
      <c r="A15" s="211" t="str">
        <f t="shared" si="0"/>
        <v/>
      </c>
      <c r="B15" s="213" t="s">
        <v>13663</v>
      </c>
      <c r="C15" s="212"/>
    </row>
    <row r="16" spans="1:3" x14ac:dyDescent="0.25">
      <c r="A16" s="211" t="str">
        <f t="shared" si="0"/>
        <v/>
      </c>
      <c r="B16" s="213" t="s">
        <v>13664</v>
      </c>
      <c r="C16" s="212"/>
    </row>
    <row r="17" spans="1:3" x14ac:dyDescent="0.25">
      <c r="A17" s="211" t="str">
        <f t="shared" si="0"/>
        <v/>
      </c>
      <c r="B17" s="213" t="s">
        <v>13665</v>
      </c>
      <c r="C17" s="212"/>
    </row>
    <row r="18" spans="1:3" x14ac:dyDescent="0.25">
      <c r="A18" s="211" t="str">
        <f t="shared" si="0"/>
        <v/>
      </c>
      <c r="B18" s="213" t="s">
        <v>13666</v>
      </c>
      <c r="C18" s="212"/>
    </row>
    <row r="19" spans="1:3" x14ac:dyDescent="0.25">
      <c r="A19" s="211" t="str">
        <f t="shared" si="0"/>
        <v/>
      </c>
      <c r="B19" s="213" t="s">
        <v>13667</v>
      </c>
      <c r="C19" s="212"/>
    </row>
    <row r="20" spans="1:3" x14ac:dyDescent="0.25">
      <c r="A20" s="211" t="str">
        <f t="shared" si="0"/>
        <v/>
      </c>
      <c r="B20" s="213" t="s">
        <v>13668</v>
      </c>
      <c r="C20" s="212"/>
    </row>
    <row r="21" spans="1:3" x14ac:dyDescent="0.25">
      <c r="A21" s="211" t="str">
        <f t="shared" si="0"/>
        <v/>
      </c>
      <c r="B21" s="213" t="s">
        <v>13669</v>
      </c>
      <c r="C21" s="213" t="s">
        <v>13670</v>
      </c>
    </row>
    <row r="22" spans="1:3" x14ac:dyDescent="0.25">
      <c r="A22" s="211" t="str">
        <f t="shared" si="0"/>
        <v/>
      </c>
      <c r="B22" s="213" t="s">
        <v>13671</v>
      </c>
      <c r="C22" s="212"/>
    </row>
    <row r="23" spans="1:3" x14ac:dyDescent="0.25">
      <c r="A23" s="211">
        <f t="shared" si="0"/>
        <v>120</v>
      </c>
      <c r="B23" s="213" t="s">
        <v>6</v>
      </c>
      <c r="C23" s="213" t="s">
        <v>7</v>
      </c>
    </row>
    <row r="24" spans="1:3" x14ac:dyDescent="0.25">
      <c r="A24" s="211">
        <f t="shared" si="0"/>
        <v>123</v>
      </c>
      <c r="B24" s="213" t="s">
        <v>8</v>
      </c>
      <c r="C24" s="213" t="s">
        <v>9</v>
      </c>
    </row>
    <row r="25" spans="1:3" x14ac:dyDescent="0.25">
      <c r="A25" s="211">
        <f t="shared" si="0"/>
        <v>124</v>
      </c>
      <c r="B25" s="213" t="s">
        <v>10</v>
      </c>
      <c r="C25" s="213" t="s">
        <v>11</v>
      </c>
    </row>
    <row r="26" spans="1:3" x14ac:dyDescent="0.25">
      <c r="A26" s="211">
        <f t="shared" si="0"/>
        <v>126</v>
      </c>
      <c r="B26" s="213" t="s">
        <v>13</v>
      </c>
      <c r="C26" s="213" t="s">
        <v>14</v>
      </c>
    </row>
    <row r="27" spans="1:3" x14ac:dyDescent="0.25">
      <c r="A27" s="211">
        <f t="shared" si="0"/>
        <v>127</v>
      </c>
      <c r="B27" s="213" t="s">
        <v>15</v>
      </c>
      <c r="C27" s="213" t="s">
        <v>16</v>
      </c>
    </row>
    <row r="28" spans="1:3" x14ac:dyDescent="0.25">
      <c r="A28" s="211">
        <f t="shared" si="0"/>
        <v>128</v>
      </c>
      <c r="B28" s="213" t="s">
        <v>17</v>
      </c>
      <c r="C28" s="213" t="s">
        <v>18</v>
      </c>
    </row>
    <row r="29" spans="1:3" x14ac:dyDescent="0.25">
      <c r="A29" s="211">
        <f t="shared" si="0"/>
        <v>129</v>
      </c>
      <c r="B29" s="213" t="s">
        <v>19</v>
      </c>
      <c r="C29" s="213" t="s">
        <v>20</v>
      </c>
    </row>
    <row r="30" spans="1:3" x14ac:dyDescent="0.25">
      <c r="A30" s="211">
        <f t="shared" si="0"/>
        <v>1</v>
      </c>
      <c r="B30" s="213" t="s">
        <v>21</v>
      </c>
      <c r="C30" s="213" t="s">
        <v>22</v>
      </c>
    </row>
    <row r="31" spans="1:3" x14ac:dyDescent="0.25">
      <c r="A31" s="211">
        <f t="shared" si="0"/>
        <v>1</v>
      </c>
      <c r="B31" s="213" t="s">
        <v>23</v>
      </c>
      <c r="C31" s="213" t="s">
        <v>24</v>
      </c>
    </row>
    <row r="32" spans="1:3" x14ac:dyDescent="0.25">
      <c r="A32" s="211">
        <f t="shared" si="0"/>
        <v>10</v>
      </c>
      <c r="B32" s="213" t="s">
        <v>25</v>
      </c>
      <c r="C32" s="213" t="s">
        <v>26</v>
      </c>
    </row>
    <row r="33" spans="1:3" x14ac:dyDescent="0.25">
      <c r="A33" s="211">
        <f t="shared" si="0"/>
        <v>1000040</v>
      </c>
      <c r="B33" s="213" t="s">
        <v>28</v>
      </c>
      <c r="C33" s="213" t="s">
        <v>29</v>
      </c>
    </row>
    <row r="34" spans="1:3" x14ac:dyDescent="0.25">
      <c r="A34" s="211">
        <f t="shared" si="0"/>
        <v>1000195</v>
      </c>
      <c r="B34" s="213" t="s">
        <v>30</v>
      </c>
      <c r="C34" s="213" t="s">
        <v>31</v>
      </c>
    </row>
    <row r="35" spans="1:3" x14ac:dyDescent="0.25">
      <c r="A35" s="211">
        <f t="shared" si="0"/>
        <v>1000198</v>
      </c>
      <c r="B35" s="213" t="s">
        <v>32</v>
      </c>
      <c r="C35" s="213" t="s">
        <v>33</v>
      </c>
    </row>
    <row r="36" spans="1:3" x14ac:dyDescent="0.25">
      <c r="A36" s="211">
        <f t="shared" si="0"/>
        <v>1000256</v>
      </c>
      <c r="B36" s="213" t="s">
        <v>34</v>
      </c>
      <c r="C36" s="213" t="s">
        <v>35</v>
      </c>
    </row>
    <row r="37" spans="1:3" x14ac:dyDescent="0.25">
      <c r="A37" s="211">
        <f t="shared" si="0"/>
        <v>1000257</v>
      </c>
      <c r="B37" s="213" t="s">
        <v>37</v>
      </c>
      <c r="C37" s="213" t="s">
        <v>38</v>
      </c>
    </row>
    <row r="38" spans="1:3" x14ac:dyDescent="0.25">
      <c r="A38" s="211">
        <f t="shared" si="0"/>
        <v>1000798</v>
      </c>
      <c r="B38" s="213" t="s">
        <v>39</v>
      </c>
      <c r="C38" s="213" t="s">
        <v>40</v>
      </c>
    </row>
    <row r="39" spans="1:3" x14ac:dyDescent="0.25">
      <c r="A39" s="211">
        <f t="shared" si="0"/>
        <v>1000799</v>
      </c>
      <c r="B39" s="213" t="s">
        <v>42</v>
      </c>
      <c r="C39" s="213" t="s">
        <v>43</v>
      </c>
    </row>
    <row r="40" spans="1:3" x14ac:dyDescent="0.25">
      <c r="A40" s="211">
        <f t="shared" si="0"/>
        <v>1000800</v>
      </c>
      <c r="B40" s="213" t="s">
        <v>44</v>
      </c>
      <c r="C40" s="213" t="s">
        <v>45</v>
      </c>
    </row>
    <row r="41" spans="1:3" x14ac:dyDescent="0.25">
      <c r="A41" s="211">
        <f t="shared" si="0"/>
        <v>1000802</v>
      </c>
      <c r="B41" s="213" t="s">
        <v>47</v>
      </c>
      <c r="C41" s="213" t="s">
        <v>48</v>
      </c>
    </row>
    <row r="42" spans="1:3" x14ac:dyDescent="0.25">
      <c r="A42" s="211">
        <f t="shared" si="0"/>
        <v>1000803</v>
      </c>
      <c r="B42" s="213" t="s">
        <v>49</v>
      </c>
      <c r="C42" s="213" t="s">
        <v>50</v>
      </c>
    </row>
    <row r="43" spans="1:3" x14ac:dyDescent="0.25">
      <c r="A43" s="211">
        <f t="shared" si="0"/>
        <v>1000808</v>
      </c>
      <c r="B43" s="213" t="s">
        <v>51</v>
      </c>
      <c r="C43" s="213" t="s">
        <v>52</v>
      </c>
    </row>
    <row r="44" spans="1:3" x14ac:dyDescent="0.25">
      <c r="A44" s="211">
        <f t="shared" si="0"/>
        <v>1000809</v>
      </c>
      <c r="B44" s="213" t="s">
        <v>53</v>
      </c>
      <c r="C44" s="213" t="s">
        <v>13288</v>
      </c>
    </row>
    <row r="45" spans="1:3" x14ac:dyDescent="0.25">
      <c r="A45" s="211">
        <f t="shared" si="0"/>
        <v>1000810</v>
      </c>
      <c r="B45" s="213" t="s">
        <v>54</v>
      </c>
      <c r="C45" s="213" t="s">
        <v>55</v>
      </c>
    </row>
    <row r="46" spans="1:3" x14ac:dyDescent="0.25">
      <c r="A46" s="211">
        <f t="shared" si="0"/>
        <v>1000811</v>
      </c>
      <c r="B46" s="213" t="s">
        <v>56</v>
      </c>
      <c r="C46" s="213" t="s">
        <v>57</v>
      </c>
    </row>
    <row r="47" spans="1:3" x14ac:dyDescent="0.25">
      <c r="A47" s="211">
        <f t="shared" si="0"/>
        <v>1000812</v>
      </c>
      <c r="B47" s="213" t="s">
        <v>13999</v>
      </c>
      <c r="C47" s="213" t="s">
        <v>14000</v>
      </c>
    </row>
    <row r="48" spans="1:3" x14ac:dyDescent="0.25">
      <c r="A48" s="211">
        <f t="shared" si="0"/>
        <v>1000888</v>
      </c>
      <c r="B48" s="213" t="s">
        <v>58</v>
      </c>
      <c r="C48" s="213" t="s">
        <v>59</v>
      </c>
    </row>
    <row r="49" spans="1:3" x14ac:dyDescent="0.25">
      <c r="A49" s="211">
        <f t="shared" si="0"/>
        <v>1000950</v>
      </c>
      <c r="B49" s="213" t="s">
        <v>60</v>
      </c>
      <c r="C49" s="213" t="s">
        <v>61</v>
      </c>
    </row>
    <row r="50" spans="1:3" x14ac:dyDescent="0.25">
      <c r="A50" s="211">
        <f t="shared" si="0"/>
        <v>1000960</v>
      </c>
      <c r="B50" s="213" t="s">
        <v>62</v>
      </c>
      <c r="C50" s="213" t="s">
        <v>63</v>
      </c>
    </row>
    <row r="51" spans="1:3" x14ac:dyDescent="0.25">
      <c r="A51" s="211">
        <f t="shared" si="0"/>
        <v>1000970</v>
      </c>
      <c r="B51" s="213" t="s">
        <v>64</v>
      </c>
      <c r="C51" s="213" t="s">
        <v>65</v>
      </c>
    </row>
    <row r="52" spans="1:3" x14ac:dyDescent="0.25">
      <c r="A52" s="211">
        <f t="shared" si="0"/>
        <v>1000984</v>
      </c>
      <c r="B52" s="213" t="s">
        <v>66</v>
      </c>
      <c r="C52" s="213" t="s">
        <v>67</v>
      </c>
    </row>
    <row r="53" spans="1:3" x14ac:dyDescent="0.25">
      <c r="A53" s="211">
        <f t="shared" si="0"/>
        <v>1000985</v>
      </c>
      <c r="B53" s="213" t="s">
        <v>68</v>
      </c>
      <c r="C53" s="213" t="s">
        <v>69</v>
      </c>
    </row>
    <row r="54" spans="1:3" x14ac:dyDescent="0.25">
      <c r="A54" s="211">
        <f t="shared" si="0"/>
        <v>1000988</v>
      </c>
      <c r="B54" s="213" t="s">
        <v>70</v>
      </c>
      <c r="C54" s="213" t="s">
        <v>71</v>
      </c>
    </row>
    <row r="55" spans="1:3" x14ac:dyDescent="0.25">
      <c r="A55" s="211" t="str">
        <f t="shared" si="0"/>
        <v/>
      </c>
      <c r="B55" s="213" t="s">
        <v>13672</v>
      </c>
      <c r="C55" s="212"/>
    </row>
    <row r="56" spans="1:3" x14ac:dyDescent="0.25">
      <c r="A56" s="211" t="str">
        <f t="shared" si="0"/>
        <v/>
      </c>
      <c r="B56" s="213" t="s">
        <v>13673</v>
      </c>
      <c r="C56" s="212"/>
    </row>
    <row r="57" spans="1:3" x14ac:dyDescent="0.25">
      <c r="A57" s="211" t="str">
        <f t="shared" si="0"/>
        <v/>
      </c>
      <c r="B57" s="213" t="s">
        <v>72</v>
      </c>
      <c r="C57" s="213" t="s">
        <v>73</v>
      </c>
    </row>
    <row r="58" spans="1:3" x14ac:dyDescent="0.25">
      <c r="A58" s="211" t="str">
        <f t="shared" si="0"/>
        <v/>
      </c>
      <c r="B58" s="213" t="s">
        <v>75</v>
      </c>
      <c r="C58" s="213" t="s">
        <v>76</v>
      </c>
    </row>
    <row r="59" spans="1:3" x14ac:dyDescent="0.25">
      <c r="A59" s="211" t="str">
        <f t="shared" si="0"/>
        <v/>
      </c>
      <c r="B59" s="213" t="s">
        <v>77</v>
      </c>
      <c r="C59" s="213" t="s">
        <v>78</v>
      </c>
    </row>
    <row r="60" spans="1:3" x14ac:dyDescent="0.25">
      <c r="A60" s="211" t="str">
        <f t="shared" si="0"/>
        <v/>
      </c>
      <c r="B60" s="213" t="s">
        <v>13674</v>
      </c>
      <c r="C60" s="212"/>
    </row>
    <row r="61" spans="1:3" x14ac:dyDescent="0.25">
      <c r="A61" s="211" t="str">
        <f t="shared" si="0"/>
        <v/>
      </c>
      <c r="B61" s="213" t="s">
        <v>79</v>
      </c>
      <c r="C61" s="213" t="s">
        <v>80</v>
      </c>
    </row>
    <row r="62" spans="1:3" x14ac:dyDescent="0.25">
      <c r="A62" s="211" t="str">
        <f t="shared" si="0"/>
        <v/>
      </c>
      <c r="B62" s="213" t="s">
        <v>13675</v>
      </c>
      <c r="C62" s="212"/>
    </row>
    <row r="63" spans="1:3" x14ac:dyDescent="0.25">
      <c r="A63" s="211" t="str">
        <f t="shared" si="0"/>
        <v/>
      </c>
      <c r="B63" s="213" t="s">
        <v>13676</v>
      </c>
      <c r="C63" s="212"/>
    </row>
    <row r="64" spans="1:3" x14ac:dyDescent="0.25">
      <c r="A64" s="211" t="str">
        <f t="shared" si="0"/>
        <v/>
      </c>
      <c r="B64" s="213" t="s">
        <v>81</v>
      </c>
      <c r="C64" s="213" t="s">
        <v>82</v>
      </c>
    </row>
    <row r="65" spans="1:3" x14ac:dyDescent="0.25">
      <c r="A65" s="211">
        <f t="shared" si="0"/>
        <v>1110000</v>
      </c>
      <c r="B65" s="213" t="s">
        <v>83</v>
      </c>
      <c r="C65" s="213" t="s">
        <v>84</v>
      </c>
    </row>
    <row r="66" spans="1:3" x14ac:dyDescent="0.25">
      <c r="A66" s="211">
        <f t="shared" ref="A66:A129" si="1">IFERROR(B66*1,"")</f>
        <v>1120001</v>
      </c>
      <c r="B66" s="213" t="s">
        <v>86</v>
      </c>
      <c r="C66" s="213" t="s">
        <v>87</v>
      </c>
    </row>
    <row r="67" spans="1:3" x14ac:dyDescent="0.25">
      <c r="A67" s="211" t="str">
        <f t="shared" si="1"/>
        <v/>
      </c>
      <c r="B67" s="213" t="s">
        <v>13677</v>
      </c>
      <c r="C67" s="212"/>
    </row>
    <row r="68" spans="1:3" x14ac:dyDescent="0.25">
      <c r="A68" s="211">
        <f t="shared" si="1"/>
        <v>1120002</v>
      </c>
      <c r="B68" s="213" t="s">
        <v>88</v>
      </c>
      <c r="C68" s="213" t="s">
        <v>89</v>
      </c>
    </row>
    <row r="69" spans="1:3" x14ac:dyDescent="0.25">
      <c r="A69" s="211">
        <f t="shared" si="1"/>
        <v>1120003</v>
      </c>
      <c r="B69" s="213" t="s">
        <v>90</v>
      </c>
      <c r="C69" s="213" t="s">
        <v>91</v>
      </c>
    </row>
    <row r="70" spans="1:3" x14ac:dyDescent="0.25">
      <c r="A70" s="211">
        <f t="shared" si="1"/>
        <v>1120004</v>
      </c>
      <c r="B70" s="213" t="s">
        <v>92</v>
      </c>
      <c r="C70" s="213" t="s">
        <v>93</v>
      </c>
    </row>
    <row r="71" spans="1:3" x14ac:dyDescent="0.25">
      <c r="A71" s="211">
        <f t="shared" si="1"/>
        <v>1120005</v>
      </c>
      <c r="B71" s="213" t="s">
        <v>94</v>
      </c>
      <c r="C71" s="213" t="s">
        <v>95</v>
      </c>
    </row>
    <row r="72" spans="1:3" x14ac:dyDescent="0.25">
      <c r="A72" s="211">
        <f t="shared" si="1"/>
        <v>1120006</v>
      </c>
      <c r="B72" s="213" t="s">
        <v>96</v>
      </c>
      <c r="C72" s="213" t="s">
        <v>97</v>
      </c>
    </row>
    <row r="73" spans="1:3" x14ac:dyDescent="0.25">
      <c r="A73" s="211">
        <f t="shared" si="1"/>
        <v>1120007</v>
      </c>
      <c r="B73" s="213" t="s">
        <v>98</v>
      </c>
      <c r="C73" s="213" t="s">
        <v>99</v>
      </c>
    </row>
    <row r="74" spans="1:3" x14ac:dyDescent="0.25">
      <c r="A74" s="211">
        <f t="shared" si="1"/>
        <v>1120008</v>
      </c>
      <c r="B74" s="213" t="s">
        <v>100</v>
      </c>
      <c r="C74" s="213" t="s">
        <v>101</v>
      </c>
    </row>
    <row r="75" spans="1:3" x14ac:dyDescent="0.25">
      <c r="A75" s="211">
        <f t="shared" si="1"/>
        <v>1120009</v>
      </c>
      <c r="B75" s="213" t="s">
        <v>102</v>
      </c>
      <c r="C75" s="213" t="s">
        <v>103</v>
      </c>
    </row>
    <row r="76" spans="1:3" x14ac:dyDescent="0.25">
      <c r="A76" s="211">
        <f t="shared" si="1"/>
        <v>1120010</v>
      </c>
      <c r="B76" s="213" t="s">
        <v>104</v>
      </c>
      <c r="C76" s="213" t="s">
        <v>105</v>
      </c>
    </row>
    <row r="77" spans="1:3" x14ac:dyDescent="0.25">
      <c r="A77" s="211">
        <f t="shared" si="1"/>
        <v>1120011</v>
      </c>
      <c r="B77" s="213" t="s">
        <v>106</v>
      </c>
      <c r="C77" s="213" t="s">
        <v>7396</v>
      </c>
    </row>
    <row r="78" spans="1:3" x14ac:dyDescent="0.25">
      <c r="A78" s="211">
        <f t="shared" si="1"/>
        <v>1120012</v>
      </c>
      <c r="B78" s="213" t="s">
        <v>107</v>
      </c>
      <c r="C78" s="213" t="s">
        <v>7397</v>
      </c>
    </row>
    <row r="79" spans="1:3" x14ac:dyDescent="0.25">
      <c r="A79" s="211">
        <f t="shared" si="1"/>
        <v>1120013</v>
      </c>
      <c r="B79" s="213" t="s">
        <v>108</v>
      </c>
      <c r="C79" s="213" t="s">
        <v>109</v>
      </c>
    </row>
    <row r="80" spans="1:3" x14ac:dyDescent="0.25">
      <c r="A80" s="211">
        <f t="shared" si="1"/>
        <v>1120014</v>
      </c>
      <c r="B80" s="213" t="s">
        <v>110</v>
      </c>
      <c r="C80" s="213" t="s">
        <v>111</v>
      </c>
    </row>
    <row r="81" spans="1:3" x14ac:dyDescent="0.25">
      <c r="A81" s="211">
        <f t="shared" si="1"/>
        <v>1120015</v>
      </c>
      <c r="B81" s="213" t="s">
        <v>112</v>
      </c>
      <c r="C81" s="213" t="s">
        <v>113</v>
      </c>
    </row>
    <row r="82" spans="1:3" x14ac:dyDescent="0.25">
      <c r="A82" s="211">
        <f t="shared" si="1"/>
        <v>1120016</v>
      </c>
      <c r="B82" s="213" t="s">
        <v>114</v>
      </c>
      <c r="C82" s="213" t="s">
        <v>115</v>
      </c>
    </row>
    <row r="83" spans="1:3" x14ac:dyDescent="0.25">
      <c r="A83" s="211">
        <f t="shared" si="1"/>
        <v>1120017</v>
      </c>
      <c r="B83" s="213" t="s">
        <v>116</v>
      </c>
      <c r="C83" s="213" t="s">
        <v>117</v>
      </c>
    </row>
    <row r="84" spans="1:3" x14ac:dyDescent="0.25">
      <c r="A84" s="211">
        <f t="shared" si="1"/>
        <v>1120020</v>
      </c>
      <c r="B84" s="213" t="s">
        <v>118</v>
      </c>
      <c r="C84" s="213" t="s">
        <v>119</v>
      </c>
    </row>
    <row r="85" spans="1:3" x14ac:dyDescent="0.25">
      <c r="A85" s="211">
        <f t="shared" si="1"/>
        <v>1120024</v>
      </c>
      <c r="B85" s="213" t="s">
        <v>121</v>
      </c>
      <c r="C85" s="213" t="s">
        <v>122</v>
      </c>
    </row>
    <row r="86" spans="1:3" x14ac:dyDescent="0.25">
      <c r="A86" s="211">
        <f t="shared" si="1"/>
        <v>1120025</v>
      </c>
      <c r="B86" s="213" t="s">
        <v>123</v>
      </c>
      <c r="C86" s="213" t="s">
        <v>124</v>
      </c>
    </row>
    <row r="87" spans="1:3" x14ac:dyDescent="0.25">
      <c r="A87" s="211">
        <f t="shared" si="1"/>
        <v>1120030</v>
      </c>
      <c r="B87" s="213" t="s">
        <v>7398</v>
      </c>
      <c r="C87" s="213" t="s">
        <v>7399</v>
      </c>
    </row>
    <row r="88" spans="1:3" x14ac:dyDescent="0.25">
      <c r="A88" s="211">
        <f t="shared" si="1"/>
        <v>1120031</v>
      </c>
      <c r="B88" s="213" t="s">
        <v>7400</v>
      </c>
      <c r="C88" s="213" t="s">
        <v>7401</v>
      </c>
    </row>
    <row r="89" spans="1:3" x14ac:dyDescent="0.25">
      <c r="A89" s="211">
        <f t="shared" si="1"/>
        <v>1120032</v>
      </c>
      <c r="B89" s="213" t="s">
        <v>7402</v>
      </c>
      <c r="C89" s="213" t="s">
        <v>7403</v>
      </c>
    </row>
    <row r="90" spans="1:3" x14ac:dyDescent="0.25">
      <c r="A90" s="211">
        <f t="shared" si="1"/>
        <v>1120050</v>
      </c>
      <c r="B90" s="213" t="s">
        <v>125</v>
      </c>
      <c r="C90" s="213" t="s">
        <v>126</v>
      </c>
    </row>
    <row r="91" spans="1:3" x14ac:dyDescent="0.25">
      <c r="A91" s="211">
        <f t="shared" si="1"/>
        <v>1120051</v>
      </c>
      <c r="B91" s="213" t="s">
        <v>127</v>
      </c>
      <c r="C91" s="213" t="s">
        <v>128</v>
      </c>
    </row>
    <row r="92" spans="1:3" x14ac:dyDescent="0.25">
      <c r="A92" s="211">
        <f t="shared" si="1"/>
        <v>1120052</v>
      </c>
      <c r="B92" s="213" t="s">
        <v>129</v>
      </c>
      <c r="C92" s="213" t="s">
        <v>130</v>
      </c>
    </row>
    <row r="93" spans="1:3" x14ac:dyDescent="0.25">
      <c r="A93" s="211">
        <f t="shared" si="1"/>
        <v>1120053</v>
      </c>
      <c r="B93" s="213" t="s">
        <v>131</v>
      </c>
      <c r="C93" s="213" t="s">
        <v>132</v>
      </c>
    </row>
    <row r="94" spans="1:3" x14ac:dyDescent="0.25">
      <c r="A94" s="211">
        <f t="shared" si="1"/>
        <v>1120055</v>
      </c>
      <c r="B94" s="213" t="s">
        <v>133</v>
      </c>
      <c r="C94" s="213" t="s">
        <v>134</v>
      </c>
    </row>
    <row r="95" spans="1:3" x14ac:dyDescent="0.25">
      <c r="A95" s="211">
        <f t="shared" si="1"/>
        <v>1120056</v>
      </c>
      <c r="B95" s="213" t="s">
        <v>135</v>
      </c>
      <c r="C95" s="213" t="s">
        <v>136</v>
      </c>
    </row>
    <row r="96" spans="1:3" x14ac:dyDescent="0.25">
      <c r="A96" s="211">
        <f t="shared" si="1"/>
        <v>1120057</v>
      </c>
      <c r="B96" s="213" t="s">
        <v>137</v>
      </c>
      <c r="C96" s="213" t="s">
        <v>138</v>
      </c>
    </row>
    <row r="97" spans="1:3" x14ac:dyDescent="0.25">
      <c r="A97" s="211">
        <f t="shared" si="1"/>
        <v>1120058</v>
      </c>
      <c r="B97" s="213" t="s">
        <v>139</v>
      </c>
      <c r="C97" s="213" t="s">
        <v>140</v>
      </c>
    </row>
    <row r="98" spans="1:3" x14ac:dyDescent="0.25">
      <c r="A98" s="211">
        <f t="shared" si="1"/>
        <v>1120060</v>
      </c>
      <c r="B98" s="213" t="s">
        <v>141</v>
      </c>
      <c r="C98" s="213" t="s">
        <v>142</v>
      </c>
    </row>
    <row r="99" spans="1:3" x14ac:dyDescent="0.25">
      <c r="A99" s="211">
        <f t="shared" si="1"/>
        <v>1120061</v>
      </c>
      <c r="B99" s="213" t="s">
        <v>143</v>
      </c>
      <c r="C99" s="213" t="s">
        <v>144</v>
      </c>
    </row>
    <row r="100" spans="1:3" x14ac:dyDescent="0.25">
      <c r="A100" s="211">
        <f t="shared" si="1"/>
        <v>1120062</v>
      </c>
      <c r="B100" s="213" t="s">
        <v>145</v>
      </c>
      <c r="C100" s="213" t="s">
        <v>146</v>
      </c>
    </row>
    <row r="101" spans="1:3" x14ac:dyDescent="0.25">
      <c r="A101" s="211">
        <f t="shared" si="1"/>
        <v>1120063</v>
      </c>
      <c r="B101" s="213" t="s">
        <v>147</v>
      </c>
      <c r="C101" s="213" t="s">
        <v>148</v>
      </c>
    </row>
    <row r="102" spans="1:3" x14ac:dyDescent="0.25">
      <c r="A102" s="211">
        <f t="shared" si="1"/>
        <v>1120064</v>
      </c>
      <c r="B102" s="213" t="s">
        <v>149</v>
      </c>
      <c r="C102" s="213" t="s">
        <v>150</v>
      </c>
    </row>
    <row r="103" spans="1:3" x14ac:dyDescent="0.25">
      <c r="A103" s="211">
        <f t="shared" si="1"/>
        <v>1120065</v>
      </c>
      <c r="B103" s="213" t="s">
        <v>151</v>
      </c>
      <c r="C103" s="213" t="s">
        <v>152</v>
      </c>
    </row>
    <row r="104" spans="1:3" x14ac:dyDescent="0.25">
      <c r="A104" s="211">
        <f t="shared" si="1"/>
        <v>1120066</v>
      </c>
      <c r="B104" s="213" t="s">
        <v>153</v>
      </c>
      <c r="C104" s="213" t="s">
        <v>154</v>
      </c>
    </row>
    <row r="105" spans="1:3" x14ac:dyDescent="0.25">
      <c r="A105" s="211">
        <f t="shared" si="1"/>
        <v>1120067</v>
      </c>
      <c r="B105" s="213" t="s">
        <v>155</v>
      </c>
      <c r="C105" s="213" t="s">
        <v>156</v>
      </c>
    </row>
    <row r="106" spans="1:3" x14ac:dyDescent="0.25">
      <c r="A106" s="211">
        <f t="shared" si="1"/>
        <v>1120068</v>
      </c>
      <c r="B106" s="213" t="s">
        <v>157</v>
      </c>
      <c r="C106" s="213" t="s">
        <v>158</v>
      </c>
    </row>
    <row r="107" spans="1:3" x14ac:dyDescent="0.25">
      <c r="A107" s="211">
        <f t="shared" si="1"/>
        <v>1120069</v>
      </c>
      <c r="B107" s="213" t="s">
        <v>159</v>
      </c>
      <c r="C107" s="213" t="s">
        <v>160</v>
      </c>
    </row>
    <row r="108" spans="1:3" x14ac:dyDescent="0.25">
      <c r="A108" s="211">
        <f t="shared" si="1"/>
        <v>1120070</v>
      </c>
      <c r="B108" s="213" t="s">
        <v>161</v>
      </c>
      <c r="C108" s="213" t="s">
        <v>162</v>
      </c>
    </row>
    <row r="109" spans="1:3" x14ac:dyDescent="0.25">
      <c r="A109" s="211">
        <f t="shared" si="1"/>
        <v>1120071</v>
      </c>
      <c r="B109" s="213" t="s">
        <v>163</v>
      </c>
      <c r="C109" s="213" t="s">
        <v>164</v>
      </c>
    </row>
    <row r="110" spans="1:3" x14ac:dyDescent="0.25">
      <c r="A110" s="211">
        <f t="shared" si="1"/>
        <v>1120072</v>
      </c>
      <c r="B110" s="213" t="s">
        <v>165</v>
      </c>
      <c r="C110" s="213" t="s">
        <v>166</v>
      </c>
    </row>
    <row r="111" spans="1:3" x14ac:dyDescent="0.25">
      <c r="A111" s="211">
        <f t="shared" si="1"/>
        <v>1120073</v>
      </c>
      <c r="B111" s="213" t="s">
        <v>167</v>
      </c>
      <c r="C111" s="213" t="s">
        <v>168</v>
      </c>
    </row>
    <row r="112" spans="1:3" x14ac:dyDescent="0.25">
      <c r="A112" s="211">
        <f t="shared" si="1"/>
        <v>1120074</v>
      </c>
      <c r="B112" s="213" t="s">
        <v>169</v>
      </c>
      <c r="C112" s="213" t="s">
        <v>170</v>
      </c>
    </row>
    <row r="113" spans="1:3" x14ac:dyDescent="0.25">
      <c r="A113" s="211">
        <f t="shared" si="1"/>
        <v>1120075</v>
      </c>
      <c r="B113" s="213" t="s">
        <v>171</v>
      </c>
      <c r="C113" s="213" t="s">
        <v>172</v>
      </c>
    </row>
    <row r="114" spans="1:3" x14ac:dyDescent="0.25">
      <c r="A114" s="211">
        <f t="shared" si="1"/>
        <v>1120076</v>
      </c>
      <c r="B114" s="213" t="s">
        <v>173</v>
      </c>
      <c r="C114" s="213" t="s">
        <v>174</v>
      </c>
    </row>
    <row r="115" spans="1:3" x14ac:dyDescent="0.25">
      <c r="A115" s="211">
        <f t="shared" si="1"/>
        <v>1120077</v>
      </c>
      <c r="B115" s="213" t="s">
        <v>175</v>
      </c>
      <c r="C115" s="213" t="s">
        <v>176</v>
      </c>
    </row>
    <row r="116" spans="1:3" x14ac:dyDescent="0.25">
      <c r="A116" s="211">
        <f t="shared" si="1"/>
        <v>1120078</v>
      </c>
      <c r="B116" s="213" t="s">
        <v>177</v>
      </c>
      <c r="C116" s="213" t="s">
        <v>178</v>
      </c>
    </row>
    <row r="117" spans="1:3" x14ac:dyDescent="0.25">
      <c r="A117" s="211">
        <f t="shared" si="1"/>
        <v>1120079</v>
      </c>
      <c r="B117" s="213" t="s">
        <v>179</v>
      </c>
      <c r="C117" s="213" t="s">
        <v>180</v>
      </c>
    </row>
    <row r="118" spans="1:3" x14ac:dyDescent="0.25">
      <c r="A118" s="211">
        <f t="shared" si="1"/>
        <v>1120106</v>
      </c>
      <c r="B118" s="213" t="s">
        <v>181</v>
      </c>
      <c r="C118" s="213" t="s">
        <v>182</v>
      </c>
    </row>
    <row r="119" spans="1:3" x14ac:dyDescent="0.25">
      <c r="A119" s="211">
        <f t="shared" si="1"/>
        <v>1120107</v>
      </c>
      <c r="B119" s="213" t="s">
        <v>183</v>
      </c>
      <c r="C119" s="213" t="s">
        <v>184</v>
      </c>
    </row>
    <row r="120" spans="1:3" x14ac:dyDescent="0.25">
      <c r="A120" s="211">
        <f t="shared" si="1"/>
        <v>1120110</v>
      </c>
      <c r="B120" s="213" t="s">
        <v>185</v>
      </c>
      <c r="C120" s="213" t="s">
        <v>186</v>
      </c>
    </row>
    <row r="121" spans="1:3" x14ac:dyDescent="0.25">
      <c r="A121" s="211">
        <f t="shared" si="1"/>
        <v>1120111</v>
      </c>
      <c r="B121" s="213" t="s">
        <v>187</v>
      </c>
      <c r="C121" s="213" t="s">
        <v>188</v>
      </c>
    </row>
    <row r="122" spans="1:3" x14ac:dyDescent="0.25">
      <c r="A122" s="211">
        <f t="shared" si="1"/>
        <v>1120112</v>
      </c>
      <c r="B122" s="213" t="s">
        <v>189</v>
      </c>
      <c r="C122" s="213" t="s">
        <v>190</v>
      </c>
    </row>
    <row r="123" spans="1:3" x14ac:dyDescent="0.25">
      <c r="A123" s="211" t="str">
        <f t="shared" si="1"/>
        <v/>
      </c>
      <c r="B123" s="213" t="s">
        <v>13678</v>
      </c>
      <c r="C123" s="212"/>
    </row>
    <row r="124" spans="1:3" x14ac:dyDescent="0.25">
      <c r="A124" s="211">
        <f t="shared" si="1"/>
        <v>1120125</v>
      </c>
      <c r="B124" s="213" t="s">
        <v>191</v>
      </c>
      <c r="C124" s="213" t="s">
        <v>192</v>
      </c>
    </row>
    <row r="125" spans="1:3" x14ac:dyDescent="0.25">
      <c r="A125" s="211">
        <f t="shared" si="1"/>
        <v>1120126</v>
      </c>
      <c r="B125" s="213" t="s">
        <v>193</v>
      </c>
      <c r="C125" s="213" t="s">
        <v>194</v>
      </c>
    </row>
    <row r="126" spans="1:3" x14ac:dyDescent="0.25">
      <c r="A126" s="211">
        <f t="shared" si="1"/>
        <v>1120130</v>
      </c>
      <c r="B126" s="213" t="s">
        <v>195</v>
      </c>
      <c r="C126" s="213" t="s">
        <v>196</v>
      </c>
    </row>
    <row r="127" spans="1:3" x14ac:dyDescent="0.25">
      <c r="A127" s="211" t="str">
        <f t="shared" si="1"/>
        <v/>
      </c>
      <c r="B127" s="213" t="s">
        <v>13679</v>
      </c>
      <c r="C127" s="212"/>
    </row>
    <row r="128" spans="1:3" x14ac:dyDescent="0.25">
      <c r="A128" s="211">
        <f t="shared" si="1"/>
        <v>1120131</v>
      </c>
      <c r="B128" s="213" t="s">
        <v>197</v>
      </c>
      <c r="C128" s="213" t="s">
        <v>198</v>
      </c>
    </row>
    <row r="129" spans="1:3" x14ac:dyDescent="0.25">
      <c r="A129" s="211">
        <f t="shared" si="1"/>
        <v>1120132</v>
      </c>
      <c r="B129" s="213" t="s">
        <v>199</v>
      </c>
      <c r="C129" s="213" t="s">
        <v>200</v>
      </c>
    </row>
    <row r="130" spans="1:3" x14ac:dyDescent="0.25">
      <c r="A130" s="211">
        <f t="shared" ref="A130:A193" si="2">IFERROR(B130*1,"")</f>
        <v>1120133</v>
      </c>
      <c r="B130" s="213" t="s">
        <v>201</v>
      </c>
      <c r="C130" s="213" t="s">
        <v>202</v>
      </c>
    </row>
    <row r="131" spans="1:3" x14ac:dyDescent="0.25">
      <c r="A131" s="211">
        <f t="shared" si="2"/>
        <v>1120136</v>
      </c>
      <c r="B131" s="213" t="s">
        <v>203</v>
      </c>
      <c r="C131" s="213" t="s">
        <v>204</v>
      </c>
    </row>
    <row r="132" spans="1:3" x14ac:dyDescent="0.25">
      <c r="A132" s="211">
        <f t="shared" si="2"/>
        <v>1120140</v>
      </c>
      <c r="B132" s="213" t="s">
        <v>205</v>
      </c>
      <c r="C132" s="213" t="s">
        <v>206</v>
      </c>
    </row>
    <row r="133" spans="1:3" x14ac:dyDescent="0.25">
      <c r="A133" s="211">
        <f t="shared" si="2"/>
        <v>1120141</v>
      </c>
      <c r="B133" s="213" t="s">
        <v>7404</v>
      </c>
      <c r="C133" s="213" t="s">
        <v>7405</v>
      </c>
    </row>
    <row r="134" spans="1:3" x14ac:dyDescent="0.25">
      <c r="A134" s="211">
        <f t="shared" si="2"/>
        <v>1120142</v>
      </c>
      <c r="B134" s="213" t="s">
        <v>7406</v>
      </c>
      <c r="C134" s="213" t="s">
        <v>7407</v>
      </c>
    </row>
    <row r="135" spans="1:3" x14ac:dyDescent="0.25">
      <c r="A135" s="211">
        <f t="shared" si="2"/>
        <v>1120143</v>
      </c>
      <c r="B135" s="213" t="s">
        <v>7408</v>
      </c>
      <c r="C135" s="213" t="s">
        <v>7409</v>
      </c>
    </row>
    <row r="136" spans="1:3" x14ac:dyDescent="0.25">
      <c r="A136" s="211">
        <f t="shared" si="2"/>
        <v>1120144</v>
      </c>
      <c r="B136" s="213" t="s">
        <v>7410</v>
      </c>
      <c r="C136" s="213" t="s">
        <v>7411</v>
      </c>
    </row>
    <row r="137" spans="1:3" x14ac:dyDescent="0.25">
      <c r="A137" s="211">
        <f t="shared" si="2"/>
        <v>1120147</v>
      </c>
      <c r="B137" s="213" t="s">
        <v>207</v>
      </c>
      <c r="C137" s="213" t="s">
        <v>208</v>
      </c>
    </row>
    <row r="138" spans="1:3" x14ac:dyDescent="0.25">
      <c r="A138" s="211">
        <f t="shared" si="2"/>
        <v>1120148</v>
      </c>
      <c r="B138" s="213" t="s">
        <v>209</v>
      </c>
      <c r="C138" s="213" t="s">
        <v>210</v>
      </c>
    </row>
    <row r="139" spans="1:3" x14ac:dyDescent="0.25">
      <c r="A139" s="211">
        <f t="shared" si="2"/>
        <v>1120149</v>
      </c>
      <c r="B139" s="213" t="s">
        <v>211</v>
      </c>
      <c r="C139" s="213" t="s">
        <v>212</v>
      </c>
    </row>
    <row r="140" spans="1:3" x14ac:dyDescent="0.25">
      <c r="A140" s="211">
        <f t="shared" si="2"/>
        <v>1120150</v>
      </c>
      <c r="B140" s="213" t="s">
        <v>213</v>
      </c>
      <c r="C140" s="213" t="s">
        <v>214</v>
      </c>
    </row>
    <row r="141" spans="1:3" x14ac:dyDescent="0.25">
      <c r="A141" s="211">
        <f t="shared" si="2"/>
        <v>1120151</v>
      </c>
      <c r="B141" s="213" t="s">
        <v>7412</v>
      </c>
      <c r="C141" s="213" t="s">
        <v>7413</v>
      </c>
    </row>
    <row r="142" spans="1:3" x14ac:dyDescent="0.25">
      <c r="A142" s="211">
        <f t="shared" si="2"/>
        <v>1120152</v>
      </c>
      <c r="B142" s="213" t="s">
        <v>7414</v>
      </c>
      <c r="C142" s="213" t="s">
        <v>7415</v>
      </c>
    </row>
    <row r="143" spans="1:3" x14ac:dyDescent="0.25">
      <c r="A143" s="211">
        <f t="shared" si="2"/>
        <v>1120153</v>
      </c>
      <c r="B143" s="213" t="s">
        <v>7416</v>
      </c>
      <c r="C143" s="213" t="s">
        <v>7417</v>
      </c>
    </row>
    <row r="144" spans="1:3" x14ac:dyDescent="0.25">
      <c r="A144" s="211">
        <f t="shared" si="2"/>
        <v>1120160</v>
      </c>
      <c r="B144" s="213" t="s">
        <v>215</v>
      </c>
      <c r="C144" s="213" t="s">
        <v>216</v>
      </c>
    </row>
    <row r="145" spans="1:3" x14ac:dyDescent="0.25">
      <c r="A145" s="211">
        <f t="shared" si="2"/>
        <v>1120165</v>
      </c>
      <c r="B145" s="213" t="s">
        <v>217</v>
      </c>
      <c r="C145" s="213" t="s">
        <v>218</v>
      </c>
    </row>
    <row r="146" spans="1:3" x14ac:dyDescent="0.25">
      <c r="A146" s="211">
        <f t="shared" si="2"/>
        <v>1120166</v>
      </c>
      <c r="B146" s="213" t="s">
        <v>219</v>
      </c>
      <c r="C146" s="213" t="s">
        <v>220</v>
      </c>
    </row>
    <row r="147" spans="1:3" x14ac:dyDescent="0.25">
      <c r="A147" s="211">
        <f t="shared" si="2"/>
        <v>1120167</v>
      </c>
      <c r="B147" s="213" t="s">
        <v>221</v>
      </c>
      <c r="C147" s="213" t="s">
        <v>222</v>
      </c>
    </row>
    <row r="148" spans="1:3" x14ac:dyDescent="0.25">
      <c r="A148" s="211">
        <f t="shared" si="2"/>
        <v>1120168</v>
      </c>
      <c r="B148" s="213" t="s">
        <v>223</v>
      </c>
      <c r="C148" s="213" t="s">
        <v>224</v>
      </c>
    </row>
    <row r="149" spans="1:3" x14ac:dyDescent="0.25">
      <c r="A149" s="211">
        <f t="shared" si="2"/>
        <v>1120170</v>
      </c>
      <c r="B149" s="213" t="s">
        <v>225</v>
      </c>
      <c r="C149" s="213" t="s">
        <v>226</v>
      </c>
    </row>
    <row r="150" spans="1:3" x14ac:dyDescent="0.25">
      <c r="A150" s="211">
        <f t="shared" si="2"/>
        <v>1120173</v>
      </c>
      <c r="B150" s="213" t="s">
        <v>227</v>
      </c>
      <c r="C150" s="213" t="s">
        <v>228</v>
      </c>
    </row>
    <row r="151" spans="1:3" x14ac:dyDescent="0.25">
      <c r="A151" s="211">
        <f t="shared" si="2"/>
        <v>1120174</v>
      </c>
      <c r="B151" s="213" t="s">
        <v>229</v>
      </c>
      <c r="C151" s="213" t="s">
        <v>230</v>
      </c>
    </row>
    <row r="152" spans="1:3" x14ac:dyDescent="0.25">
      <c r="A152" s="211">
        <f t="shared" si="2"/>
        <v>1120175</v>
      </c>
      <c r="B152" s="213" t="s">
        <v>231</v>
      </c>
      <c r="C152" s="213" t="s">
        <v>232</v>
      </c>
    </row>
    <row r="153" spans="1:3" x14ac:dyDescent="0.25">
      <c r="A153" s="211">
        <f t="shared" si="2"/>
        <v>1120176</v>
      </c>
      <c r="B153" s="213" t="s">
        <v>233</v>
      </c>
      <c r="C153" s="213" t="s">
        <v>234</v>
      </c>
    </row>
    <row r="154" spans="1:3" x14ac:dyDescent="0.25">
      <c r="A154" s="211">
        <f t="shared" si="2"/>
        <v>1120177</v>
      </c>
      <c r="B154" s="213" t="s">
        <v>235</v>
      </c>
      <c r="C154" s="213" t="s">
        <v>236</v>
      </c>
    </row>
    <row r="155" spans="1:3" x14ac:dyDescent="0.25">
      <c r="A155" s="211">
        <f t="shared" si="2"/>
        <v>1120180</v>
      </c>
      <c r="B155" s="213" t="s">
        <v>237</v>
      </c>
      <c r="C155" s="213" t="s">
        <v>238</v>
      </c>
    </row>
    <row r="156" spans="1:3" x14ac:dyDescent="0.25">
      <c r="A156" s="211">
        <f t="shared" si="2"/>
        <v>1120182</v>
      </c>
      <c r="B156" s="213" t="s">
        <v>239</v>
      </c>
      <c r="C156" s="213" t="s">
        <v>240</v>
      </c>
    </row>
    <row r="157" spans="1:3" x14ac:dyDescent="0.25">
      <c r="A157" s="211" t="str">
        <f t="shared" si="2"/>
        <v/>
      </c>
      <c r="B157" s="213" t="s">
        <v>13680</v>
      </c>
      <c r="C157" s="212"/>
    </row>
    <row r="158" spans="1:3" x14ac:dyDescent="0.25">
      <c r="A158" s="211">
        <f t="shared" si="2"/>
        <v>1120183</v>
      </c>
      <c r="B158" s="213" t="s">
        <v>241</v>
      </c>
      <c r="C158" s="213" t="s">
        <v>242</v>
      </c>
    </row>
    <row r="159" spans="1:3" x14ac:dyDescent="0.25">
      <c r="A159" s="211" t="str">
        <f t="shared" si="2"/>
        <v/>
      </c>
      <c r="B159" s="213" t="s">
        <v>13681</v>
      </c>
      <c r="C159" s="212"/>
    </row>
    <row r="160" spans="1:3" x14ac:dyDescent="0.25">
      <c r="A160" s="211">
        <f t="shared" si="2"/>
        <v>1120184</v>
      </c>
      <c r="B160" s="213" t="s">
        <v>243</v>
      </c>
      <c r="C160" s="213" t="s">
        <v>244</v>
      </c>
    </row>
    <row r="161" spans="1:3" x14ac:dyDescent="0.25">
      <c r="A161" s="211" t="str">
        <f t="shared" si="2"/>
        <v/>
      </c>
      <c r="B161" s="213" t="s">
        <v>13682</v>
      </c>
      <c r="C161" s="212"/>
    </row>
    <row r="162" spans="1:3" x14ac:dyDescent="0.25">
      <c r="A162" s="211">
        <f t="shared" si="2"/>
        <v>1120185</v>
      </c>
      <c r="B162" s="213" t="s">
        <v>245</v>
      </c>
      <c r="C162" s="213" t="s">
        <v>246</v>
      </c>
    </row>
    <row r="163" spans="1:3" x14ac:dyDescent="0.25">
      <c r="A163" s="211" t="str">
        <f t="shared" si="2"/>
        <v/>
      </c>
      <c r="B163" s="213" t="s">
        <v>13683</v>
      </c>
      <c r="C163" s="212"/>
    </row>
    <row r="164" spans="1:3" x14ac:dyDescent="0.25">
      <c r="A164" s="211">
        <f t="shared" si="2"/>
        <v>1120188</v>
      </c>
      <c r="B164" s="213" t="s">
        <v>247</v>
      </c>
      <c r="C164" s="213" t="s">
        <v>248</v>
      </c>
    </row>
    <row r="165" spans="1:3" x14ac:dyDescent="0.25">
      <c r="A165" s="211">
        <f t="shared" si="2"/>
        <v>1120190</v>
      </c>
      <c r="B165" s="213" t="s">
        <v>249</v>
      </c>
      <c r="C165" s="213" t="s">
        <v>250</v>
      </c>
    </row>
    <row r="166" spans="1:3" x14ac:dyDescent="0.25">
      <c r="A166" s="211">
        <f t="shared" si="2"/>
        <v>1120191</v>
      </c>
      <c r="B166" s="213" t="s">
        <v>251</v>
      </c>
      <c r="C166" s="213" t="s">
        <v>252</v>
      </c>
    </row>
    <row r="167" spans="1:3" x14ac:dyDescent="0.25">
      <c r="A167" s="211">
        <f t="shared" si="2"/>
        <v>1120192</v>
      </c>
      <c r="B167" s="213" t="s">
        <v>253</v>
      </c>
      <c r="C167" s="213" t="s">
        <v>254</v>
      </c>
    </row>
    <row r="168" spans="1:3" x14ac:dyDescent="0.25">
      <c r="A168" s="211">
        <f t="shared" si="2"/>
        <v>1120193</v>
      </c>
      <c r="B168" s="213" t="s">
        <v>255</v>
      </c>
      <c r="C168" s="213" t="s">
        <v>256</v>
      </c>
    </row>
    <row r="169" spans="1:3" x14ac:dyDescent="0.25">
      <c r="A169" s="211">
        <f t="shared" si="2"/>
        <v>1120194</v>
      </c>
      <c r="B169" s="213" t="s">
        <v>257</v>
      </c>
      <c r="C169" s="213" t="s">
        <v>258</v>
      </c>
    </row>
    <row r="170" spans="1:3" x14ac:dyDescent="0.25">
      <c r="A170" s="211">
        <f t="shared" si="2"/>
        <v>1120195</v>
      </c>
      <c r="B170" s="213" t="s">
        <v>259</v>
      </c>
      <c r="C170" s="213" t="s">
        <v>260</v>
      </c>
    </row>
    <row r="171" spans="1:3" x14ac:dyDescent="0.25">
      <c r="A171" s="211">
        <f t="shared" si="2"/>
        <v>1120196</v>
      </c>
      <c r="B171" s="213" t="s">
        <v>261</v>
      </c>
      <c r="C171" s="213" t="s">
        <v>262</v>
      </c>
    </row>
    <row r="172" spans="1:3" x14ac:dyDescent="0.25">
      <c r="A172" s="211">
        <f t="shared" si="2"/>
        <v>1120197</v>
      </c>
      <c r="B172" s="213" t="s">
        <v>263</v>
      </c>
      <c r="C172" s="213" t="s">
        <v>264</v>
      </c>
    </row>
    <row r="173" spans="1:3" x14ac:dyDescent="0.25">
      <c r="A173" s="211">
        <f t="shared" si="2"/>
        <v>1120199</v>
      </c>
      <c r="B173" s="213" t="s">
        <v>265</v>
      </c>
      <c r="C173" s="213" t="s">
        <v>266</v>
      </c>
    </row>
    <row r="174" spans="1:3" x14ac:dyDescent="0.25">
      <c r="A174" s="211">
        <f t="shared" si="2"/>
        <v>1120200</v>
      </c>
      <c r="B174" s="213" t="s">
        <v>267</v>
      </c>
      <c r="C174" s="213" t="s">
        <v>268</v>
      </c>
    </row>
    <row r="175" spans="1:3" x14ac:dyDescent="0.25">
      <c r="A175" s="211">
        <f t="shared" si="2"/>
        <v>1120201</v>
      </c>
      <c r="B175" s="213" t="s">
        <v>269</v>
      </c>
      <c r="C175" s="213" t="s">
        <v>270</v>
      </c>
    </row>
    <row r="176" spans="1:3" x14ac:dyDescent="0.25">
      <c r="A176" s="211">
        <f t="shared" si="2"/>
        <v>1120202</v>
      </c>
      <c r="B176" s="213" t="s">
        <v>271</v>
      </c>
      <c r="C176" s="213" t="s">
        <v>272</v>
      </c>
    </row>
    <row r="177" spans="1:3" x14ac:dyDescent="0.25">
      <c r="A177" s="211">
        <f t="shared" si="2"/>
        <v>1120203</v>
      </c>
      <c r="B177" s="213" t="s">
        <v>273</v>
      </c>
      <c r="C177" s="213" t="s">
        <v>274</v>
      </c>
    </row>
    <row r="178" spans="1:3" x14ac:dyDescent="0.25">
      <c r="A178" s="211">
        <f t="shared" si="2"/>
        <v>1120204</v>
      </c>
      <c r="B178" s="213" t="s">
        <v>275</v>
      </c>
      <c r="C178" s="213" t="s">
        <v>276</v>
      </c>
    </row>
    <row r="179" spans="1:3" x14ac:dyDescent="0.25">
      <c r="A179" s="211" t="str">
        <f t="shared" si="2"/>
        <v/>
      </c>
      <c r="B179" s="213" t="s">
        <v>13684</v>
      </c>
      <c r="C179" s="212"/>
    </row>
    <row r="180" spans="1:3" x14ac:dyDescent="0.25">
      <c r="A180" s="211">
        <f t="shared" si="2"/>
        <v>1120206</v>
      </c>
      <c r="B180" s="213" t="s">
        <v>277</v>
      </c>
      <c r="C180" s="213" t="s">
        <v>278</v>
      </c>
    </row>
    <row r="181" spans="1:3" x14ac:dyDescent="0.25">
      <c r="A181" s="211">
        <f t="shared" si="2"/>
        <v>1120207</v>
      </c>
      <c r="B181" s="213" t="s">
        <v>279</v>
      </c>
      <c r="C181" s="213" t="s">
        <v>280</v>
      </c>
    </row>
    <row r="182" spans="1:3" x14ac:dyDescent="0.25">
      <c r="A182" s="211">
        <f t="shared" si="2"/>
        <v>1120208</v>
      </c>
      <c r="B182" s="213" t="s">
        <v>281</v>
      </c>
      <c r="C182" s="213" t="s">
        <v>282</v>
      </c>
    </row>
    <row r="183" spans="1:3" x14ac:dyDescent="0.25">
      <c r="A183" s="211">
        <f t="shared" si="2"/>
        <v>1120209</v>
      </c>
      <c r="B183" s="213" t="s">
        <v>283</v>
      </c>
      <c r="C183" s="213" t="s">
        <v>284</v>
      </c>
    </row>
    <row r="184" spans="1:3" x14ac:dyDescent="0.25">
      <c r="A184" s="211">
        <f t="shared" si="2"/>
        <v>1120210</v>
      </c>
      <c r="B184" s="213" t="s">
        <v>285</v>
      </c>
      <c r="C184" s="213" t="s">
        <v>286</v>
      </c>
    </row>
    <row r="185" spans="1:3" x14ac:dyDescent="0.25">
      <c r="A185" s="211">
        <f t="shared" si="2"/>
        <v>1120211</v>
      </c>
      <c r="B185" s="213" t="s">
        <v>287</v>
      </c>
      <c r="C185" s="213" t="s">
        <v>288</v>
      </c>
    </row>
    <row r="186" spans="1:3" x14ac:dyDescent="0.25">
      <c r="A186" s="211">
        <f t="shared" si="2"/>
        <v>1120212</v>
      </c>
      <c r="B186" s="213" t="s">
        <v>289</v>
      </c>
      <c r="C186" s="213" t="s">
        <v>290</v>
      </c>
    </row>
    <row r="187" spans="1:3" x14ac:dyDescent="0.25">
      <c r="A187" s="211">
        <f t="shared" si="2"/>
        <v>1120213</v>
      </c>
      <c r="B187" s="213" t="s">
        <v>291</v>
      </c>
      <c r="C187" s="213" t="s">
        <v>292</v>
      </c>
    </row>
    <row r="188" spans="1:3" x14ac:dyDescent="0.25">
      <c r="A188" s="211">
        <f t="shared" si="2"/>
        <v>1120214</v>
      </c>
      <c r="B188" s="213" t="s">
        <v>293</v>
      </c>
      <c r="C188" s="213" t="s">
        <v>294</v>
      </c>
    </row>
    <row r="189" spans="1:3" x14ac:dyDescent="0.25">
      <c r="A189" s="211">
        <f t="shared" si="2"/>
        <v>1120215</v>
      </c>
      <c r="B189" s="213" t="s">
        <v>295</v>
      </c>
      <c r="C189" s="213" t="s">
        <v>296</v>
      </c>
    </row>
    <row r="190" spans="1:3" x14ac:dyDescent="0.25">
      <c r="A190" s="211">
        <f t="shared" si="2"/>
        <v>1120216</v>
      </c>
      <c r="B190" s="213" t="s">
        <v>297</v>
      </c>
      <c r="C190" s="213" t="s">
        <v>298</v>
      </c>
    </row>
    <row r="191" spans="1:3" x14ac:dyDescent="0.25">
      <c r="A191" s="211">
        <f t="shared" si="2"/>
        <v>1120217</v>
      </c>
      <c r="B191" s="213" t="s">
        <v>299</v>
      </c>
      <c r="C191" s="213" t="s">
        <v>300</v>
      </c>
    </row>
    <row r="192" spans="1:3" x14ac:dyDescent="0.25">
      <c r="A192" s="211">
        <f t="shared" si="2"/>
        <v>1120220</v>
      </c>
      <c r="B192" s="213" t="s">
        <v>301</v>
      </c>
      <c r="C192" s="213" t="s">
        <v>302</v>
      </c>
    </row>
    <row r="193" spans="1:3" x14ac:dyDescent="0.25">
      <c r="A193" s="211">
        <f t="shared" si="2"/>
        <v>1120221</v>
      </c>
      <c r="B193" s="213" t="s">
        <v>303</v>
      </c>
      <c r="C193" s="213" t="s">
        <v>304</v>
      </c>
    </row>
    <row r="194" spans="1:3" x14ac:dyDescent="0.25">
      <c r="A194" s="211">
        <f t="shared" ref="A194:A257" si="3">IFERROR(B194*1,"")</f>
        <v>1120222</v>
      </c>
      <c r="B194" s="213" t="s">
        <v>305</v>
      </c>
      <c r="C194" s="213" t="s">
        <v>306</v>
      </c>
    </row>
    <row r="195" spans="1:3" x14ac:dyDescent="0.25">
      <c r="A195" s="211">
        <f t="shared" si="3"/>
        <v>1120223</v>
      </c>
      <c r="B195" s="213" t="s">
        <v>307</v>
      </c>
      <c r="C195" s="213" t="s">
        <v>308</v>
      </c>
    </row>
    <row r="196" spans="1:3" x14ac:dyDescent="0.25">
      <c r="A196" s="211">
        <f t="shared" si="3"/>
        <v>1120224</v>
      </c>
      <c r="B196" s="213" t="s">
        <v>7418</v>
      </c>
      <c r="C196" s="213" t="s">
        <v>7419</v>
      </c>
    </row>
    <row r="197" spans="1:3" x14ac:dyDescent="0.25">
      <c r="A197" s="211">
        <f t="shared" si="3"/>
        <v>1120225</v>
      </c>
      <c r="B197" s="213" t="s">
        <v>7420</v>
      </c>
      <c r="C197" s="213" t="s">
        <v>7421</v>
      </c>
    </row>
    <row r="198" spans="1:3" x14ac:dyDescent="0.25">
      <c r="A198" s="211">
        <f t="shared" si="3"/>
        <v>1120230</v>
      </c>
      <c r="B198" s="213" t="s">
        <v>309</v>
      </c>
      <c r="C198" s="213" t="s">
        <v>310</v>
      </c>
    </row>
    <row r="199" spans="1:3" x14ac:dyDescent="0.25">
      <c r="A199" s="211">
        <f t="shared" si="3"/>
        <v>1120231</v>
      </c>
      <c r="B199" s="213" t="s">
        <v>311</v>
      </c>
      <c r="C199" s="213" t="s">
        <v>312</v>
      </c>
    </row>
    <row r="200" spans="1:3" x14ac:dyDescent="0.25">
      <c r="A200" s="211">
        <f t="shared" si="3"/>
        <v>1120232</v>
      </c>
      <c r="B200" s="213" t="s">
        <v>313</v>
      </c>
      <c r="C200" s="213" t="s">
        <v>314</v>
      </c>
    </row>
    <row r="201" spans="1:3" x14ac:dyDescent="0.25">
      <c r="A201" s="211">
        <f t="shared" si="3"/>
        <v>1120233</v>
      </c>
      <c r="B201" s="213" t="s">
        <v>315</v>
      </c>
      <c r="C201" s="213" t="s">
        <v>316</v>
      </c>
    </row>
    <row r="202" spans="1:3" x14ac:dyDescent="0.25">
      <c r="A202" s="211">
        <f t="shared" si="3"/>
        <v>1120234</v>
      </c>
      <c r="B202" s="213" t="s">
        <v>317</v>
      </c>
      <c r="C202" s="213" t="s">
        <v>318</v>
      </c>
    </row>
    <row r="203" spans="1:3" x14ac:dyDescent="0.25">
      <c r="A203" s="211">
        <f t="shared" si="3"/>
        <v>1120235</v>
      </c>
      <c r="B203" s="213" t="s">
        <v>319</v>
      </c>
      <c r="C203" s="213" t="s">
        <v>320</v>
      </c>
    </row>
    <row r="204" spans="1:3" x14ac:dyDescent="0.25">
      <c r="A204" s="211">
        <f t="shared" si="3"/>
        <v>1120236</v>
      </c>
      <c r="B204" s="213" t="s">
        <v>321</v>
      </c>
      <c r="C204" s="213" t="s">
        <v>322</v>
      </c>
    </row>
    <row r="205" spans="1:3" x14ac:dyDescent="0.25">
      <c r="A205" s="211">
        <f t="shared" si="3"/>
        <v>1120238</v>
      </c>
      <c r="B205" s="213" t="s">
        <v>323</v>
      </c>
      <c r="C205" s="213" t="s">
        <v>324</v>
      </c>
    </row>
    <row r="206" spans="1:3" x14ac:dyDescent="0.25">
      <c r="A206" s="211">
        <f t="shared" si="3"/>
        <v>1120239</v>
      </c>
      <c r="B206" s="213" t="s">
        <v>325</v>
      </c>
      <c r="C206" s="213" t="s">
        <v>326</v>
      </c>
    </row>
    <row r="207" spans="1:3" x14ac:dyDescent="0.25">
      <c r="A207" s="211">
        <f t="shared" si="3"/>
        <v>1120240</v>
      </c>
      <c r="B207" s="213" t="s">
        <v>327</v>
      </c>
      <c r="C207" s="213" t="s">
        <v>328</v>
      </c>
    </row>
    <row r="208" spans="1:3" x14ac:dyDescent="0.25">
      <c r="A208" s="211">
        <f t="shared" si="3"/>
        <v>1120241</v>
      </c>
      <c r="B208" s="213" t="s">
        <v>329</v>
      </c>
      <c r="C208" s="213" t="s">
        <v>330</v>
      </c>
    </row>
    <row r="209" spans="1:3" x14ac:dyDescent="0.25">
      <c r="A209" s="211">
        <f t="shared" si="3"/>
        <v>1120242</v>
      </c>
      <c r="B209" s="213" t="s">
        <v>331</v>
      </c>
      <c r="C209" s="213" t="s">
        <v>332</v>
      </c>
    </row>
    <row r="210" spans="1:3" x14ac:dyDescent="0.25">
      <c r="A210" s="211">
        <f t="shared" si="3"/>
        <v>1120243</v>
      </c>
      <c r="B210" s="213" t="s">
        <v>333</v>
      </c>
      <c r="C210" s="213" t="s">
        <v>334</v>
      </c>
    </row>
    <row r="211" spans="1:3" x14ac:dyDescent="0.25">
      <c r="A211" s="211">
        <f t="shared" si="3"/>
        <v>1120246</v>
      </c>
      <c r="B211" s="213" t="s">
        <v>335</v>
      </c>
      <c r="C211" s="213" t="s">
        <v>336</v>
      </c>
    </row>
    <row r="212" spans="1:3" x14ac:dyDescent="0.25">
      <c r="A212" s="211" t="str">
        <f t="shared" si="3"/>
        <v/>
      </c>
      <c r="B212" s="213" t="s">
        <v>337</v>
      </c>
      <c r="C212" s="213" t="s">
        <v>338</v>
      </c>
    </row>
    <row r="213" spans="1:3" x14ac:dyDescent="0.25">
      <c r="A213" s="211">
        <f t="shared" si="3"/>
        <v>1120247</v>
      </c>
      <c r="B213" s="213" t="s">
        <v>339</v>
      </c>
      <c r="C213" s="213" t="s">
        <v>340</v>
      </c>
    </row>
    <row r="214" spans="1:3" x14ac:dyDescent="0.25">
      <c r="A214" s="211" t="str">
        <f t="shared" si="3"/>
        <v/>
      </c>
      <c r="B214" s="213" t="s">
        <v>341</v>
      </c>
      <c r="C214" s="213" t="s">
        <v>342</v>
      </c>
    </row>
    <row r="215" spans="1:3" x14ac:dyDescent="0.25">
      <c r="A215" s="211">
        <f t="shared" si="3"/>
        <v>1120248</v>
      </c>
      <c r="B215" s="213" t="s">
        <v>343</v>
      </c>
      <c r="C215" s="213" t="s">
        <v>344</v>
      </c>
    </row>
    <row r="216" spans="1:3" x14ac:dyDescent="0.25">
      <c r="A216" s="211">
        <f t="shared" si="3"/>
        <v>1120250</v>
      </c>
      <c r="B216" s="213" t="s">
        <v>345</v>
      </c>
      <c r="C216" s="213" t="s">
        <v>346</v>
      </c>
    </row>
    <row r="217" spans="1:3" x14ac:dyDescent="0.25">
      <c r="A217" s="211">
        <f t="shared" si="3"/>
        <v>1120251</v>
      </c>
      <c r="B217" s="213" t="s">
        <v>347</v>
      </c>
      <c r="C217" s="213" t="s">
        <v>348</v>
      </c>
    </row>
    <row r="218" spans="1:3" x14ac:dyDescent="0.25">
      <c r="A218" s="211">
        <f t="shared" si="3"/>
        <v>1120263</v>
      </c>
      <c r="B218" s="213" t="s">
        <v>349</v>
      </c>
      <c r="C218" s="213" t="s">
        <v>350</v>
      </c>
    </row>
    <row r="219" spans="1:3" x14ac:dyDescent="0.25">
      <c r="A219" s="211">
        <f t="shared" si="3"/>
        <v>1120264</v>
      </c>
      <c r="B219" s="213" t="s">
        <v>351</v>
      </c>
      <c r="C219" s="213" t="s">
        <v>352</v>
      </c>
    </row>
    <row r="220" spans="1:3" x14ac:dyDescent="0.25">
      <c r="A220" s="211">
        <f t="shared" si="3"/>
        <v>1120265</v>
      </c>
      <c r="B220" s="213" t="s">
        <v>353</v>
      </c>
      <c r="C220" s="213" t="s">
        <v>354</v>
      </c>
    </row>
    <row r="221" spans="1:3" x14ac:dyDescent="0.25">
      <c r="A221" s="211">
        <f t="shared" si="3"/>
        <v>1120266</v>
      </c>
      <c r="B221" s="213" t="s">
        <v>355</v>
      </c>
      <c r="C221" s="213" t="s">
        <v>356</v>
      </c>
    </row>
    <row r="222" spans="1:3" x14ac:dyDescent="0.25">
      <c r="A222" s="211">
        <f t="shared" si="3"/>
        <v>1120267</v>
      </c>
      <c r="B222" s="213" t="s">
        <v>357</v>
      </c>
      <c r="C222" s="213" t="s">
        <v>358</v>
      </c>
    </row>
    <row r="223" spans="1:3" x14ac:dyDescent="0.25">
      <c r="A223" s="211">
        <f t="shared" si="3"/>
        <v>1120268</v>
      </c>
      <c r="B223" s="213" t="s">
        <v>359</v>
      </c>
      <c r="C223" s="213" t="s">
        <v>360</v>
      </c>
    </row>
    <row r="224" spans="1:3" x14ac:dyDescent="0.25">
      <c r="A224" s="211">
        <f t="shared" si="3"/>
        <v>1120269</v>
      </c>
      <c r="B224" s="213" t="s">
        <v>361</v>
      </c>
      <c r="C224" s="213" t="s">
        <v>362</v>
      </c>
    </row>
    <row r="225" spans="1:3" x14ac:dyDescent="0.25">
      <c r="A225" s="211">
        <f t="shared" si="3"/>
        <v>1120270</v>
      </c>
      <c r="B225" s="213" t="s">
        <v>363</v>
      </c>
      <c r="C225" s="213" t="s">
        <v>364</v>
      </c>
    </row>
    <row r="226" spans="1:3" x14ac:dyDescent="0.25">
      <c r="A226" s="211">
        <f t="shared" si="3"/>
        <v>1120271</v>
      </c>
      <c r="B226" s="213" t="s">
        <v>365</v>
      </c>
      <c r="C226" s="213" t="s">
        <v>366</v>
      </c>
    </row>
    <row r="227" spans="1:3" x14ac:dyDescent="0.25">
      <c r="A227" s="211">
        <f t="shared" si="3"/>
        <v>1120272</v>
      </c>
      <c r="B227" s="213" t="s">
        <v>367</v>
      </c>
      <c r="C227" s="213" t="s">
        <v>368</v>
      </c>
    </row>
    <row r="228" spans="1:3" x14ac:dyDescent="0.25">
      <c r="A228" s="211">
        <f t="shared" si="3"/>
        <v>1120273</v>
      </c>
      <c r="B228" s="213" t="s">
        <v>369</v>
      </c>
      <c r="C228" s="213" t="s">
        <v>370</v>
      </c>
    </row>
    <row r="229" spans="1:3" x14ac:dyDescent="0.25">
      <c r="A229" s="211">
        <f t="shared" si="3"/>
        <v>1120274</v>
      </c>
      <c r="B229" s="213" t="s">
        <v>371</v>
      </c>
      <c r="C229" s="213" t="s">
        <v>372</v>
      </c>
    </row>
    <row r="230" spans="1:3" x14ac:dyDescent="0.25">
      <c r="A230" s="211">
        <f t="shared" si="3"/>
        <v>1120275</v>
      </c>
      <c r="B230" s="213" t="s">
        <v>373</v>
      </c>
      <c r="C230" s="213" t="s">
        <v>374</v>
      </c>
    </row>
    <row r="231" spans="1:3" x14ac:dyDescent="0.25">
      <c r="A231" s="211">
        <f t="shared" si="3"/>
        <v>1120276</v>
      </c>
      <c r="B231" s="213" t="s">
        <v>375</v>
      </c>
      <c r="C231" s="213" t="s">
        <v>376</v>
      </c>
    </row>
    <row r="232" spans="1:3" x14ac:dyDescent="0.25">
      <c r="A232" s="211">
        <f t="shared" si="3"/>
        <v>1120277</v>
      </c>
      <c r="B232" s="213" t="s">
        <v>377</v>
      </c>
      <c r="C232" s="213" t="s">
        <v>378</v>
      </c>
    </row>
    <row r="233" spans="1:3" x14ac:dyDescent="0.25">
      <c r="A233" s="211">
        <f t="shared" si="3"/>
        <v>1120278</v>
      </c>
      <c r="B233" s="213" t="s">
        <v>379</v>
      </c>
      <c r="C233" s="213" t="s">
        <v>380</v>
      </c>
    </row>
    <row r="234" spans="1:3" x14ac:dyDescent="0.25">
      <c r="A234" s="211">
        <f t="shared" si="3"/>
        <v>1120280</v>
      </c>
      <c r="B234" s="213" t="s">
        <v>381</v>
      </c>
      <c r="C234" s="213" t="s">
        <v>382</v>
      </c>
    </row>
    <row r="235" spans="1:3" x14ac:dyDescent="0.25">
      <c r="A235" s="211">
        <f t="shared" si="3"/>
        <v>1120281</v>
      </c>
      <c r="B235" s="213" t="s">
        <v>13409</v>
      </c>
      <c r="C235" s="213" t="s">
        <v>13410</v>
      </c>
    </row>
    <row r="236" spans="1:3" x14ac:dyDescent="0.25">
      <c r="A236" s="211">
        <f t="shared" si="3"/>
        <v>1120285</v>
      </c>
      <c r="B236" s="213" t="s">
        <v>383</v>
      </c>
      <c r="C236" s="213" t="s">
        <v>384</v>
      </c>
    </row>
    <row r="237" spans="1:3" x14ac:dyDescent="0.25">
      <c r="A237" s="211" t="str">
        <f t="shared" si="3"/>
        <v/>
      </c>
      <c r="B237" s="213" t="s">
        <v>385</v>
      </c>
      <c r="C237" s="213" t="s">
        <v>386</v>
      </c>
    </row>
    <row r="238" spans="1:3" x14ac:dyDescent="0.25">
      <c r="A238" s="211">
        <f t="shared" si="3"/>
        <v>1120286</v>
      </c>
      <c r="B238" s="213" t="s">
        <v>387</v>
      </c>
      <c r="C238" s="213" t="s">
        <v>388</v>
      </c>
    </row>
    <row r="239" spans="1:3" x14ac:dyDescent="0.25">
      <c r="A239" s="211">
        <f t="shared" si="3"/>
        <v>1120287</v>
      </c>
      <c r="B239" s="213" t="s">
        <v>389</v>
      </c>
      <c r="C239" s="213" t="s">
        <v>390</v>
      </c>
    </row>
    <row r="240" spans="1:3" x14ac:dyDescent="0.25">
      <c r="A240" s="211">
        <f t="shared" si="3"/>
        <v>1120288</v>
      </c>
      <c r="B240" s="213" t="s">
        <v>391</v>
      </c>
      <c r="C240" s="213" t="s">
        <v>392</v>
      </c>
    </row>
    <row r="241" spans="1:3" x14ac:dyDescent="0.25">
      <c r="A241" s="211">
        <f t="shared" si="3"/>
        <v>1120289</v>
      </c>
      <c r="B241" s="213" t="s">
        <v>393</v>
      </c>
      <c r="C241" s="213" t="s">
        <v>394</v>
      </c>
    </row>
    <row r="242" spans="1:3" x14ac:dyDescent="0.25">
      <c r="A242" s="211">
        <f t="shared" si="3"/>
        <v>1120290</v>
      </c>
      <c r="B242" s="213" t="s">
        <v>395</v>
      </c>
      <c r="C242" s="213" t="s">
        <v>396</v>
      </c>
    </row>
    <row r="243" spans="1:3" x14ac:dyDescent="0.25">
      <c r="A243" s="211">
        <f t="shared" si="3"/>
        <v>1120291</v>
      </c>
      <c r="B243" s="213" t="s">
        <v>397</v>
      </c>
      <c r="C243" s="213" t="s">
        <v>398</v>
      </c>
    </row>
    <row r="244" spans="1:3" x14ac:dyDescent="0.25">
      <c r="A244" s="211">
        <f t="shared" si="3"/>
        <v>1120292</v>
      </c>
      <c r="B244" s="213" t="s">
        <v>399</v>
      </c>
      <c r="C244" s="213" t="s">
        <v>400</v>
      </c>
    </row>
    <row r="245" spans="1:3" x14ac:dyDescent="0.25">
      <c r="A245" s="211">
        <f t="shared" si="3"/>
        <v>1120293</v>
      </c>
      <c r="B245" s="213" t="s">
        <v>401</v>
      </c>
      <c r="C245" s="213" t="s">
        <v>402</v>
      </c>
    </row>
    <row r="246" spans="1:3" x14ac:dyDescent="0.25">
      <c r="A246" s="211">
        <f t="shared" si="3"/>
        <v>1120294</v>
      </c>
      <c r="B246" s="213" t="s">
        <v>13289</v>
      </c>
      <c r="C246" s="213" t="s">
        <v>13290</v>
      </c>
    </row>
    <row r="247" spans="1:3" x14ac:dyDescent="0.25">
      <c r="A247" s="211">
        <f t="shared" si="3"/>
        <v>1120299</v>
      </c>
      <c r="B247" s="213" t="s">
        <v>403</v>
      </c>
      <c r="C247" s="213" t="s">
        <v>404</v>
      </c>
    </row>
    <row r="248" spans="1:3" x14ac:dyDescent="0.25">
      <c r="A248" s="211">
        <f t="shared" si="3"/>
        <v>1120300</v>
      </c>
      <c r="B248" s="213" t="s">
        <v>405</v>
      </c>
      <c r="C248" s="213" t="s">
        <v>406</v>
      </c>
    </row>
    <row r="249" spans="1:3" x14ac:dyDescent="0.25">
      <c r="A249" s="211" t="str">
        <f t="shared" si="3"/>
        <v/>
      </c>
      <c r="B249" s="213" t="s">
        <v>13685</v>
      </c>
      <c r="C249" s="212"/>
    </row>
    <row r="250" spans="1:3" x14ac:dyDescent="0.25">
      <c r="A250" s="211">
        <f t="shared" si="3"/>
        <v>1120301</v>
      </c>
      <c r="B250" s="213" t="s">
        <v>407</v>
      </c>
      <c r="C250" s="213" t="s">
        <v>408</v>
      </c>
    </row>
    <row r="251" spans="1:3" x14ac:dyDescent="0.25">
      <c r="A251" s="211" t="str">
        <f t="shared" si="3"/>
        <v/>
      </c>
      <c r="B251" s="213" t="s">
        <v>13686</v>
      </c>
      <c r="C251" s="212"/>
    </row>
    <row r="252" spans="1:3" x14ac:dyDescent="0.25">
      <c r="A252" s="211">
        <f t="shared" si="3"/>
        <v>1120302</v>
      </c>
      <c r="B252" s="213" t="s">
        <v>409</v>
      </c>
      <c r="C252" s="213" t="s">
        <v>410</v>
      </c>
    </row>
    <row r="253" spans="1:3" x14ac:dyDescent="0.25">
      <c r="A253" s="211" t="str">
        <f t="shared" si="3"/>
        <v/>
      </c>
      <c r="B253" s="213" t="s">
        <v>13687</v>
      </c>
      <c r="C253" s="212"/>
    </row>
    <row r="254" spans="1:3" x14ac:dyDescent="0.25">
      <c r="A254" s="211">
        <f t="shared" si="3"/>
        <v>1120303</v>
      </c>
      <c r="B254" s="213" t="s">
        <v>411</v>
      </c>
      <c r="C254" s="213" t="s">
        <v>412</v>
      </c>
    </row>
    <row r="255" spans="1:3" x14ac:dyDescent="0.25">
      <c r="A255" s="211">
        <f t="shared" si="3"/>
        <v>1120305</v>
      </c>
      <c r="B255" s="213" t="s">
        <v>413</v>
      </c>
      <c r="C255" s="213" t="s">
        <v>7422</v>
      </c>
    </row>
    <row r="256" spans="1:3" x14ac:dyDescent="0.25">
      <c r="A256" s="211">
        <f t="shared" si="3"/>
        <v>1120306</v>
      </c>
      <c r="B256" s="213" t="s">
        <v>414</v>
      </c>
      <c r="C256" s="213" t="s">
        <v>7423</v>
      </c>
    </row>
    <row r="257" spans="1:3" x14ac:dyDescent="0.25">
      <c r="A257" s="211">
        <f t="shared" si="3"/>
        <v>1120307</v>
      </c>
      <c r="B257" s="213" t="s">
        <v>415</v>
      </c>
      <c r="C257" s="213" t="s">
        <v>7424</v>
      </c>
    </row>
    <row r="258" spans="1:3" x14ac:dyDescent="0.25">
      <c r="A258" s="211">
        <f t="shared" ref="A258:A321" si="4">IFERROR(B258*1,"")</f>
        <v>1120310</v>
      </c>
      <c r="B258" s="213" t="s">
        <v>416</v>
      </c>
      <c r="C258" s="213" t="s">
        <v>417</v>
      </c>
    </row>
    <row r="259" spans="1:3" x14ac:dyDescent="0.25">
      <c r="A259" s="211" t="str">
        <f t="shared" si="4"/>
        <v/>
      </c>
      <c r="B259" s="213" t="s">
        <v>13688</v>
      </c>
      <c r="C259" s="212"/>
    </row>
    <row r="260" spans="1:3" x14ac:dyDescent="0.25">
      <c r="A260" s="211">
        <f t="shared" si="4"/>
        <v>1120311</v>
      </c>
      <c r="B260" s="213" t="s">
        <v>418</v>
      </c>
      <c r="C260" s="213" t="s">
        <v>419</v>
      </c>
    </row>
    <row r="261" spans="1:3" x14ac:dyDescent="0.25">
      <c r="A261" s="211" t="str">
        <f t="shared" si="4"/>
        <v/>
      </c>
      <c r="B261" s="213" t="s">
        <v>13689</v>
      </c>
      <c r="C261" s="212"/>
    </row>
    <row r="262" spans="1:3" x14ac:dyDescent="0.25">
      <c r="A262" s="211">
        <f t="shared" si="4"/>
        <v>1120312</v>
      </c>
      <c r="B262" s="213" t="s">
        <v>420</v>
      </c>
      <c r="C262" s="213" t="s">
        <v>190</v>
      </c>
    </row>
    <row r="263" spans="1:3" x14ac:dyDescent="0.25">
      <c r="A263" s="211" t="str">
        <f t="shared" si="4"/>
        <v/>
      </c>
      <c r="B263" s="213" t="s">
        <v>13690</v>
      </c>
      <c r="C263" s="212"/>
    </row>
    <row r="264" spans="1:3" x14ac:dyDescent="0.25">
      <c r="A264" s="211">
        <f t="shared" si="4"/>
        <v>1120313</v>
      </c>
      <c r="B264" s="213" t="s">
        <v>421</v>
      </c>
      <c r="C264" s="213" t="s">
        <v>422</v>
      </c>
    </row>
    <row r="265" spans="1:3" x14ac:dyDescent="0.25">
      <c r="A265" s="211">
        <f t="shared" si="4"/>
        <v>1120315</v>
      </c>
      <c r="B265" s="213" t="s">
        <v>423</v>
      </c>
      <c r="C265" s="213" t="s">
        <v>424</v>
      </c>
    </row>
    <row r="266" spans="1:3" x14ac:dyDescent="0.25">
      <c r="A266" s="211">
        <f t="shared" si="4"/>
        <v>1120316</v>
      </c>
      <c r="B266" s="213" t="s">
        <v>425</v>
      </c>
      <c r="C266" s="213" t="s">
        <v>426</v>
      </c>
    </row>
    <row r="267" spans="1:3" x14ac:dyDescent="0.25">
      <c r="A267" s="211">
        <f t="shared" si="4"/>
        <v>1120317</v>
      </c>
      <c r="B267" s="213" t="s">
        <v>427</v>
      </c>
      <c r="C267" s="213" t="s">
        <v>428</v>
      </c>
    </row>
    <row r="268" spans="1:3" x14ac:dyDescent="0.25">
      <c r="A268" s="211">
        <f t="shared" si="4"/>
        <v>1120318</v>
      </c>
      <c r="B268" s="213" t="s">
        <v>429</v>
      </c>
      <c r="C268" s="213" t="s">
        <v>430</v>
      </c>
    </row>
    <row r="269" spans="1:3" x14ac:dyDescent="0.25">
      <c r="A269" s="211">
        <f t="shared" si="4"/>
        <v>1120319</v>
      </c>
      <c r="B269" s="213" t="s">
        <v>431</v>
      </c>
      <c r="C269" s="213" t="s">
        <v>432</v>
      </c>
    </row>
    <row r="270" spans="1:3" x14ac:dyDescent="0.25">
      <c r="A270" s="211">
        <f t="shared" si="4"/>
        <v>1120320</v>
      </c>
      <c r="B270" s="213" t="s">
        <v>433</v>
      </c>
      <c r="C270" s="213" t="s">
        <v>434</v>
      </c>
    </row>
    <row r="271" spans="1:3" x14ac:dyDescent="0.25">
      <c r="A271" s="211">
        <f t="shared" si="4"/>
        <v>1120321</v>
      </c>
      <c r="B271" s="213" t="s">
        <v>435</v>
      </c>
      <c r="C271" s="213" t="s">
        <v>436</v>
      </c>
    </row>
    <row r="272" spans="1:3" x14ac:dyDescent="0.25">
      <c r="A272" s="211">
        <f t="shared" si="4"/>
        <v>1120322</v>
      </c>
      <c r="B272" s="213" t="s">
        <v>437</v>
      </c>
      <c r="C272" s="213" t="s">
        <v>438</v>
      </c>
    </row>
    <row r="273" spans="1:3" x14ac:dyDescent="0.25">
      <c r="A273" s="211">
        <f t="shared" si="4"/>
        <v>1120323</v>
      </c>
      <c r="B273" s="213" t="s">
        <v>439</v>
      </c>
      <c r="C273" s="213" t="s">
        <v>440</v>
      </c>
    </row>
    <row r="274" spans="1:3" x14ac:dyDescent="0.25">
      <c r="A274" s="211">
        <f t="shared" si="4"/>
        <v>1120324</v>
      </c>
      <c r="B274" s="213" t="s">
        <v>441</v>
      </c>
      <c r="C274" s="213" t="s">
        <v>442</v>
      </c>
    </row>
    <row r="275" spans="1:3" x14ac:dyDescent="0.25">
      <c r="A275" s="211">
        <f t="shared" si="4"/>
        <v>1120325</v>
      </c>
      <c r="B275" s="213" t="s">
        <v>443</v>
      </c>
      <c r="C275" s="213" t="s">
        <v>444</v>
      </c>
    </row>
    <row r="276" spans="1:3" x14ac:dyDescent="0.25">
      <c r="A276" s="211">
        <f t="shared" si="4"/>
        <v>1120326</v>
      </c>
      <c r="B276" s="213" t="s">
        <v>445</v>
      </c>
      <c r="C276" s="213" t="s">
        <v>446</v>
      </c>
    </row>
    <row r="277" spans="1:3" x14ac:dyDescent="0.25">
      <c r="A277" s="211">
        <f t="shared" si="4"/>
        <v>1120327</v>
      </c>
      <c r="B277" s="213" t="s">
        <v>447</v>
      </c>
      <c r="C277" s="213" t="s">
        <v>448</v>
      </c>
    </row>
    <row r="278" spans="1:3" x14ac:dyDescent="0.25">
      <c r="A278" s="211">
        <f t="shared" si="4"/>
        <v>1120330</v>
      </c>
      <c r="B278" s="213" t="s">
        <v>449</v>
      </c>
      <c r="C278" s="213" t="s">
        <v>450</v>
      </c>
    </row>
    <row r="279" spans="1:3" x14ac:dyDescent="0.25">
      <c r="A279" s="211" t="str">
        <f t="shared" si="4"/>
        <v/>
      </c>
      <c r="B279" s="213" t="s">
        <v>13691</v>
      </c>
      <c r="C279" s="212"/>
    </row>
    <row r="280" spans="1:3" x14ac:dyDescent="0.25">
      <c r="A280" s="211">
        <f t="shared" si="4"/>
        <v>1120331</v>
      </c>
      <c r="B280" s="213" t="s">
        <v>451</v>
      </c>
      <c r="C280" s="213" t="s">
        <v>452</v>
      </c>
    </row>
    <row r="281" spans="1:3" x14ac:dyDescent="0.25">
      <c r="A281" s="211" t="str">
        <f t="shared" si="4"/>
        <v/>
      </c>
      <c r="B281" s="213" t="s">
        <v>13692</v>
      </c>
      <c r="C281" s="212"/>
    </row>
    <row r="282" spans="1:3" x14ac:dyDescent="0.25">
      <c r="A282" s="211">
        <f t="shared" si="4"/>
        <v>1120332</v>
      </c>
      <c r="B282" s="213" t="s">
        <v>453</v>
      </c>
      <c r="C282" s="213" t="s">
        <v>454</v>
      </c>
    </row>
    <row r="283" spans="1:3" x14ac:dyDescent="0.25">
      <c r="A283" s="211" t="str">
        <f t="shared" si="4"/>
        <v/>
      </c>
      <c r="B283" s="213" t="s">
        <v>13693</v>
      </c>
      <c r="C283" s="212"/>
    </row>
    <row r="284" spans="1:3" x14ac:dyDescent="0.25">
      <c r="A284" s="211">
        <f t="shared" si="4"/>
        <v>1120333</v>
      </c>
      <c r="B284" s="213" t="s">
        <v>455</v>
      </c>
      <c r="C284" s="213" t="s">
        <v>456</v>
      </c>
    </row>
    <row r="285" spans="1:3" x14ac:dyDescent="0.25">
      <c r="A285" s="211">
        <f t="shared" si="4"/>
        <v>1120334</v>
      </c>
      <c r="B285" s="213" t="s">
        <v>457</v>
      </c>
      <c r="C285" s="213" t="s">
        <v>458</v>
      </c>
    </row>
    <row r="286" spans="1:3" x14ac:dyDescent="0.25">
      <c r="A286" s="211">
        <f t="shared" si="4"/>
        <v>1120335</v>
      </c>
      <c r="B286" s="213" t="s">
        <v>459</v>
      </c>
      <c r="C286" s="213" t="s">
        <v>460</v>
      </c>
    </row>
    <row r="287" spans="1:3" x14ac:dyDescent="0.25">
      <c r="A287" s="211">
        <f t="shared" si="4"/>
        <v>1120336</v>
      </c>
      <c r="B287" s="213" t="s">
        <v>461</v>
      </c>
      <c r="C287" s="213" t="s">
        <v>462</v>
      </c>
    </row>
    <row r="288" spans="1:3" x14ac:dyDescent="0.25">
      <c r="A288" s="211">
        <f t="shared" si="4"/>
        <v>1120350</v>
      </c>
      <c r="B288" s="213" t="s">
        <v>463</v>
      </c>
      <c r="C288" s="213" t="s">
        <v>464</v>
      </c>
    </row>
    <row r="289" spans="1:3" x14ac:dyDescent="0.25">
      <c r="A289" s="211">
        <f t="shared" si="4"/>
        <v>1120351</v>
      </c>
      <c r="B289" s="213" t="s">
        <v>465</v>
      </c>
      <c r="C289" s="213" t="s">
        <v>466</v>
      </c>
    </row>
    <row r="290" spans="1:3" x14ac:dyDescent="0.25">
      <c r="A290" s="211">
        <f t="shared" si="4"/>
        <v>1120352</v>
      </c>
      <c r="B290" s="213" t="s">
        <v>467</v>
      </c>
      <c r="C290" s="213" t="s">
        <v>468</v>
      </c>
    </row>
    <row r="291" spans="1:3" x14ac:dyDescent="0.25">
      <c r="A291" s="211">
        <f t="shared" si="4"/>
        <v>1120353</v>
      </c>
      <c r="B291" s="213" t="s">
        <v>469</v>
      </c>
      <c r="C291" s="213" t="s">
        <v>470</v>
      </c>
    </row>
    <row r="292" spans="1:3" x14ac:dyDescent="0.25">
      <c r="A292" s="211">
        <f t="shared" si="4"/>
        <v>1120354</v>
      </c>
      <c r="B292" s="213" t="s">
        <v>471</v>
      </c>
      <c r="C292" s="213" t="s">
        <v>472</v>
      </c>
    </row>
    <row r="293" spans="1:3" x14ac:dyDescent="0.25">
      <c r="A293" s="211">
        <f t="shared" si="4"/>
        <v>1120355</v>
      </c>
      <c r="B293" s="213" t="s">
        <v>473</v>
      </c>
      <c r="C293" s="213" t="s">
        <v>474</v>
      </c>
    </row>
    <row r="294" spans="1:3" x14ac:dyDescent="0.25">
      <c r="A294" s="211">
        <f t="shared" si="4"/>
        <v>1120367</v>
      </c>
      <c r="B294" s="213" t="s">
        <v>475</v>
      </c>
      <c r="C294" s="213" t="s">
        <v>476</v>
      </c>
    </row>
    <row r="295" spans="1:3" x14ac:dyDescent="0.25">
      <c r="A295" s="211">
        <f t="shared" si="4"/>
        <v>1120368</v>
      </c>
      <c r="B295" s="213" t="s">
        <v>477</v>
      </c>
      <c r="C295" s="213" t="s">
        <v>478</v>
      </c>
    </row>
    <row r="296" spans="1:3" x14ac:dyDescent="0.25">
      <c r="A296" s="211">
        <f t="shared" si="4"/>
        <v>1120369</v>
      </c>
      <c r="B296" s="213" t="s">
        <v>479</v>
      </c>
      <c r="C296" s="213" t="s">
        <v>480</v>
      </c>
    </row>
    <row r="297" spans="1:3" x14ac:dyDescent="0.25">
      <c r="A297" s="211">
        <f t="shared" si="4"/>
        <v>1120400</v>
      </c>
      <c r="B297" s="213" t="s">
        <v>481</v>
      </c>
      <c r="C297" s="213" t="s">
        <v>482</v>
      </c>
    </row>
    <row r="298" spans="1:3" x14ac:dyDescent="0.25">
      <c r="A298" s="211" t="str">
        <f t="shared" si="4"/>
        <v/>
      </c>
      <c r="B298" s="213" t="s">
        <v>13694</v>
      </c>
      <c r="C298" s="212"/>
    </row>
    <row r="299" spans="1:3" x14ac:dyDescent="0.25">
      <c r="A299" s="211">
        <f t="shared" si="4"/>
        <v>1120401</v>
      </c>
      <c r="B299" s="213" t="s">
        <v>483</v>
      </c>
      <c r="C299" s="213" t="s">
        <v>484</v>
      </c>
    </row>
    <row r="300" spans="1:3" x14ac:dyDescent="0.25">
      <c r="A300" s="211" t="str">
        <f t="shared" si="4"/>
        <v/>
      </c>
      <c r="B300" s="213" t="s">
        <v>13695</v>
      </c>
      <c r="C300" s="212"/>
    </row>
    <row r="301" spans="1:3" x14ac:dyDescent="0.25">
      <c r="A301" s="211">
        <f t="shared" si="4"/>
        <v>1120402</v>
      </c>
      <c r="B301" s="213" t="s">
        <v>485</v>
      </c>
      <c r="C301" s="213" t="s">
        <v>486</v>
      </c>
    </row>
    <row r="302" spans="1:3" x14ac:dyDescent="0.25">
      <c r="A302" s="211" t="str">
        <f t="shared" si="4"/>
        <v/>
      </c>
      <c r="B302" s="213" t="s">
        <v>13696</v>
      </c>
      <c r="C302" s="212"/>
    </row>
    <row r="303" spans="1:3" x14ac:dyDescent="0.25">
      <c r="A303" s="211">
        <f t="shared" si="4"/>
        <v>1120414</v>
      </c>
      <c r="B303" s="213" t="s">
        <v>487</v>
      </c>
      <c r="C303" s="213" t="s">
        <v>488</v>
      </c>
    </row>
    <row r="304" spans="1:3" x14ac:dyDescent="0.25">
      <c r="A304" s="211">
        <f t="shared" si="4"/>
        <v>1120415</v>
      </c>
      <c r="B304" s="213" t="s">
        <v>489</v>
      </c>
      <c r="C304" s="213" t="s">
        <v>490</v>
      </c>
    </row>
    <row r="305" spans="1:3" x14ac:dyDescent="0.25">
      <c r="A305" s="211">
        <f t="shared" si="4"/>
        <v>1120416</v>
      </c>
      <c r="B305" s="213" t="s">
        <v>491</v>
      </c>
      <c r="C305" s="213" t="s">
        <v>492</v>
      </c>
    </row>
    <row r="306" spans="1:3" x14ac:dyDescent="0.25">
      <c r="A306" s="211">
        <f t="shared" si="4"/>
        <v>1120417</v>
      </c>
      <c r="B306" s="213" t="s">
        <v>493</v>
      </c>
      <c r="C306" s="213" t="s">
        <v>494</v>
      </c>
    </row>
    <row r="307" spans="1:3" x14ac:dyDescent="0.25">
      <c r="A307" s="211" t="str">
        <f t="shared" si="4"/>
        <v/>
      </c>
      <c r="B307" s="213" t="s">
        <v>13697</v>
      </c>
      <c r="C307" s="212"/>
    </row>
    <row r="308" spans="1:3" x14ac:dyDescent="0.25">
      <c r="A308" s="211">
        <f t="shared" si="4"/>
        <v>1120428</v>
      </c>
      <c r="B308" s="213" t="s">
        <v>495</v>
      </c>
      <c r="C308" s="213" t="s">
        <v>496</v>
      </c>
    </row>
    <row r="309" spans="1:3" x14ac:dyDescent="0.25">
      <c r="A309" s="211">
        <f t="shared" si="4"/>
        <v>1120429</v>
      </c>
      <c r="B309" s="213" t="s">
        <v>497</v>
      </c>
      <c r="C309" s="213" t="s">
        <v>498</v>
      </c>
    </row>
    <row r="310" spans="1:3" x14ac:dyDescent="0.25">
      <c r="A310" s="211">
        <f t="shared" si="4"/>
        <v>1120430</v>
      </c>
      <c r="B310" s="213" t="s">
        <v>499</v>
      </c>
      <c r="C310" s="213" t="s">
        <v>500</v>
      </c>
    </row>
    <row r="311" spans="1:3" x14ac:dyDescent="0.25">
      <c r="A311" s="211">
        <f t="shared" si="4"/>
        <v>1120431</v>
      </c>
      <c r="B311" s="213" t="s">
        <v>501</v>
      </c>
      <c r="C311" s="213" t="s">
        <v>502</v>
      </c>
    </row>
    <row r="312" spans="1:3" x14ac:dyDescent="0.25">
      <c r="A312" s="211">
        <f t="shared" si="4"/>
        <v>1120433</v>
      </c>
      <c r="B312" s="213" t="s">
        <v>503</v>
      </c>
      <c r="C312" s="213" t="s">
        <v>504</v>
      </c>
    </row>
    <row r="313" spans="1:3" x14ac:dyDescent="0.25">
      <c r="A313" s="211">
        <f t="shared" si="4"/>
        <v>1120434</v>
      </c>
      <c r="B313" s="213" t="s">
        <v>505</v>
      </c>
      <c r="C313" s="213" t="s">
        <v>506</v>
      </c>
    </row>
    <row r="314" spans="1:3" x14ac:dyDescent="0.25">
      <c r="A314" s="211">
        <f t="shared" si="4"/>
        <v>1120442</v>
      </c>
      <c r="B314" s="213" t="s">
        <v>507</v>
      </c>
      <c r="C314" s="213" t="s">
        <v>508</v>
      </c>
    </row>
    <row r="315" spans="1:3" x14ac:dyDescent="0.25">
      <c r="A315" s="211" t="str">
        <f t="shared" si="4"/>
        <v/>
      </c>
      <c r="B315" s="213" t="s">
        <v>13698</v>
      </c>
      <c r="C315" s="212"/>
    </row>
    <row r="316" spans="1:3" x14ac:dyDescent="0.25">
      <c r="A316" s="211">
        <f t="shared" si="4"/>
        <v>1120443</v>
      </c>
      <c r="B316" s="213" t="s">
        <v>509</v>
      </c>
      <c r="C316" s="213" t="s">
        <v>510</v>
      </c>
    </row>
    <row r="317" spans="1:3" x14ac:dyDescent="0.25">
      <c r="A317" s="211" t="str">
        <f t="shared" si="4"/>
        <v/>
      </c>
      <c r="B317" s="213" t="s">
        <v>13699</v>
      </c>
      <c r="C317" s="212"/>
    </row>
    <row r="318" spans="1:3" x14ac:dyDescent="0.25">
      <c r="A318" s="211">
        <f t="shared" si="4"/>
        <v>1120444</v>
      </c>
      <c r="B318" s="213" t="s">
        <v>511</v>
      </c>
      <c r="C318" s="213" t="s">
        <v>512</v>
      </c>
    </row>
    <row r="319" spans="1:3" x14ac:dyDescent="0.25">
      <c r="A319" s="211" t="str">
        <f t="shared" si="4"/>
        <v/>
      </c>
      <c r="B319" s="213" t="s">
        <v>13700</v>
      </c>
      <c r="C319" s="212"/>
    </row>
    <row r="320" spans="1:3" x14ac:dyDescent="0.25">
      <c r="A320" s="211">
        <f t="shared" si="4"/>
        <v>1120445</v>
      </c>
      <c r="B320" s="213" t="s">
        <v>513</v>
      </c>
      <c r="C320" s="213" t="s">
        <v>514</v>
      </c>
    </row>
    <row r="321" spans="1:3" x14ac:dyDescent="0.25">
      <c r="A321" s="211">
        <f t="shared" si="4"/>
        <v>1120446</v>
      </c>
      <c r="B321" s="213" t="s">
        <v>515</v>
      </c>
      <c r="C321" s="213" t="s">
        <v>516</v>
      </c>
    </row>
    <row r="322" spans="1:3" x14ac:dyDescent="0.25">
      <c r="A322" s="211">
        <f t="shared" ref="A322:A385" si="5">IFERROR(B322*1,"")</f>
        <v>1120447</v>
      </c>
      <c r="B322" s="213" t="s">
        <v>517</v>
      </c>
      <c r="C322" s="213" t="s">
        <v>518</v>
      </c>
    </row>
    <row r="323" spans="1:3" x14ac:dyDescent="0.25">
      <c r="A323" s="211">
        <f t="shared" si="5"/>
        <v>1120448</v>
      </c>
      <c r="B323" s="213" t="s">
        <v>519</v>
      </c>
      <c r="C323" s="213" t="s">
        <v>520</v>
      </c>
    </row>
    <row r="324" spans="1:3" x14ac:dyDescent="0.25">
      <c r="A324" s="211">
        <f t="shared" si="5"/>
        <v>1120449</v>
      </c>
      <c r="B324" s="213" t="s">
        <v>521</v>
      </c>
      <c r="C324" s="213" t="s">
        <v>522</v>
      </c>
    </row>
    <row r="325" spans="1:3" x14ac:dyDescent="0.25">
      <c r="A325" s="211">
        <f t="shared" si="5"/>
        <v>1120450</v>
      </c>
      <c r="B325" s="213" t="s">
        <v>523</v>
      </c>
      <c r="C325" s="213" t="s">
        <v>524</v>
      </c>
    </row>
    <row r="326" spans="1:3" x14ac:dyDescent="0.25">
      <c r="A326" s="211">
        <f t="shared" si="5"/>
        <v>1120451</v>
      </c>
      <c r="B326" s="213" t="s">
        <v>525</v>
      </c>
      <c r="C326" s="213" t="s">
        <v>526</v>
      </c>
    </row>
    <row r="327" spans="1:3" x14ac:dyDescent="0.25">
      <c r="A327" s="211">
        <f t="shared" si="5"/>
        <v>1120452</v>
      </c>
      <c r="B327" s="213" t="s">
        <v>527</v>
      </c>
      <c r="C327" s="213" t="s">
        <v>528</v>
      </c>
    </row>
    <row r="328" spans="1:3" x14ac:dyDescent="0.25">
      <c r="A328" s="211">
        <f t="shared" si="5"/>
        <v>1120453</v>
      </c>
      <c r="B328" s="213" t="s">
        <v>529</v>
      </c>
      <c r="C328" s="213" t="s">
        <v>530</v>
      </c>
    </row>
    <row r="329" spans="1:3" x14ac:dyDescent="0.25">
      <c r="A329" s="211">
        <f t="shared" si="5"/>
        <v>1120454</v>
      </c>
      <c r="B329" s="213" t="s">
        <v>531</v>
      </c>
      <c r="C329" s="213" t="s">
        <v>532</v>
      </c>
    </row>
    <row r="330" spans="1:3" x14ac:dyDescent="0.25">
      <c r="A330" s="211">
        <f t="shared" si="5"/>
        <v>1120455</v>
      </c>
      <c r="B330" s="213" t="s">
        <v>533</v>
      </c>
      <c r="C330" s="213" t="s">
        <v>534</v>
      </c>
    </row>
    <row r="331" spans="1:3" x14ac:dyDescent="0.25">
      <c r="A331" s="211">
        <f t="shared" si="5"/>
        <v>1120457</v>
      </c>
      <c r="B331" s="213" t="s">
        <v>535</v>
      </c>
      <c r="C331" s="213" t="s">
        <v>536</v>
      </c>
    </row>
    <row r="332" spans="1:3" x14ac:dyDescent="0.25">
      <c r="A332" s="211">
        <f t="shared" si="5"/>
        <v>1120458</v>
      </c>
      <c r="B332" s="213" t="s">
        <v>537</v>
      </c>
      <c r="C332" s="213" t="s">
        <v>538</v>
      </c>
    </row>
    <row r="333" spans="1:3" x14ac:dyDescent="0.25">
      <c r="A333" s="211">
        <f t="shared" si="5"/>
        <v>1120459</v>
      </c>
      <c r="B333" s="213" t="s">
        <v>539</v>
      </c>
      <c r="C333" s="213" t="s">
        <v>540</v>
      </c>
    </row>
    <row r="334" spans="1:3" x14ac:dyDescent="0.25">
      <c r="A334" s="211">
        <f t="shared" si="5"/>
        <v>1120460</v>
      </c>
      <c r="B334" s="213" t="s">
        <v>541</v>
      </c>
      <c r="C334" s="213" t="s">
        <v>542</v>
      </c>
    </row>
    <row r="335" spans="1:3" x14ac:dyDescent="0.25">
      <c r="A335" s="211">
        <f t="shared" si="5"/>
        <v>1120462</v>
      </c>
      <c r="B335" s="213" t="s">
        <v>543</v>
      </c>
      <c r="C335" s="213" t="s">
        <v>544</v>
      </c>
    </row>
    <row r="336" spans="1:3" x14ac:dyDescent="0.25">
      <c r="A336" s="211">
        <f t="shared" si="5"/>
        <v>1120463</v>
      </c>
      <c r="B336" s="213" t="s">
        <v>545</v>
      </c>
      <c r="C336" s="213" t="s">
        <v>546</v>
      </c>
    </row>
    <row r="337" spans="1:3" x14ac:dyDescent="0.25">
      <c r="A337" s="211">
        <f t="shared" si="5"/>
        <v>1120464</v>
      </c>
      <c r="B337" s="213" t="s">
        <v>547</v>
      </c>
      <c r="C337" s="213" t="s">
        <v>548</v>
      </c>
    </row>
    <row r="338" spans="1:3" x14ac:dyDescent="0.25">
      <c r="A338" s="211">
        <f t="shared" si="5"/>
        <v>1120470</v>
      </c>
      <c r="B338" s="213" t="s">
        <v>549</v>
      </c>
      <c r="C338" s="213" t="s">
        <v>550</v>
      </c>
    </row>
    <row r="339" spans="1:3" x14ac:dyDescent="0.25">
      <c r="A339" s="211">
        <f t="shared" si="5"/>
        <v>1120471</v>
      </c>
      <c r="B339" s="213" t="s">
        <v>551</v>
      </c>
      <c r="C339" s="213" t="s">
        <v>552</v>
      </c>
    </row>
    <row r="340" spans="1:3" x14ac:dyDescent="0.25">
      <c r="A340" s="211">
        <f t="shared" si="5"/>
        <v>1120472</v>
      </c>
      <c r="B340" s="213" t="s">
        <v>553</v>
      </c>
      <c r="C340" s="213" t="s">
        <v>554</v>
      </c>
    </row>
    <row r="341" spans="1:3" x14ac:dyDescent="0.25">
      <c r="A341" s="211">
        <f t="shared" si="5"/>
        <v>1120473</v>
      </c>
      <c r="B341" s="213" t="s">
        <v>555</v>
      </c>
      <c r="C341" s="213" t="s">
        <v>556</v>
      </c>
    </row>
    <row r="342" spans="1:3" x14ac:dyDescent="0.25">
      <c r="A342" s="211">
        <f t="shared" si="5"/>
        <v>1120474</v>
      </c>
      <c r="B342" s="213" t="s">
        <v>557</v>
      </c>
      <c r="C342" s="213" t="s">
        <v>558</v>
      </c>
    </row>
    <row r="343" spans="1:3" x14ac:dyDescent="0.25">
      <c r="A343" s="211">
        <f t="shared" si="5"/>
        <v>1120475</v>
      </c>
      <c r="B343" s="213" t="s">
        <v>559</v>
      </c>
      <c r="C343" s="213" t="s">
        <v>560</v>
      </c>
    </row>
    <row r="344" spans="1:3" x14ac:dyDescent="0.25">
      <c r="A344" s="211">
        <f t="shared" si="5"/>
        <v>1120478</v>
      </c>
      <c r="B344" s="213" t="s">
        <v>561</v>
      </c>
      <c r="C344" s="213" t="s">
        <v>562</v>
      </c>
    </row>
    <row r="345" spans="1:3" x14ac:dyDescent="0.25">
      <c r="A345" s="211">
        <f t="shared" si="5"/>
        <v>1120479</v>
      </c>
      <c r="B345" s="213" t="s">
        <v>563</v>
      </c>
      <c r="C345" s="213" t="s">
        <v>564</v>
      </c>
    </row>
    <row r="346" spans="1:3" x14ac:dyDescent="0.25">
      <c r="A346" s="211">
        <f t="shared" si="5"/>
        <v>1120480</v>
      </c>
      <c r="B346" s="213" t="s">
        <v>565</v>
      </c>
      <c r="C346" s="213" t="s">
        <v>566</v>
      </c>
    </row>
    <row r="347" spans="1:3" x14ac:dyDescent="0.25">
      <c r="A347" s="211">
        <f t="shared" si="5"/>
        <v>1120485</v>
      </c>
      <c r="B347" s="213" t="s">
        <v>567</v>
      </c>
      <c r="C347" s="213" t="s">
        <v>568</v>
      </c>
    </row>
    <row r="348" spans="1:3" x14ac:dyDescent="0.25">
      <c r="A348" s="211">
        <f t="shared" si="5"/>
        <v>1120486</v>
      </c>
      <c r="B348" s="213" t="s">
        <v>569</v>
      </c>
      <c r="C348" s="213" t="s">
        <v>570</v>
      </c>
    </row>
    <row r="349" spans="1:3" x14ac:dyDescent="0.25">
      <c r="A349" s="211">
        <f t="shared" si="5"/>
        <v>1120490</v>
      </c>
      <c r="B349" s="213" t="s">
        <v>13701</v>
      </c>
      <c r="C349" s="213" t="s">
        <v>13702</v>
      </c>
    </row>
    <row r="350" spans="1:3" x14ac:dyDescent="0.25">
      <c r="A350" s="211">
        <f t="shared" si="5"/>
        <v>1120491</v>
      </c>
      <c r="B350" s="213" t="s">
        <v>13703</v>
      </c>
      <c r="C350" s="213" t="s">
        <v>13704</v>
      </c>
    </row>
    <row r="351" spans="1:3" x14ac:dyDescent="0.25">
      <c r="A351" s="211">
        <f t="shared" si="5"/>
        <v>1120492</v>
      </c>
      <c r="B351" s="213" t="s">
        <v>13705</v>
      </c>
      <c r="C351" s="213" t="s">
        <v>13706</v>
      </c>
    </row>
    <row r="352" spans="1:3" x14ac:dyDescent="0.25">
      <c r="A352" s="211">
        <f t="shared" si="5"/>
        <v>1120495</v>
      </c>
      <c r="B352" s="213" t="s">
        <v>572</v>
      </c>
      <c r="C352" s="213" t="s">
        <v>573</v>
      </c>
    </row>
    <row r="353" spans="1:3" x14ac:dyDescent="0.25">
      <c r="A353" s="211">
        <f t="shared" si="5"/>
        <v>1120496</v>
      </c>
      <c r="B353" s="213" t="s">
        <v>574</v>
      </c>
      <c r="C353" s="213" t="s">
        <v>575</v>
      </c>
    </row>
    <row r="354" spans="1:3" x14ac:dyDescent="0.25">
      <c r="A354" s="211" t="str">
        <f t="shared" si="5"/>
        <v/>
      </c>
      <c r="B354" s="213" t="s">
        <v>13707</v>
      </c>
      <c r="C354" s="212"/>
    </row>
    <row r="355" spans="1:3" x14ac:dyDescent="0.25">
      <c r="A355" s="211">
        <f t="shared" si="5"/>
        <v>1120497</v>
      </c>
      <c r="B355" s="213" t="s">
        <v>576</v>
      </c>
      <c r="C355" s="213" t="s">
        <v>577</v>
      </c>
    </row>
    <row r="356" spans="1:3" x14ac:dyDescent="0.25">
      <c r="A356" s="211" t="str">
        <f t="shared" si="5"/>
        <v/>
      </c>
      <c r="B356" s="213" t="s">
        <v>13708</v>
      </c>
      <c r="C356" s="212"/>
    </row>
    <row r="357" spans="1:3" x14ac:dyDescent="0.25">
      <c r="A357" s="211">
        <f t="shared" si="5"/>
        <v>1120498</v>
      </c>
      <c r="B357" s="213" t="s">
        <v>578</v>
      </c>
      <c r="C357" s="213" t="s">
        <v>579</v>
      </c>
    </row>
    <row r="358" spans="1:3" x14ac:dyDescent="0.25">
      <c r="A358" s="211" t="str">
        <f t="shared" si="5"/>
        <v/>
      </c>
      <c r="B358" s="213" t="s">
        <v>13709</v>
      </c>
      <c r="C358" s="212"/>
    </row>
    <row r="359" spans="1:3" x14ac:dyDescent="0.25">
      <c r="A359" s="211">
        <f t="shared" si="5"/>
        <v>1120499</v>
      </c>
      <c r="B359" s="213" t="s">
        <v>580</v>
      </c>
      <c r="C359" s="213" t="s">
        <v>581</v>
      </c>
    </row>
    <row r="360" spans="1:3" x14ac:dyDescent="0.25">
      <c r="A360" s="211" t="str">
        <f t="shared" si="5"/>
        <v/>
      </c>
      <c r="B360" s="213" t="s">
        <v>13710</v>
      </c>
      <c r="C360" s="212"/>
    </row>
    <row r="361" spans="1:3" x14ac:dyDescent="0.25">
      <c r="A361" s="211">
        <f t="shared" si="5"/>
        <v>1120500</v>
      </c>
      <c r="B361" s="213" t="s">
        <v>582</v>
      </c>
      <c r="C361" s="213" t="s">
        <v>583</v>
      </c>
    </row>
    <row r="362" spans="1:3" x14ac:dyDescent="0.25">
      <c r="A362" s="211">
        <f t="shared" si="5"/>
        <v>1120501</v>
      </c>
      <c r="B362" s="213" t="s">
        <v>584</v>
      </c>
      <c r="C362" s="213" t="s">
        <v>585</v>
      </c>
    </row>
    <row r="363" spans="1:3" x14ac:dyDescent="0.25">
      <c r="A363" s="211">
        <f t="shared" si="5"/>
        <v>1120502</v>
      </c>
      <c r="B363" s="213" t="s">
        <v>586</v>
      </c>
      <c r="C363" s="213" t="s">
        <v>587</v>
      </c>
    </row>
    <row r="364" spans="1:3" x14ac:dyDescent="0.25">
      <c r="A364" s="211">
        <f t="shared" si="5"/>
        <v>1120503</v>
      </c>
      <c r="B364" s="213" t="s">
        <v>588</v>
      </c>
      <c r="C364" s="213" t="s">
        <v>589</v>
      </c>
    </row>
    <row r="365" spans="1:3" x14ac:dyDescent="0.25">
      <c r="A365" s="211">
        <f t="shared" si="5"/>
        <v>1120504</v>
      </c>
      <c r="B365" s="213" t="s">
        <v>590</v>
      </c>
      <c r="C365" s="213" t="s">
        <v>591</v>
      </c>
    </row>
    <row r="366" spans="1:3" x14ac:dyDescent="0.25">
      <c r="A366" s="211">
        <f t="shared" si="5"/>
        <v>1120505</v>
      </c>
      <c r="B366" s="213" t="s">
        <v>592</v>
      </c>
      <c r="C366" s="213" t="s">
        <v>593</v>
      </c>
    </row>
    <row r="367" spans="1:3" x14ac:dyDescent="0.25">
      <c r="A367" s="211">
        <f t="shared" si="5"/>
        <v>1120506</v>
      </c>
      <c r="B367" s="213" t="s">
        <v>594</v>
      </c>
      <c r="C367" s="213" t="s">
        <v>595</v>
      </c>
    </row>
    <row r="368" spans="1:3" x14ac:dyDescent="0.25">
      <c r="A368" s="211">
        <f t="shared" si="5"/>
        <v>1120507</v>
      </c>
      <c r="B368" s="213" t="s">
        <v>13411</v>
      </c>
      <c r="C368" s="213" t="s">
        <v>13412</v>
      </c>
    </row>
    <row r="369" spans="1:3" x14ac:dyDescent="0.25">
      <c r="A369" s="211">
        <f t="shared" si="5"/>
        <v>1120512</v>
      </c>
      <c r="B369" s="213" t="s">
        <v>7425</v>
      </c>
      <c r="C369" s="213" t="s">
        <v>7426</v>
      </c>
    </row>
    <row r="370" spans="1:3" x14ac:dyDescent="0.25">
      <c r="A370" s="211">
        <f t="shared" si="5"/>
        <v>1120513</v>
      </c>
      <c r="B370" s="213" t="s">
        <v>7427</v>
      </c>
      <c r="C370" s="213" t="s">
        <v>7428</v>
      </c>
    </row>
    <row r="371" spans="1:3" x14ac:dyDescent="0.25">
      <c r="A371" s="211">
        <f t="shared" si="5"/>
        <v>1120514</v>
      </c>
      <c r="B371" s="213" t="s">
        <v>7429</v>
      </c>
      <c r="C371" s="213" t="s">
        <v>7430</v>
      </c>
    </row>
    <row r="372" spans="1:3" x14ac:dyDescent="0.25">
      <c r="A372" s="211">
        <f t="shared" si="5"/>
        <v>1120520</v>
      </c>
      <c r="B372" s="213" t="s">
        <v>596</v>
      </c>
      <c r="C372" s="213" t="s">
        <v>597</v>
      </c>
    </row>
    <row r="373" spans="1:3" x14ac:dyDescent="0.25">
      <c r="A373" s="211">
        <f t="shared" si="5"/>
        <v>1120530</v>
      </c>
      <c r="B373" s="213" t="s">
        <v>598</v>
      </c>
      <c r="C373" s="213" t="s">
        <v>599</v>
      </c>
    </row>
    <row r="374" spans="1:3" x14ac:dyDescent="0.25">
      <c r="A374" s="211">
        <f t="shared" si="5"/>
        <v>1120555</v>
      </c>
      <c r="B374" s="213" t="s">
        <v>600</v>
      </c>
      <c r="C374" s="213" t="s">
        <v>601</v>
      </c>
    </row>
    <row r="375" spans="1:3" x14ac:dyDescent="0.25">
      <c r="A375" s="211">
        <f t="shared" si="5"/>
        <v>1120556</v>
      </c>
      <c r="B375" s="213" t="s">
        <v>602</v>
      </c>
      <c r="C375" s="213" t="s">
        <v>603</v>
      </c>
    </row>
    <row r="376" spans="1:3" x14ac:dyDescent="0.25">
      <c r="A376" s="211">
        <f t="shared" si="5"/>
        <v>1120557</v>
      </c>
      <c r="B376" s="213" t="s">
        <v>604</v>
      </c>
      <c r="C376" s="213" t="s">
        <v>605</v>
      </c>
    </row>
    <row r="377" spans="1:3" x14ac:dyDescent="0.25">
      <c r="A377" s="211">
        <f t="shared" si="5"/>
        <v>1120560</v>
      </c>
      <c r="B377" s="213" t="s">
        <v>606</v>
      </c>
      <c r="C377" s="213" t="s">
        <v>204</v>
      </c>
    </row>
    <row r="378" spans="1:3" x14ac:dyDescent="0.25">
      <c r="A378" s="211">
        <f t="shared" si="5"/>
        <v>1120595</v>
      </c>
      <c r="B378" s="213" t="s">
        <v>607</v>
      </c>
      <c r="C378" s="213" t="s">
        <v>608</v>
      </c>
    </row>
    <row r="379" spans="1:3" x14ac:dyDescent="0.25">
      <c r="A379" s="211">
        <f t="shared" si="5"/>
        <v>1120596</v>
      </c>
      <c r="B379" s="213" t="s">
        <v>609</v>
      </c>
      <c r="C379" s="213" t="s">
        <v>610</v>
      </c>
    </row>
    <row r="380" spans="1:3" x14ac:dyDescent="0.25">
      <c r="A380" s="211">
        <f t="shared" si="5"/>
        <v>1120598</v>
      </c>
      <c r="B380" s="213" t="s">
        <v>611</v>
      </c>
      <c r="C380" s="213" t="s">
        <v>612</v>
      </c>
    </row>
    <row r="381" spans="1:3" x14ac:dyDescent="0.25">
      <c r="A381" s="211">
        <f t="shared" si="5"/>
        <v>1120599</v>
      </c>
      <c r="B381" s="213" t="s">
        <v>613</v>
      </c>
      <c r="C381" s="213" t="s">
        <v>614</v>
      </c>
    </row>
    <row r="382" spans="1:3" x14ac:dyDescent="0.25">
      <c r="A382" s="211">
        <f t="shared" si="5"/>
        <v>1120600</v>
      </c>
      <c r="B382" s="213" t="s">
        <v>615</v>
      </c>
      <c r="C382" s="213" t="s">
        <v>616</v>
      </c>
    </row>
    <row r="383" spans="1:3" x14ac:dyDescent="0.25">
      <c r="A383" s="211">
        <f t="shared" si="5"/>
        <v>1120601</v>
      </c>
      <c r="B383" s="213" t="s">
        <v>617</v>
      </c>
      <c r="C383" s="213" t="s">
        <v>618</v>
      </c>
    </row>
    <row r="384" spans="1:3" x14ac:dyDescent="0.25">
      <c r="A384" s="211">
        <f t="shared" si="5"/>
        <v>1120602</v>
      </c>
      <c r="B384" s="213" t="s">
        <v>619</v>
      </c>
      <c r="C384" s="213" t="s">
        <v>620</v>
      </c>
    </row>
    <row r="385" spans="1:3" x14ac:dyDescent="0.25">
      <c r="A385" s="211">
        <f t="shared" si="5"/>
        <v>1120603</v>
      </c>
      <c r="B385" s="213" t="s">
        <v>621</v>
      </c>
      <c r="C385" s="213" t="s">
        <v>622</v>
      </c>
    </row>
    <row r="386" spans="1:3" x14ac:dyDescent="0.25">
      <c r="A386" s="211">
        <f t="shared" ref="A386:A449" si="6">IFERROR(B386*1,"")</f>
        <v>1120615</v>
      </c>
      <c r="B386" s="213" t="s">
        <v>623</v>
      </c>
      <c r="C386" s="213" t="s">
        <v>624</v>
      </c>
    </row>
    <row r="387" spans="1:3" x14ac:dyDescent="0.25">
      <c r="A387" s="211">
        <f t="shared" si="6"/>
        <v>1120616</v>
      </c>
      <c r="B387" s="213" t="s">
        <v>625</v>
      </c>
      <c r="C387" s="213" t="s">
        <v>626</v>
      </c>
    </row>
    <row r="388" spans="1:3" x14ac:dyDescent="0.25">
      <c r="A388" s="211">
        <f t="shared" si="6"/>
        <v>1120617</v>
      </c>
      <c r="B388" s="213" t="s">
        <v>627</v>
      </c>
      <c r="C388" s="213" t="s">
        <v>628</v>
      </c>
    </row>
    <row r="389" spans="1:3" x14ac:dyDescent="0.25">
      <c r="A389" s="211">
        <f t="shared" si="6"/>
        <v>1120618</v>
      </c>
      <c r="B389" s="213" t="s">
        <v>629</v>
      </c>
      <c r="C389" s="213" t="s">
        <v>630</v>
      </c>
    </row>
    <row r="390" spans="1:3" x14ac:dyDescent="0.25">
      <c r="A390" s="211">
        <f t="shared" si="6"/>
        <v>1120619</v>
      </c>
      <c r="B390" s="213" t="s">
        <v>631</v>
      </c>
      <c r="C390" s="213" t="s">
        <v>632</v>
      </c>
    </row>
    <row r="391" spans="1:3" x14ac:dyDescent="0.25">
      <c r="A391" s="211">
        <f t="shared" si="6"/>
        <v>1120620</v>
      </c>
      <c r="B391" s="213" t="s">
        <v>633</v>
      </c>
      <c r="C391" s="213" t="s">
        <v>634</v>
      </c>
    </row>
    <row r="392" spans="1:3" x14ac:dyDescent="0.25">
      <c r="A392" s="211">
        <f t="shared" si="6"/>
        <v>1120621</v>
      </c>
      <c r="B392" s="213" t="s">
        <v>636</v>
      </c>
      <c r="C392" s="213" t="s">
        <v>637</v>
      </c>
    </row>
    <row r="393" spans="1:3" x14ac:dyDescent="0.25">
      <c r="A393" s="211" t="str">
        <f t="shared" si="6"/>
        <v/>
      </c>
      <c r="B393" s="213" t="s">
        <v>13711</v>
      </c>
      <c r="C393" s="212"/>
    </row>
    <row r="394" spans="1:3" x14ac:dyDescent="0.25">
      <c r="A394" s="211">
        <f t="shared" si="6"/>
        <v>1120622</v>
      </c>
      <c r="B394" s="213" t="s">
        <v>638</v>
      </c>
      <c r="C394" s="213" t="s">
        <v>639</v>
      </c>
    </row>
    <row r="395" spans="1:3" x14ac:dyDescent="0.25">
      <c r="A395" s="211">
        <f t="shared" si="6"/>
        <v>1120623</v>
      </c>
      <c r="B395" s="213" t="s">
        <v>640</v>
      </c>
      <c r="C395" s="213" t="s">
        <v>641</v>
      </c>
    </row>
    <row r="396" spans="1:3" x14ac:dyDescent="0.25">
      <c r="A396" s="211">
        <f t="shared" si="6"/>
        <v>1120624</v>
      </c>
      <c r="B396" s="213" t="s">
        <v>642</v>
      </c>
      <c r="C396" s="213" t="s">
        <v>643</v>
      </c>
    </row>
    <row r="397" spans="1:3" x14ac:dyDescent="0.25">
      <c r="A397" s="211">
        <f t="shared" si="6"/>
        <v>1120625</v>
      </c>
      <c r="B397" s="213" t="s">
        <v>644</v>
      </c>
      <c r="C397" s="213" t="s">
        <v>645</v>
      </c>
    </row>
    <row r="398" spans="1:3" x14ac:dyDescent="0.25">
      <c r="A398" s="211">
        <f t="shared" si="6"/>
        <v>1120626</v>
      </c>
      <c r="B398" s="213" t="s">
        <v>646</v>
      </c>
      <c r="C398" s="213" t="s">
        <v>647</v>
      </c>
    </row>
    <row r="399" spans="1:3" x14ac:dyDescent="0.25">
      <c r="A399" s="211">
        <f t="shared" si="6"/>
        <v>1120630</v>
      </c>
      <c r="B399" s="213" t="s">
        <v>13413</v>
      </c>
      <c r="C399" s="213" t="s">
        <v>13414</v>
      </c>
    </row>
    <row r="400" spans="1:3" x14ac:dyDescent="0.25">
      <c r="A400" s="211">
        <f t="shared" si="6"/>
        <v>1120631</v>
      </c>
      <c r="B400" s="213" t="s">
        <v>13415</v>
      </c>
      <c r="C400" s="213" t="s">
        <v>13416</v>
      </c>
    </row>
    <row r="401" spans="1:3" x14ac:dyDescent="0.25">
      <c r="A401" s="211">
        <f t="shared" si="6"/>
        <v>1120632</v>
      </c>
      <c r="B401" s="213" t="s">
        <v>13417</v>
      </c>
      <c r="C401" s="213" t="s">
        <v>13418</v>
      </c>
    </row>
    <row r="402" spans="1:3" x14ac:dyDescent="0.25">
      <c r="A402" s="211">
        <f t="shared" si="6"/>
        <v>1120640</v>
      </c>
      <c r="B402" s="213" t="s">
        <v>648</v>
      </c>
      <c r="C402" s="213" t="s">
        <v>649</v>
      </c>
    </row>
    <row r="403" spans="1:3" x14ac:dyDescent="0.25">
      <c r="A403" s="211">
        <f t="shared" si="6"/>
        <v>1120641</v>
      </c>
      <c r="B403" s="213" t="s">
        <v>650</v>
      </c>
      <c r="C403" s="213" t="s">
        <v>651</v>
      </c>
    </row>
    <row r="404" spans="1:3" x14ac:dyDescent="0.25">
      <c r="A404" s="211">
        <f t="shared" si="6"/>
        <v>1120642</v>
      </c>
      <c r="B404" s="213" t="s">
        <v>652</v>
      </c>
      <c r="C404" s="213" t="s">
        <v>653</v>
      </c>
    </row>
    <row r="405" spans="1:3" x14ac:dyDescent="0.25">
      <c r="A405" s="211">
        <f t="shared" si="6"/>
        <v>1120643</v>
      </c>
      <c r="B405" s="213" t="s">
        <v>654</v>
      </c>
      <c r="C405" s="213" t="s">
        <v>655</v>
      </c>
    </row>
    <row r="406" spans="1:3" x14ac:dyDescent="0.25">
      <c r="A406" s="211">
        <f t="shared" si="6"/>
        <v>1120650</v>
      </c>
      <c r="B406" s="213" t="s">
        <v>656</v>
      </c>
      <c r="C406" s="213" t="s">
        <v>657</v>
      </c>
    </row>
    <row r="407" spans="1:3" x14ac:dyDescent="0.25">
      <c r="A407" s="211">
        <f t="shared" si="6"/>
        <v>1120651</v>
      </c>
      <c r="B407" s="213" t="s">
        <v>658</v>
      </c>
      <c r="C407" s="213" t="s">
        <v>659</v>
      </c>
    </row>
    <row r="408" spans="1:3" x14ac:dyDescent="0.25">
      <c r="A408" s="211">
        <f t="shared" si="6"/>
        <v>1120652</v>
      </c>
      <c r="B408" s="213" t="s">
        <v>660</v>
      </c>
      <c r="C408" s="213" t="s">
        <v>661</v>
      </c>
    </row>
    <row r="409" spans="1:3" x14ac:dyDescent="0.25">
      <c r="A409" s="211">
        <f t="shared" si="6"/>
        <v>1120653</v>
      </c>
      <c r="B409" s="213" t="s">
        <v>662</v>
      </c>
      <c r="C409" s="213" t="s">
        <v>663</v>
      </c>
    </row>
    <row r="410" spans="1:3" x14ac:dyDescent="0.25">
      <c r="A410" s="211">
        <f t="shared" si="6"/>
        <v>1120666</v>
      </c>
      <c r="B410" s="213" t="s">
        <v>664</v>
      </c>
      <c r="C410" s="213" t="s">
        <v>665</v>
      </c>
    </row>
    <row r="411" spans="1:3" x14ac:dyDescent="0.25">
      <c r="A411" s="211">
        <f t="shared" si="6"/>
        <v>1120667</v>
      </c>
      <c r="B411" s="213" t="s">
        <v>666</v>
      </c>
      <c r="C411" s="213" t="s">
        <v>667</v>
      </c>
    </row>
    <row r="412" spans="1:3" x14ac:dyDescent="0.25">
      <c r="A412" s="211">
        <f t="shared" si="6"/>
        <v>1120668</v>
      </c>
      <c r="B412" s="213" t="s">
        <v>668</v>
      </c>
      <c r="C412" s="213" t="s">
        <v>669</v>
      </c>
    </row>
    <row r="413" spans="1:3" x14ac:dyDescent="0.25">
      <c r="A413" s="211">
        <f t="shared" si="6"/>
        <v>1120669</v>
      </c>
      <c r="B413" s="213" t="s">
        <v>670</v>
      </c>
      <c r="C413" s="213" t="s">
        <v>671</v>
      </c>
    </row>
    <row r="414" spans="1:3" x14ac:dyDescent="0.25">
      <c r="A414" s="211">
        <f t="shared" si="6"/>
        <v>1120680</v>
      </c>
      <c r="B414" s="213" t="s">
        <v>672</v>
      </c>
      <c r="C414" s="213" t="s">
        <v>673</v>
      </c>
    </row>
    <row r="415" spans="1:3" x14ac:dyDescent="0.25">
      <c r="A415" s="211">
        <f t="shared" si="6"/>
        <v>1120681</v>
      </c>
      <c r="B415" s="213" t="s">
        <v>674</v>
      </c>
      <c r="C415" s="213" t="s">
        <v>675</v>
      </c>
    </row>
    <row r="416" spans="1:3" x14ac:dyDescent="0.25">
      <c r="A416" s="211">
        <f t="shared" si="6"/>
        <v>1120682</v>
      </c>
      <c r="B416" s="213" t="s">
        <v>676</v>
      </c>
      <c r="C416" s="213" t="s">
        <v>677</v>
      </c>
    </row>
    <row r="417" spans="1:3" x14ac:dyDescent="0.25">
      <c r="A417" s="211">
        <f t="shared" si="6"/>
        <v>1120700</v>
      </c>
      <c r="B417" s="213" t="s">
        <v>678</v>
      </c>
      <c r="C417" s="213" t="s">
        <v>679</v>
      </c>
    </row>
    <row r="418" spans="1:3" x14ac:dyDescent="0.25">
      <c r="A418" s="211">
        <f t="shared" si="6"/>
        <v>1120710</v>
      </c>
      <c r="B418" s="213" t="s">
        <v>7431</v>
      </c>
      <c r="C418" s="213" t="s">
        <v>7432</v>
      </c>
    </row>
    <row r="419" spans="1:3" x14ac:dyDescent="0.25">
      <c r="A419" s="211">
        <f t="shared" si="6"/>
        <v>1120711</v>
      </c>
      <c r="B419" s="213" t="s">
        <v>7433</v>
      </c>
      <c r="C419" s="213" t="s">
        <v>7434</v>
      </c>
    </row>
    <row r="420" spans="1:3" x14ac:dyDescent="0.25">
      <c r="A420" s="211">
        <f t="shared" si="6"/>
        <v>1120712</v>
      </c>
      <c r="B420" s="213" t="s">
        <v>7435</v>
      </c>
      <c r="C420" s="213" t="s">
        <v>7436</v>
      </c>
    </row>
    <row r="421" spans="1:3" x14ac:dyDescent="0.25">
      <c r="A421" s="211">
        <f t="shared" si="6"/>
        <v>1120720</v>
      </c>
      <c r="B421" s="213" t="s">
        <v>680</v>
      </c>
      <c r="C421" s="213" t="s">
        <v>681</v>
      </c>
    </row>
    <row r="422" spans="1:3" x14ac:dyDescent="0.25">
      <c r="A422" s="211">
        <f t="shared" si="6"/>
        <v>1120721</v>
      </c>
      <c r="B422" s="213" t="s">
        <v>682</v>
      </c>
      <c r="C422" s="213" t="s">
        <v>683</v>
      </c>
    </row>
    <row r="423" spans="1:3" x14ac:dyDescent="0.25">
      <c r="A423" s="211">
        <f t="shared" si="6"/>
        <v>1120722</v>
      </c>
      <c r="B423" s="213" t="s">
        <v>684</v>
      </c>
      <c r="C423" s="213" t="s">
        <v>685</v>
      </c>
    </row>
    <row r="424" spans="1:3" x14ac:dyDescent="0.25">
      <c r="A424" s="211">
        <f t="shared" si="6"/>
        <v>1120723</v>
      </c>
      <c r="B424" s="213" t="s">
        <v>686</v>
      </c>
      <c r="C424" s="213" t="s">
        <v>687</v>
      </c>
    </row>
    <row r="425" spans="1:3" x14ac:dyDescent="0.25">
      <c r="A425" s="211">
        <f t="shared" si="6"/>
        <v>1120724</v>
      </c>
      <c r="B425" s="213" t="s">
        <v>688</v>
      </c>
      <c r="C425" s="213" t="s">
        <v>689</v>
      </c>
    </row>
    <row r="426" spans="1:3" x14ac:dyDescent="0.25">
      <c r="A426" s="211">
        <f t="shared" si="6"/>
        <v>1120725</v>
      </c>
      <c r="B426" s="213" t="s">
        <v>690</v>
      </c>
      <c r="C426" s="213" t="s">
        <v>691</v>
      </c>
    </row>
    <row r="427" spans="1:3" x14ac:dyDescent="0.25">
      <c r="A427" s="211">
        <f t="shared" si="6"/>
        <v>1120726</v>
      </c>
      <c r="B427" s="213" t="s">
        <v>692</v>
      </c>
      <c r="C427" s="213" t="s">
        <v>693</v>
      </c>
    </row>
    <row r="428" spans="1:3" x14ac:dyDescent="0.25">
      <c r="A428" s="211">
        <f t="shared" si="6"/>
        <v>1120727</v>
      </c>
      <c r="B428" s="213" t="s">
        <v>694</v>
      </c>
      <c r="C428" s="213" t="s">
        <v>695</v>
      </c>
    </row>
    <row r="429" spans="1:3" x14ac:dyDescent="0.25">
      <c r="A429" s="211">
        <f t="shared" si="6"/>
        <v>1120728</v>
      </c>
      <c r="B429" s="213" t="s">
        <v>696</v>
      </c>
      <c r="C429" s="213" t="s">
        <v>697</v>
      </c>
    </row>
    <row r="430" spans="1:3" x14ac:dyDescent="0.25">
      <c r="A430" s="211">
        <f t="shared" si="6"/>
        <v>1120729</v>
      </c>
      <c r="B430" s="213" t="s">
        <v>698</v>
      </c>
      <c r="C430" s="213" t="s">
        <v>699</v>
      </c>
    </row>
    <row r="431" spans="1:3" x14ac:dyDescent="0.25">
      <c r="A431" s="211">
        <f t="shared" si="6"/>
        <v>1120730</v>
      </c>
      <c r="B431" s="213" t="s">
        <v>700</v>
      </c>
      <c r="C431" s="213" t="s">
        <v>701</v>
      </c>
    </row>
    <row r="432" spans="1:3" x14ac:dyDescent="0.25">
      <c r="A432" s="211">
        <f t="shared" si="6"/>
        <v>1120731</v>
      </c>
      <c r="B432" s="213" t="s">
        <v>702</v>
      </c>
      <c r="C432" s="213" t="s">
        <v>703</v>
      </c>
    </row>
    <row r="433" spans="1:3" x14ac:dyDescent="0.25">
      <c r="A433" s="211">
        <f t="shared" si="6"/>
        <v>1120732</v>
      </c>
      <c r="B433" s="213" t="s">
        <v>704</v>
      </c>
      <c r="C433" s="213" t="s">
        <v>705</v>
      </c>
    </row>
    <row r="434" spans="1:3" x14ac:dyDescent="0.25">
      <c r="A434" s="211">
        <f t="shared" si="6"/>
        <v>1120733</v>
      </c>
      <c r="B434" s="213" t="s">
        <v>706</v>
      </c>
      <c r="C434" s="213" t="s">
        <v>707</v>
      </c>
    </row>
    <row r="435" spans="1:3" x14ac:dyDescent="0.25">
      <c r="A435" s="211">
        <f t="shared" si="6"/>
        <v>1120734</v>
      </c>
      <c r="B435" s="213" t="s">
        <v>708</v>
      </c>
      <c r="C435" s="213" t="s">
        <v>709</v>
      </c>
    </row>
    <row r="436" spans="1:3" x14ac:dyDescent="0.25">
      <c r="A436" s="211">
        <f t="shared" si="6"/>
        <v>1120735</v>
      </c>
      <c r="B436" s="213" t="s">
        <v>710</v>
      </c>
      <c r="C436" s="213" t="s">
        <v>711</v>
      </c>
    </row>
    <row r="437" spans="1:3" x14ac:dyDescent="0.25">
      <c r="A437" s="211">
        <f t="shared" si="6"/>
        <v>1120736</v>
      </c>
      <c r="B437" s="213" t="s">
        <v>712</v>
      </c>
      <c r="C437" s="213" t="s">
        <v>713</v>
      </c>
    </row>
    <row r="438" spans="1:3" x14ac:dyDescent="0.25">
      <c r="A438" s="211">
        <f t="shared" si="6"/>
        <v>1120737</v>
      </c>
      <c r="B438" s="213" t="s">
        <v>714</v>
      </c>
      <c r="C438" s="213" t="s">
        <v>715</v>
      </c>
    </row>
    <row r="439" spans="1:3" x14ac:dyDescent="0.25">
      <c r="A439" s="211">
        <f t="shared" si="6"/>
        <v>1120738</v>
      </c>
      <c r="B439" s="213" t="s">
        <v>716</v>
      </c>
      <c r="C439" s="213" t="s">
        <v>717</v>
      </c>
    </row>
    <row r="440" spans="1:3" x14ac:dyDescent="0.25">
      <c r="A440" s="211">
        <f t="shared" si="6"/>
        <v>1120739</v>
      </c>
      <c r="B440" s="213" t="s">
        <v>718</v>
      </c>
      <c r="C440" s="213" t="s">
        <v>719</v>
      </c>
    </row>
    <row r="441" spans="1:3" x14ac:dyDescent="0.25">
      <c r="A441" s="211">
        <f t="shared" si="6"/>
        <v>1120741</v>
      </c>
      <c r="B441" s="213" t="s">
        <v>720</v>
      </c>
      <c r="C441" s="213" t="s">
        <v>721</v>
      </c>
    </row>
    <row r="442" spans="1:3" x14ac:dyDescent="0.25">
      <c r="A442" s="211" t="str">
        <f t="shared" si="6"/>
        <v/>
      </c>
      <c r="B442" s="213" t="s">
        <v>13712</v>
      </c>
      <c r="C442" s="212"/>
    </row>
    <row r="443" spans="1:3" x14ac:dyDescent="0.25">
      <c r="A443" s="211">
        <f t="shared" si="6"/>
        <v>1120742</v>
      </c>
      <c r="B443" s="213" t="s">
        <v>7437</v>
      </c>
      <c r="C443" s="213" t="s">
        <v>7438</v>
      </c>
    </row>
    <row r="444" spans="1:3" x14ac:dyDescent="0.25">
      <c r="A444" s="211">
        <f t="shared" si="6"/>
        <v>1120743</v>
      </c>
      <c r="B444" s="213" t="s">
        <v>7439</v>
      </c>
      <c r="C444" s="213" t="s">
        <v>7440</v>
      </c>
    </row>
    <row r="445" spans="1:3" x14ac:dyDescent="0.25">
      <c r="A445" s="211">
        <f t="shared" si="6"/>
        <v>1120744</v>
      </c>
      <c r="B445" s="213" t="s">
        <v>7441</v>
      </c>
      <c r="C445" s="213" t="s">
        <v>7442</v>
      </c>
    </row>
    <row r="446" spans="1:3" x14ac:dyDescent="0.25">
      <c r="A446" s="211">
        <f t="shared" si="6"/>
        <v>1120745</v>
      </c>
      <c r="B446" s="213" t="s">
        <v>7443</v>
      </c>
      <c r="C446" s="213" t="s">
        <v>7444</v>
      </c>
    </row>
    <row r="447" spans="1:3" x14ac:dyDescent="0.25">
      <c r="A447" s="211">
        <f t="shared" si="6"/>
        <v>1120746</v>
      </c>
      <c r="B447" s="213" t="s">
        <v>7445</v>
      </c>
      <c r="C447" s="213" t="s">
        <v>7446</v>
      </c>
    </row>
    <row r="448" spans="1:3" x14ac:dyDescent="0.25">
      <c r="A448" s="211">
        <f t="shared" si="6"/>
        <v>1120747</v>
      </c>
      <c r="B448" s="213" t="s">
        <v>7447</v>
      </c>
      <c r="C448" s="213" t="s">
        <v>7448</v>
      </c>
    </row>
    <row r="449" spans="1:3" x14ac:dyDescent="0.25">
      <c r="A449" s="211">
        <f t="shared" si="6"/>
        <v>1120748</v>
      </c>
      <c r="B449" s="213" t="s">
        <v>7449</v>
      </c>
      <c r="C449" s="213" t="s">
        <v>7450</v>
      </c>
    </row>
    <row r="450" spans="1:3" x14ac:dyDescent="0.25">
      <c r="A450" s="211">
        <f t="shared" ref="A450:A513" si="7">IFERROR(B450*1,"")</f>
        <v>1120749</v>
      </c>
      <c r="B450" s="213" t="s">
        <v>7451</v>
      </c>
      <c r="C450" s="213" t="s">
        <v>7452</v>
      </c>
    </row>
    <row r="451" spans="1:3" x14ac:dyDescent="0.25">
      <c r="A451" s="211">
        <f t="shared" si="7"/>
        <v>1120750</v>
      </c>
      <c r="B451" s="213" t="s">
        <v>722</v>
      </c>
      <c r="C451" s="213" t="s">
        <v>723</v>
      </c>
    </row>
    <row r="452" spans="1:3" x14ac:dyDescent="0.25">
      <c r="A452" s="211">
        <f t="shared" si="7"/>
        <v>1120751</v>
      </c>
      <c r="B452" s="213" t="s">
        <v>724</v>
      </c>
      <c r="C452" s="213" t="s">
        <v>725</v>
      </c>
    </row>
    <row r="453" spans="1:3" x14ac:dyDescent="0.25">
      <c r="A453" s="211" t="str">
        <f t="shared" si="7"/>
        <v/>
      </c>
      <c r="B453" s="213" t="s">
        <v>13713</v>
      </c>
      <c r="C453" s="212"/>
    </row>
    <row r="454" spans="1:3" x14ac:dyDescent="0.25">
      <c r="A454" s="211">
        <f t="shared" si="7"/>
        <v>1120752</v>
      </c>
      <c r="B454" s="213" t="s">
        <v>726</v>
      </c>
      <c r="C454" s="213" t="s">
        <v>727</v>
      </c>
    </row>
    <row r="455" spans="1:3" x14ac:dyDescent="0.25">
      <c r="A455" s="211" t="str">
        <f t="shared" si="7"/>
        <v/>
      </c>
      <c r="B455" s="213" t="s">
        <v>13714</v>
      </c>
      <c r="C455" s="212"/>
    </row>
    <row r="456" spans="1:3" x14ac:dyDescent="0.25">
      <c r="A456" s="211">
        <f t="shared" si="7"/>
        <v>1120753</v>
      </c>
      <c r="B456" s="213" t="s">
        <v>728</v>
      </c>
      <c r="C456" s="213" t="s">
        <v>729</v>
      </c>
    </row>
    <row r="457" spans="1:3" x14ac:dyDescent="0.25">
      <c r="A457" s="211">
        <f t="shared" si="7"/>
        <v>1120760</v>
      </c>
      <c r="B457" s="213" t="s">
        <v>14001</v>
      </c>
      <c r="C457" s="213" t="s">
        <v>14002</v>
      </c>
    </row>
    <row r="458" spans="1:3" x14ac:dyDescent="0.25">
      <c r="A458" s="211">
        <f t="shared" si="7"/>
        <v>1120761</v>
      </c>
      <c r="B458" s="213" t="s">
        <v>14003</v>
      </c>
      <c r="C458" s="213" t="s">
        <v>14004</v>
      </c>
    </row>
    <row r="459" spans="1:3" x14ac:dyDescent="0.25">
      <c r="A459" s="211">
        <f t="shared" si="7"/>
        <v>1120762</v>
      </c>
      <c r="B459" s="213" t="s">
        <v>14005</v>
      </c>
      <c r="C459" s="213" t="s">
        <v>14006</v>
      </c>
    </row>
    <row r="460" spans="1:3" x14ac:dyDescent="0.25">
      <c r="A460" s="211">
        <f t="shared" si="7"/>
        <v>1120764</v>
      </c>
      <c r="B460" s="213" t="s">
        <v>730</v>
      </c>
      <c r="C460" s="213" t="s">
        <v>731</v>
      </c>
    </row>
    <row r="461" spans="1:3" x14ac:dyDescent="0.25">
      <c r="A461" s="211">
        <f t="shared" si="7"/>
        <v>1120765</v>
      </c>
      <c r="B461" s="213" t="s">
        <v>732</v>
      </c>
      <c r="C461" s="213" t="s">
        <v>733</v>
      </c>
    </row>
    <row r="462" spans="1:3" x14ac:dyDescent="0.25">
      <c r="A462" s="211">
        <f t="shared" si="7"/>
        <v>1120766</v>
      </c>
      <c r="B462" s="213" t="s">
        <v>734</v>
      </c>
      <c r="C462" s="213" t="s">
        <v>735</v>
      </c>
    </row>
    <row r="463" spans="1:3" x14ac:dyDescent="0.25">
      <c r="A463" s="211">
        <f t="shared" si="7"/>
        <v>1120767</v>
      </c>
      <c r="B463" s="213" t="s">
        <v>736</v>
      </c>
      <c r="C463" s="213" t="s">
        <v>737</v>
      </c>
    </row>
    <row r="464" spans="1:3" x14ac:dyDescent="0.25">
      <c r="A464" s="211">
        <f t="shared" si="7"/>
        <v>1120768</v>
      </c>
      <c r="B464" s="213" t="s">
        <v>738</v>
      </c>
      <c r="C464" s="213" t="s">
        <v>739</v>
      </c>
    </row>
    <row r="465" spans="1:3" x14ac:dyDescent="0.25">
      <c r="A465" s="211">
        <f t="shared" si="7"/>
        <v>1120770</v>
      </c>
      <c r="B465" s="213" t="s">
        <v>740</v>
      </c>
      <c r="C465" s="213" t="s">
        <v>741</v>
      </c>
    </row>
    <row r="466" spans="1:3" x14ac:dyDescent="0.25">
      <c r="A466" s="211">
        <f t="shared" si="7"/>
        <v>1120771</v>
      </c>
      <c r="B466" s="213" t="s">
        <v>742</v>
      </c>
      <c r="C466" s="213" t="s">
        <v>743</v>
      </c>
    </row>
    <row r="467" spans="1:3" x14ac:dyDescent="0.25">
      <c r="A467" s="211">
        <f t="shared" si="7"/>
        <v>1120772</v>
      </c>
      <c r="B467" s="213" t="s">
        <v>744</v>
      </c>
      <c r="C467" s="213" t="s">
        <v>745</v>
      </c>
    </row>
    <row r="468" spans="1:3" x14ac:dyDescent="0.25">
      <c r="A468" s="211">
        <f t="shared" si="7"/>
        <v>1120773</v>
      </c>
      <c r="B468" s="213" t="s">
        <v>746</v>
      </c>
      <c r="C468" s="213" t="s">
        <v>747</v>
      </c>
    </row>
    <row r="469" spans="1:3" x14ac:dyDescent="0.25">
      <c r="A469" s="211">
        <f t="shared" si="7"/>
        <v>1120774</v>
      </c>
      <c r="B469" s="213" t="s">
        <v>13291</v>
      </c>
      <c r="C469" s="213" t="s">
        <v>13292</v>
      </c>
    </row>
    <row r="470" spans="1:3" x14ac:dyDescent="0.25">
      <c r="A470" s="211">
        <f t="shared" si="7"/>
        <v>1120775</v>
      </c>
      <c r="B470" s="213" t="s">
        <v>748</v>
      </c>
      <c r="C470" s="213" t="s">
        <v>749</v>
      </c>
    </row>
    <row r="471" spans="1:3" x14ac:dyDescent="0.25">
      <c r="A471" s="211">
        <f t="shared" si="7"/>
        <v>1120776</v>
      </c>
      <c r="B471" s="213" t="s">
        <v>750</v>
      </c>
      <c r="C471" s="213" t="s">
        <v>751</v>
      </c>
    </row>
    <row r="472" spans="1:3" x14ac:dyDescent="0.25">
      <c r="A472" s="211">
        <f t="shared" si="7"/>
        <v>1120777</v>
      </c>
      <c r="B472" s="213" t="s">
        <v>752</v>
      </c>
      <c r="C472" s="213" t="s">
        <v>753</v>
      </c>
    </row>
    <row r="473" spans="1:3" x14ac:dyDescent="0.25">
      <c r="A473" s="211">
        <f t="shared" si="7"/>
        <v>1120778</v>
      </c>
      <c r="B473" s="213" t="s">
        <v>754</v>
      </c>
      <c r="C473" s="213" t="s">
        <v>755</v>
      </c>
    </row>
    <row r="474" spans="1:3" x14ac:dyDescent="0.25">
      <c r="A474" s="211">
        <f t="shared" si="7"/>
        <v>1120780</v>
      </c>
      <c r="B474" s="213" t="s">
        <v>756</v>
      </c>
      <c r="C474" s="213" t="s">
        <v>757</v>
      </c>
    </row>
    <row r="475" spans="1:3" x14ac:dyDescent="0.25">
      <c r="A475" s="211">
        <f t="shared" si="7"/>
        <v>1120781</v>
      </c>
      <c r="B475" s="213" t="s">
        <v>758</v>
      </c>
      <c r="C475" s="213" t="s">
        <v>759</v>
      </c>
    </row>
    <row r="476" spans="1:3" x14ac:dyDescent="0.25">
      <c r="A476" s="211">
        <f t="shared" si="7"/>
        <v>1120782</v>
      </c>
      <c r="B476" s="213" t="s">
        <v>760</v>
      </c>
      <c r="C476" s="213" t="s">
        <v>761</v>
      </c>
    </row>
    <row r="477" spans="1:3" x14ac:dyDescent="0.25">
      <c r="A477" s="211">
        <f t="shared" si="7"/>
        <v>1120783</v>
      </c>
      <c r="B477" s="213" t="s">
        <v>762</v>
      </c>
      <c r="C477" s="213" t="s">
        <v>763</v>
      </c>
    </row>
    <row r="478" spans="1:3" x14ac:dyDescent="0.25">
      <c r="A478" s="211">
        <f t="shared" si="7"/>
        <v>1120784</v>
      </c>
      <c r="B478" s="213" t="s">
        <v>764</v>
      </c>
      <c r="C478" s="213" t="s">
        <v>765</v>
      </c>
    </row>
    <row r="479" spans="1:3" x14ac:dyDescent="0.25">
      <c r="A479" s="211">
        <f t="shared" si="7"/>
        <v>1120785</v>
      </c>
      <c r="B479" s="213" t="s">
        <v>766</v>
      </c>
      <c r="C479" s="213" t="s">
        <v>767</v>
      </c>
    </row>
    <row r="480" spans="1:3" x14ac:dyDescent="0.25">
      <c r="A480" s="211">
        <f t="shared" si="7"/>
        <v>1120786</v>
      </c>
      <c r="B480" s="213" t="s">
        <v>768</v>
      </c>
      <c r="C480" s="213" t="s">
        <v>769</v>
      </c>
    </row>
    <row r="481" spans="1:3" x14ac:dyDescent="0.25">
      <c r="A481" s="211">
        <f t="shared" si="7"/>
        <v>1120787</v>
      </c>
      <c r="B481" s="213" t="s">
        <v>770</v>
      </c>
      <c r="C481" s="213" t="s">
        <v>771</v>
      </c>
    </row>
    <row r="482" spans="1:3" x14ac:dyDescent="0.25">
      <c r="A482" s="211">
        <f t="shared" si="7"/>
        <v>1120789</v>
      </c>
      <c r="B482" s="213" t="s">
        <v>772</v>
      </c>
      <c r="C482" s="213" t="s">
        <v>773</v>
      </c>
    </row>
    <row r="483" spans="1:3" x14ac:dyDescent="0.25">
      <c r="A483" s="211">
        <f t="shared" si="7"/>
        <v>1120790</v>
      </c>
      <c r="B483" s="213" t="s">
        <v>774</v>
      </c>
      <c r="C483" s="213" t="s">
        <v>775</v>
      </c>
    </row>
    <row r="484" spans="1:3" x14ac:dyDescent="0.25">
      <c r="A484" s="211">
        <f t="shared" si="7"/>
        <v>1120791</v>
      </c>
      <c r="B484" s="213" t="s">
        <v>776</v>
      </c>
      <c r="C484" s="213" t="s">
        <v>777</v>
      </c>
    </row>
    <row r="485" spans="1:3" x14ac:dyDescent="0.25">
      <c r="A485" s="211">
        <f t="shared" si="7"/>
        <v>1120792</v>
      </c>
      <c r="B485" s="213" t="s">
        <v>778</v>
      </c>
      <c r="C485" s="213" t="s">
        <v>779</v>
      </c>
    </row>
    <row r="486" spans="1:3" x14ac:dyDescent="0.25">
      <c r="A486" s="211">
        <f t="shared" si="7"/>
        <v>1120793</v>
      </c>
      <c r="B486" s="213" t="s">
        <v>7453</v>
      </c>
      <c r="C486" s="213" t="s">
        <v>7454</v>
      </c>
    </row>
    <row r="487" spans="1:3" x14ac:dyDescent="0.25">
      <c r="A487" s="211">
        <f t="shared" si="7"/>
        <v>1120795</v>
      </c>
      <c r="B487" s="213" t="s">
        <v>780</v>
      </c>
      <c r="C487" s="213" t="s">
        <v>781</v>
      </c>
    </row>
    <row r="488" spans="1:3" x14ac:dyDescent="0.25">
      <c r="A488" s="211">
        <f t="shared" si="7"/>
        <v>1120796</v>
      </c>
      <c r="B488" s="213" t="s">
        <v>782</v>
      </c>
      <c r="C488" s="213" t="s">
        <v>783</v>
      </c>
    </row>
    <row r="489" spans="1:3" x14ac:dyDescent="0.25">
      <c r="A489" s="211">
        <f t="shared" si="7"/>
        <v>1120797</v>
      </c>
      <c r="B489" s="213" t="s">
        <v>784</v>
      </c>
      <c r="C489" s="213" t="s">
        <v>785</v>
      </c>
    </row>
    <row r="490" spans="1:3" x14ac:dyDescent="0.25">
      <c r="A490" s="211">
        <f t="shared" si="7"/>
        <v>1120798</v>
      </c>
      <c r="B490" s="213" t="s">
        <v>786</v>
      </c>
      <c r="C490" s="213" t="s">
        <v>787</v>
      </c>
    </row>
    <row r="491" spans="1:3" x14ac:dyDescent="0.25">
      <c r="A491" s="211">
        <f t="shared" si="7"/>
        <v>1120799</v>
      </c>
      <c r="B491" s="213" t="s">
        <v>788</v>
      </c>
      <c r="C491" s="213" t="s">
        <v>789</v>
      </c>
    </row>
    <row r="492" spans="1:3" x14ac:dyDescent="0.25">
      <c r="A492" s="211">
        <f t="shared" si="7"/>
        <v>1120800</v>
      </c>
      <c r="B492" s="213" t="s">
        <v>790</v>
      </c>
      <c r="C492" s="213" t="s">
        <v>791</v>
      </c>
    </row>
    <row r="493" spans="1:3" x14ac:dyDescent="0.25">
      <c r="A493" s="211" t="str">
        <f t="shared" si="7"/>
        <v/>
      </c>
      <c r="B493" s="213" t="s">
        <v>13715</v>
      </c>
      <c r="C493" s="212"/>
    </row>
    <row r="494" spans="1:3" x14ac:dyDescent="0.25">
      <c r="A494" s="211">
        <f t="shared" si="7"/>
        <v>1120801</v>
      </c>
      <c r="B494" s="213" t="s">
        <v>792</v>
      </c>
      <c r="C494" s="213" t="s">
        <v>793</v>
      </c>
    </row>
    <row r="495" spans="1:3" x14ac:dyDescent="0.25">
      <c r="A495" s="211" t="str">
        <f t="shared" si="7"/>
        <v/>
      </c>
      <c r="B495" s="213" t="s">
        <v>13716</v>
      </c>
      <c r="C495" s="212"/>
    </row>
    <row r="496" spans="1:3" x14ac:dyDescent="0.25">
      <c r="A496" s="211">
        <f t="shared" si="7"/>
        <v>1120802</v>
      </c>
      <c r="B496" s="213" t="s">
        <v>794</v>
      </c>
      <c r="C496" s="213" t="s">
        <v>721</v>
      </c>
    </row>
    <row r="497" spans="1:3" x14ac:dyDescent="0.25">
      <c r="A497" s="211" t="str">
        <f t="shared" si="7"/>
        <v/>
      </c>
      <c r="B497" s="213" t="s">
        <v>13717</v>
      </c>
      <c r="C497" s="212"/>
    </row>
    <row r="498" spans="1:3" x14ac:dyDescent="0.25">
      <c r="A498" s="211">
        <f t="shared" si="7"/>
        <v>1120803</v>
      </c>
      <c r="B498" s="213" t="s">
        <v>795</v>
      </c>
      <c r="C498" s="213" t="s">
        <v>796</v>
      </c>
    </row>
    <row r="499" spans="1:3" x14ac:dyDescent="0.25">
      <c r="A499" s="211" t="str">
        <f t="shared" si="7"/>
        <v/>
      </c>
      <c r="B499" s="213" t="s">
        <v>13718</v>
      </c>
      <c r="C499" s="212"/>
    </row>
    <row r="500" spans="1:3" x14ac:dyDescent="0.25">
      <c r="A500" s="211">
        <f t="shared" si="7"/>
        <v>1120804</v>
      </c>
      <c r="B500" s="213" t="s">
        <v>7455</v>
      </c>
      <c r="C500" s="213" t="s">
        <v>7456</v>
      </c>
    </row>
    <row r="501" spans="1:3" x14ac:dyDescent="0.25">
      <c r="A501" s="211">
        <f t="shared" si="7"/>
        <v>1120805</v>
      </c>
      <c r="B501" s="213" t="s">
        <v>7457</v>
      </c>
      <c r="C501" s="213" t="s">
        <v>7458</v>
      </c>
    </row>
    <row r="502" spans="1:3" x14ac:dyDescent="0.25">
      <c r="A502" s="211">
        <f t="shared" si="7"/>
        <v>1120806</v>
      </c>
      <c r="B502" s="213" t="s">
        <v>7459</v>
      </c>
      <c r="C502" s="213" t="s">
        <v>7460</v>
      </c>
    </row>
    <row r="503" spans="1:3" x14ac:dyDescent="0.25">
      <c r="A503" s="211">
        <f t="shared" si="7"/>
        <v>1120840</v>
      </c>
      <c r="B503" s="213" t="s">
        <v>797</v>
      </c>
      <c r="C503" s="213" t="s">
        <v>798</v>
      </c>
    </row>
    <row r="504" spans="1:3" x14ac:dyDescent="0.25">
      <c r="A504" s="211">
        <f t="shared" si="7"/>
        <v>1120841</v>
      </c>
      <c r="B504" s="213" t="s">
        <v>799</v>
      </c>
      <c r="C504" s="213" t="s">
        <v>800</v>
      </c>
    </row>
    <row r="505" spans="1:3" x14ac:dyDescent="0.25">
      <c r="A505" s="211">
        <f t="shared" si="7"/>
        <v>1120842</v>
      </c>
      <c r="B505" s="213" t="s">
        <v>801</v>
      </c>
      <c r="C505" s="213" t="s">
        <v>802</v>
      </c>
    </row>
    <row r="506" spans="1:3" x14ac:dyDescent="0.25">
      <c r="A506" s="211">
        <f t="shared" si="7"/>
        <v>1120843</v>
      </c>
      <c r="B506" s="213" t="s">
        <v>803</v>
      </c>
      <c r="C506" s="213" t="s">
        <v>804</v>
      </c>
    </row>
    <row r="507" spans="1:3" x14ac:dyDescent="0.25">
      <c r="A507" s="211">
        <f t="shared" si="7"/>
        <v>1120850</v>
      </c>
      <c r="B507" s="213" t="s">
        <v>805</v>
      </c>
      <c r="C507" s="213" t="s">
        <v>806</v>
      </c>
    </row>
    <row r="508" spans="1:3" x14ac:dyDescent="0.25">
      <c r="A508" s="211">
        <f t="shared" si="7"/>
        <v>1120851</v>
      </c>
      <c r="B508" s="213" t="s">
        <v>807</v>
      </c>
      <c r="C508" s="213" t="s">
        <v>808</v>
      </c>
    </row>
    <row r="509" spans="1:3" x14ac:dyDescent="0.25">
      <c r="A509" s="211">
        <f t="shared" si="7"/>
        <v>1120852</v>
      </c>
      <c r="B509" s="213" t="s">
        <v>809</v>
      </c>
      <c r="C509" s="213" t="s">
        <v>810</v>
      </c>
    </row>
    <row r="510" spans="1:3" x14ac:dyDescent="0.25">
      <c r="A510" s="211">
        <f t="shared" si="7"/>
        <v>1120853</v>
      </c>
      <c r="B510" s="213" t="s">
        <v>811</v>
      </c>
      <c r="C510" s="213" t="s">
        <v>812</v>
      </c>
    </row>
    <row r="511" spans="1:3" x14ac:dyDescent="0.25">
      <c r="A511" s="211">
        <f t="shared" si="7"/>
        <v>1120856</v>
      </c>
      <c r="B511" s="213" t="s">
        <v>813</v>
      </c>
      <c r="C511" s="213" t="s">
        <v>814</v>
      </c>
    </row>
    <row r="512" spans="1:3" x14ac:dyDescent="0.25">
      <c r="A512" s="211">
        <f t="shared" si="7"/>
        <v>1120857</v>
      </c>
      <c r="B512" s="213" t="s">
        <v>815</v>
      </c>
      <c r="C512" s="213" t="s">
        <v>816</v>
      </c>
    </row>
    <row r="513" spans="1:3" x14ac:dyDescent="0.25">
      <c r="A513" s="211">
        <f t="shared" si="7"/>
        <v>1120858</v>
      </c>
      <c r="B513" s="213" t="s">
        <v>817</v>
      </c>
      <c r="C513" s="213" t="s">
        <v>818</v>
      </c>
    </row>
    <row r="514" spans="1:3" x14ac:dyDescent="0.25">
      <c r="A514" s="211">
        <f t="shared" ref="A514:A577" si="8">IFERROR(B514*1,"")</f>
        <v>1120859</v>
      </c>
      <c r="B514" s="213" t="s">
        <v>819</v>
      </c>
      <c r="C514" s="213" t="s">
        <v>820</v>
      </c>
    </row>
    <row r="515" spans="1:3" x14ac:dyDescent="0.25">
      <c r="A515" s="211">
        <f t="shared" si="8"/>
        <v>1120860</v>
      </c>
      <c r="B515" s="213" t="s">
        <v>821</v>
      </c>
      <c r="C515" s="213" t="s">
        <v>822</v>
      </c>
    </row>
    <row r="516" spans="1:3" x14ac:dyDescent="0.25">
      <c r="A516" s="211">
        <f t="shared" si="8"/>
        <v>1120861</v>
      </c>
      <c r="B516" s="213" t="s">
        <v>823</v>
      </c>
      <c r="C516" s="213" t="s">
        <v>824</v>
      </c>
    </row>
    <row r="517" spans="1:3" x14ac:dyDescent="0.25">
      <c r="A517" s="211">
        <f t="shared" si="8"/>
        <v>1120862</v>
      </c>
      <c r="B517" s="213" t="s">
        <v>825</v>
      </c>
      <c r="C517" s="213" t="s">
        <v>826</v>
      </c>
    </row>
    <row r="518" spans="1:3" x14ac:dyDescent="0.25">
      <c r="A518" s="211">
        <f t="shared" si="8"/>
        <v>1120863</v>
      </c>
      <c r="B518" s="213" t="s">
        <v>827</v>
      </c>
      <c r="C518" s="213" t="s">
        <v>828</v>
      </c>
    </row>
    <row r="519" spans="1:3" x14ac:dyDescent="0.25">
      <c r="A519" s="211">
        <f t="shared" si="8"/>
        <v>1120873</v>
      </c>
      <c r="B519" s="213" t="s">
        <v>829</v>
      </c>
      <c r="C519" s="213" t="s">
        <v>830</v>
      </c>
    </row>
    <row r="520" spans="1:3" x14ac:dyDescent="0.25">
      <c r="A520" s="211">
        <f t="shared" si="8"/>
        <v>1120875</v>
      </c>
      <c r="B520" s="213" t="s">
        <v>831</v>
      </c>
      <c r="C520" s="213" t="s">
        <v>832</v>
      </c>
    </row>
    <row r="521" spans="1:3" x14ac:dyDescent="0.25">
      <c r="A521" s="211">
        <f t="shared" si="8"/>
        <v>1120876</v>
      </c>
      <c r="B521" s="213" t="s">
        <v>833</v>
      </c>
      <c r="C521" s="213" t="s">
        <v>834</v>
      </c>
    </row>
    <row r="522" spans="1:3" x14ac:dyDescent="0.25">
      <c r="A522" s="211">
        <f t="shared" si="8"/>
        <v>1120877</v>
      </c>
      <c r="B522" s="213" t="s">
        <v>835</v>
      </c>
      <c r="C522" s="213" t="s">
        <v>836</v>
      </c>
    </row>
    <row r="523" spans="1:3" x14ac:dyDescent="0.25">
      <c r="A523" s="211">
        <f t="shared" si="8"/>
        <v>1120878</v>
      </c>
      <c r="B523" s="213" t="s">
        <v>837</v>
      </c>
      <c r="C523" s="213" t="s">
        <v>838</v>
      </c>
    </row>
    <row r="524" spans="1:3" x14ac:dyDescent="0.25">
      <c r="A524" s="211">
        <f t="shared" si="8"/>
        <v>1120879</v>
      </c>
      <c r="B524" s="213" t="s">
        <v>839</v>
      </c>
      <c r="C524" s="213" t="s">
        <v>840</v>
      </c>
    </row>
    <row r="525" spans="1:3" x14ac:dyDescent="0.25">
      <c r="A525" s="211">
        <f t="shared" si="8"/>
        <v>1120880</v>
      </c>
      <c r="B525" s="213" t="s">
        <v>841</v>
      </c>
      <c r="C525" s="213" t="s">
        <v>842</v>
      </c>
    </row>
    <row r="526" spans="1:3" x14ac:dyDescent="0.25">
      <c r="A526" s="211">
        <f t="shared" si="8"/>
        <v>1120881</v>
      </c>
      <c r="B526" s="213" t="s">
        <v>843</v>
      </c>
      <c r="C526" s="213" t="s">
        <v>844</v>
      </c>
    </row>
    <row r="527" spans="1:3" x14ac:dyDescent="0.25">
      <c r="A527" s="211">
        <f t="shared" si="8"/>
        <v>1120882</v>
      </c>
      <c r="B527" s="213" t="s">
        <v>845</v>
      </c>
      <c r="C527" s="213" t="s">
        <v>846</v>
      </c>
    </row>
    <row r="528" spans="1:3" x14ac:dyDescent="0.25">
      <c r="A528" s="211">
        <f t="shared" si="8"/>
        <v>1120883</v>
      </c>
      <c r="B528" s="213" t="s">
        <v>847</v>
      </c>
      <c r="C528" s="213" t="s">
        <v>848</v>
      </c>
    </row>
    <row r="529" spans="1:3" x14ac:dyDescent="0.25">
      <c r="A529" s="211">
        <f t="shared" si="8"/>
        <v>1120884</v>
      </c>
      <c r="B529" s="213" t="s">
        <v>849</v>
      </c>
      <c r="C529" s="213" t="s">
        <v>850</v>
      </c>
    </row>
    <row r="530" spans="1:3" x14ac:dyDescent="0.25">
      <c r="A530" s="211">
        <f t="shared" si="8"/>
        <v>1120885</v>
      </c>
      <c r="B530" s="213" t="s">
        <v>851</v>
      </c>
      <c r="C530" s="213" t="s">
        <v>852</v>
      </c>
    </row>
    <row r="531" spans="1:3" x14ac:dyDescent="0.25">
      <c r="A531" s="211">
        <f t="shared" si="8"/>
        <v>1120886</v>
      </c>
      <c r="B531" s="213" t="s">
        <v>853</v>
      </c>
      <c r="C531" s="213" t="s">
        <v>854</v>
      </c>
    </row>
    <row r="532" spans="1:3" x14ac:dyDescent="0.25">
      <c r="A532" s="211">
        <f t="shared" si="8"/>
        <v>1120887</v>
      </c>
      <c r="B532" s="213" t="s">
        <v>855</v>
      </c>
      <c r="C532" s="213" t="s">
        <v>856</v>
      </c>
    </row>
    <row r="533" spans="1:3" x14ac:dyDescent="0.25">
      <c r="A533" s="211">
        <f t="shared" si="8"/>
        <v>1120888</v>
      </c>
      <c r="B533" s="213" t="s">
        <v>857</v>
      </c>
      <c r="C533" s="213" t="s">
        <v>858</v>
      </c>
    </row>
    <row r="534" spans="1:3" x14ac:dyDescent="0.25">
      <c r="A534" s="211">
        <f t="shared" si="8"/>
        <v>1120900</v>
      </c>
      <c r="B534" s="213" t="s">
        <v>859</v>
      </c>
      <c r="C534" s="213" t="s">
        <v>860</v>
      </c>
    </row>
    <row r="535" spans="1:3" x14ac:dyDescent="0.25">
      <c r="A535" s="211">
        <f t="shared" si="8"/>
        <v>1120901</v>
      </c>
      <c r="B535" s="213" t="s">
        <v>861</v>
      </c>
      <c r="C535" s="213" t="s">
        <v>862</v>
      </c>
    </row>
    <row r="536" spans="1:3" x14ac:dyDescent="0.25">
      <c r="A536" s="211" t="str">
        <f t="shared" si="8"/>
        <v/>
      </c>
      <c r="B536" s="213" t="s">
        <v>13719</v>
      </c>
      <c r="C536" s="212"/>
    </row>
    <row r="537" spans="1:3" x14ac:dyDescent="0.25">
      <c r="A537" s="211">
        <f t="shared" si="8"/>
        <v>1120902</v>
      </c>
      <c r="B537" s="213" t="s">
        <v>863</v>
      </c>
      <c r="C537" s="213" t="s">
        <v>864</v>
      </c>
    </row>
    <row r="538" spans="1:3" x14ac:dyDescent="0.25">
      <c r="A538" s="211" t="str">
        <f t="shared" si="8"/>
        <v/>
      </c>
      <c r="B538" s="213" t="s">
        <v>13720</v>
      </c>
      <c r="C538" s="212"/>
    </row>
    <row r="539" spans="1:3" x14ac:dyDescent="0.25">
      <c r="A539" s="211">
        <f t="shared" si="8"/>
        <v>1120903</v>
      </c>
      <c r="B539" s="213" t="s">
        <v>865</v>
      </c>
      <c r="C539" s="213" t="s">
        <v>866</v>
      </c>
    </row>
    <row r="540" spans="1:3" x14ac:dyDescent="0.25">
      <c r="A540" s="211">
        <f t="shared" si="8"/>
        <v>1120904</v>
      </c>
      <c r="B540" s="213" t="s">
        <v>867</v>
      </c>
      <c r="C540" s="213" t="s">
        <v>868</v>
      </c>
    </row>
    <row r="541" spans="1:3" x14ac:dyDescent="0.25">
      <c r="A541" s="211">
        <f t="shared" si="8"/>
        <v>1120910</v>
      </c>
      <c r="B541" s="213" t="s">
        <v>7461</v>
      </c>
      <c r="C541" s="213" t="s">
        <v>7462</v>
      </c>
    </row>
    <row r="542" spans="1:3" x14ac:dyDescent="0.25">
      <c r="A542" s="211">
        <f t="shared" si="8"/>
        <v>1120911</v>
      </c>
      <c r="B542" s="213" t="s">
        <v>7463</v>
      </c>
      <c r="C542" s="213" t="s">
        <v>7464</v>
      </c>
    </row>
    <row r="543" spans="1:3" x14ac:dyDescent="0.25">
      <c r="A543" s="211">
        <f t="shared" si="8"/>
        <v>1120920</v>
      </c>
      <c r="B543" s="213" t="s">
        <v>13419</v>
      </c>
      <c r="C543" s="213" t="s">
        <v>13420</v>
      </c>
    </row>
    <row r="544" spans="1:3" x14ac:dyDescent="0.25">
      <c r="A544" s="211">
        <f t="shared" si="8"/>
        <v>1120921</v>
      </c>
      <c r="B544" s="213" t="s">
        <v>13421</v>
      </c>
      <c r="C544" s="213" t="s">
        <v>13422</v>
      </c>
    </row>
    <row r="545" spans="1:3" x14ac:dyDescent="0.25">
      <c r="A545" s="211">
        <f t="shared" si="8"/>
        <v>1120922</v>
      </c>
      <c r="B545" s="213" t="s">
        <v>13423</v>
      </c>
      <c r="C545" s="213" t="s">
        <v>13424</v>
      </c>
    </row>
    <row r="546" spans="1:3" x14ac:dyDescent="0.25">
      <c r="A546" s="211">
        <f t="shared" si="8"/>
        <v>1120923</v>
      </c>
      <c r="B546" s="213" t="s">
        <v>13721</v>
      </c>
      <c r="C546" s="213" t="s">
        <v>13722</v>
      </c>
    </row>
    <row r="547" spans="1:3" x14ac:dyDescent="0.25">
      <c r="A547" s="211">
        <f t="shared" si="8"/>
        <v>1120940</v>
      </c>
      <c r="B547" s="213" t="s">
        <v>869</v>
      </c>
      <c r="C547" s="213" t="s">
        <v>870</v>
      </c>
    </row>
    <row r="548" spans="1:3" x14ac:dyDescent="0.25">
      <c r="A548" s="211">
        <f t="shared" si="8"/>
        <v>112094034</v>
      </c>
      <c r="B548" s="213" t="s">
        <v>871</v>
      </c>
      <c r="C548" s="213" t="s">
        <v>872</v>
      </c>
    </row>
    <row r="549" spans="1:3" x14ac:dyDescent="0.25">
      <c r="A549" s="211">
        <f t="shared" si="8"/>
        <v>112094036</v>
      </c>
      <c r="B549" s="213" t="s">
        <v>873</v>
      </c>
      <c r="C549" s="213" t="s">
        <v>874</v>
      </c>
    </row>
    <row r="550" spans="1:3" x14ac:dyDescent="0.25">
      <c r="A550" s="211">
        <f t="shared" si="8"/>
        <v>112094038</v>
      </c>
      <c r="B550" s="213" t="s">
        <v>875</v>
      </c>
      <c r="C550" s="213" t="s">
        <v>876</v>
      </c>
    </row>
    <row r="551" spans="1:3" x14ac:dyDescent="0.25">
      <c r="A551" s="211">
        <f t="shared" si="8"/>
        <v>112094040</v>
      </c>
      <c r="B551" s="213" t="s">
        <v>877</v>
      </c>
      <c r="C551" s="213" t="s">
        <v>878</v>
      </c>
    </row>
    <row r="552" spans="1:3" x14ac:dyDescent="0.25">
      <c r="A552" s="211">
        <f t="shared" si="8"/>
        <v>112094044</v>
      </c>
      <c r="B552" s="213" t="s">
        <v>879</v>
      </c>
      <c r="C552" s="213" t="s">
        <v>571</v>
      </c>
    </row>
    <row r="553" spans="1:3" x14ac:dyDescent="0.25">
      <c r="A553" s="211">
        <f t="shared" si="8"/>
        <v>112094046</v>
      </c>
      <c r="B553" s="213" t="s">
        <v>880</v>
      </c>
      <c r="C553" s="213" t="s">
        <v>881</v>
      </c>
    </row>
    <row r="554" spans="1:3" x14ac:dyDescent="0.25">
      <c r="A554" s="211">
        <f t="shared" si="8"/>
        <v>112094048</v>
      </c>
      <c r="B554" s="213" t="s">
        <v>882</v>
      </c>
      <c r="C554" s="213" t="s">
        <v>883</v>
      </c>
    </row>
    <row r="555" spans="1:3" x14ac:dyDescent="0.25">
      <c r="A555" s="211">
        <f t="shared" si="8"/>
        <v>112094052</v>
      </c>
      <c r="B555" s="213" t="s">
        <v>884</v>
      </c>
      <c r="C555" s="213" t="s">
        <v>885</v>
      </c>
    </row>
    <row r="556" spans="1:3" x14ac:dyDescent="0.25">
      <c r="A556" s="211">
        <f t="shared" si="8"/>
        <v>1120941</v>
      </c>
      <c r="B556" s="213" t="s">
        <v>886</v>
      </c>
      <c r="C556" s="213" t="s">
        <v>887</v>
      </c>
    </row>
    <row r="557" spans="1:3" x14ac:dyDescent="0.25">
      <c r="A557" s="211">
        <f t="shared" si="8"/>
        <v>112094152</v>
      </c>
      <c r="B557" s="213" t="s">
        <v>888</v>
      </c>
      <c r="C557" s="213" t="s">
        <v>889</v>
      </c>
    </row>
    <row r="558" spans="1:3" x14ac:dyDescent="0.25">
      <c r="A558" s="211">
        <f t="shared" si="8"/>
        <v>112094154</v>
      </c>
      <c r="B558" s="213" t="s">
        <v>890</v>
      </c>
      <c r="C558" s="213" t="s">
        <v>891</v>
      </c>
    </row>
    <row r="559" spans="1:3" x14ac:dyDescent="0.25">
      <c r="A559" s="211">
        <f t="shared" si="8"/>
        <v>1120942</v>
      </c>
      <c r="B559" s="213" t="s">
        <v>892</v>
      </c>
      <c r="C559" s="213" t="s">
        <v>893</v>
      </c>
    </row>
    <row r="560" spans="1:3" x14ac:dyDescent="0.25">
      <c r="A560" s="211">
        <f t="shared" si="8"/>
        <v>112094256</v>
      </c>
      <c r="B560" s="213" t="s">
        <v>894</v>
      </c>
      <c r="C560" s="213" t="s">
        <v>895</v>
      </c>
    </row>
    <row r="561" spans="1:3" x14ac:dyDescent="0.25">
      <c r="A561" s="211">
        <f t="shared" si="8"/>
        <v>112094258</v>
      </c>
      <c r="B561" s="213" t="s">
        <v>896</v>
      </c>
      <c r="C561" s="213" t="s">
        <v>897</v>
      </c>
    </row>
    <row r="562" spans="1:3" x14ac:dyDescent="0.25">
      <c r="A562" s="211">
        <f t="shared" si="8"/>
        <v>112094260</v>
      </c>
      <c r="B562" s="213" t="s">
        <v>898</v>
      </c>
      <c r="C562" s="213" t="s">
        <v>899</v>
      </c>
    </row>
    <row r="563" spans="1:3" x14ac:dyDescent="0.25">
      <c r="A563" s="211">
        <f t="shared" si="8"/>
        <v>1120943</v>
      </c>
      <c r="B563" s="213" t="s">
        <v>900</v>
      </c>
      <c r="C563" s="213" t="s">
        <v>901</v>
      </c>
    </row>
    <row r="564" spans="1:3" x14ac:dyDescent="0.25">
      <c r="A564" s="211">
        <f t="shared" si="8"/>
        <v>1120946</v>
      </c>
      <c r="B564" s="213" t="s">
        <v>902</v>
      </c>
      <c r="C564" s="213" t="s">
        <v>903</v>
      </c>
    </row>
    <row r="565" spans="1:3" x14ac:dyDescent="0.25">
      <c r="A565" s="211" t="str">
        <f t="shared" si="8"/>
        <v/>
      </c>
      <c r="B565" s="213" t="s">
        <v>13723</v>
      </c>
      <c r="C565" s="212"/>
    </row>
    <row r="566" spans="1:3" x14ac:dyDescent="0.25">
      <c r="A566" s="211">
        <f t="shared" si="8"/>
        <v>1120947</v>
      </c>
      <c r="B566" s="213" t="s">
        <v>904</v>
      </c>
      <c r="C566" s="213" t="s">
        <v>905</v>
      </c>
    </row>
    <row r="567" spans="1:3" x14ac:dyDescent="0.25">
      <c r="A567" s="211" t="str">
        <f t="shared" si="8"/>
        <v/>
      </c>
      <c r="B567" s="213" t="s">
        <v>13724</v>
      </c>
      <c r="C567" s="212"/>
    </row>
    <row r="568" spans="1:3" x14ac:dyDescent="0.25">
      <c r="A568" s="211">
        <f t="shared" si="8"/>
        <v>1120948</v>
      </c>
      <c r="B568" s="213" t="s">
        <v>906</v>
      </c>
      <c r="C568" s="213" t="s">
        <v>907</v>
      </c>
    </row>
    <row r="569" spans="1:3" x14ac:dyDescent="0.25">
      <c r="A569" s="211" t="str">
        <f t="shared" si="8"/>
        <v/>
      </c>
      <c r="B569" s="213" t="s">
        <v>13725</v>
      </c>
      <c r="C569" s="212"/>
    </row>
    <row r="570" spans="1:3" x14ac:dyDescent="0.25">
      <c r="A570" s="211">
        <f t="shared" si="8"/>
        <v>1120949</v>
      </c>
      <c r="B570" s="213" t="s">
        <v>908</v>
      </c>
      <c r="C570" s="213" t="s">
        <v>909</v>
      </c>
    </row>
    <row r="571" spans="1:3" x14ac:dyDescent="0.25">
      <c r="A571" s="211">
        <f t="shared" si="8"/>
        <v>1120950</v>
      </c>
      <c r="B571" s="213" t="s">
        <v>910</v>
      </c>
      <c r="C571" s="213" t="s">
        <v>911</v>
      </c>
    </row>
    <row r="572" spans="1:3" x14ac:dyDescent="0.25">
      <c r="A572" s="211">
        <f t="shared" si="8"/>
        <v>1120952</v>
      </c>
      <c r="B572" s="213" t="s">
        <v>912</v>
      </c>
      <c r="C572" s="213" t="s">
        <v>913</v>
      </c>
    </row>
    <row r="573" spans="1:3" x14ac:dyDescent="0.25">
      <c r="A573" s="211">
        <f t="shared" si="8"/>
        <v>1120953</v>
      </c>
      <c r="B573" s="213" t="s">
        <v>914</v>
      </c>
      <c r="C573" s="213" t="s">
        <v>915</v>
      </c>
    </row>
    <row r="574" spans="1:3" x14ac:dyDescent="0.25">
      <c r="A574" s="211">
        <f t="shared" si="8"/>
        <v>1120954</v>
      </c>
      <c r="B574" s="213" t="s">
        <v>916</v>
      </c>
      <c r="C574" s="213" t="s">
        <v>917</v>
      </c>
    </row>
    <row r="575" spans="1:3" x14ac:dyDescent="0.25">
      <c r="A575" s="211">
        <f t="shared" si="8"/>
        <v>1120963</v>
      </c>
      <c r="B575" s="213" t="s">
        <v>918</v>
      </c>
      <c r="C575" s="213" t="s">
        <v>919</v>
      </c>
    </row>
    <row r="576" spans="1:3" x14ac:dyDescent="0.25">
      <c r="A576" s="211">
        <f t="shared" si="8"/>
        <v>1120977</v>
      </c>
      <c r="B576" s="213" t="s">
        <v>920</v>
      </c>
      <c r="C576" s="213" t="s">
        <v>921</v>
      </c>
    </row>
    <row r="577" spans="1:3" x14ac:dyDescent="0.25">
      <c r="A577" s="211">
        <f t="shared" si="8"/>
        <v>1120978</v>
      </c>
      <c r="B577" s="213" t="s">
        <v>7465</v>
      </c>
      <c r="C577" s="213" t="s">
        <v>7466</v>
      </c>
    </row>
    <row r="578" spans="1:3" x14ac:dyDescent="0.25">
      <c r="A578" s="211">
        <f t="shared" ref="A578:A641" si="9">IFERROR(B578*1,"")</f>
        <v>1120979</v>
      </c>
      <c r="B578" s="213" t="s">
        <v>922</v>
      </c>
      <c r="C578" s="213" t="s">
        <v>923</v>
      </c>
    </row>
    <row r="579" spans="1:3" x14ac:dyDescent="0.25">
      <c r="A579" s="211">
        <f t="shared" si="9"/>
        <v>1120980</v>
      </c>
      <c r="B579" s="213" t="s">
        <v>7467</v>
      </c>
      <c r="C579" s="213" t="s">
        <v>7468</v>
      </c>
    </row>
    <row r="580" spans="1:3" x14ac:dyDescent="0.25">
      <c r="A580" s="211">
        <f t="shared" si="9"/>
        <v>1123456</v>
      </c>
      <c r="B580" s="213" t="s">
        <v>924</v>
      </c>
      <c r="C580" s="213" t="s">
        <v>925</v>
      </c>
    </row>
    <row r="581" spans="1:3" x14ac:dyDescent="0.25">
      <c r="A581" s="211">
        <f t="shared" si="9"/>
        <v>1123457</v>
      </c>
      <c r="B581" s="213" t="s">
        <v>926</v>
      </c>
      <c r="C581" s="213" t="s">
        <v>927</v>
      </c>
    </row>
    <row r="582" spans="1:3" x14ac:dyDescent="0.25">
      <c r="A582" s="211">
        <f t="shared" si="9"/>
        <v>1123458</v>
      </c>
      <c r="B582" s="213" t="s">
        <v>928</v>
      </c>
      <c r="C582" s="213" t="s">
        <v>929</v>
      </c>
    </row>
    <row r="583" spans="1:3" x14ac:dyDescent="0.25">
      <c r="A583" s="211">
        <f t="shared" si="9"/>
        <v>1130000</v>
      </c>
      <c r="B583" s="213" t="s">
        <v>7469</v>
      </c>
      <c r="C583" s="213" t="s">
        <v>7470</v>
      </c>
    </row>
    <row r="584" spans="1:3" x14ac:dyDescent="0.25">
      <c r="A584" s="211">
        <f t="shared" si="9"/>
        <v>1130001</v>
      </c>
      <c r="B584" s="213" t="s">
        <v>930</v>
      </c>
      <c r="C584" s="213" t="s">
        <v>931</v>
      </c>
    </row>
    <row r="585" spans="1:3" x14ac:dyDescent="0.25">
      <c r="A585" s="211">
        <f t="shared" si="9"/>
        <v>1130002</v>
      </c>
      <c r="B585" s="213" t="s">
        <v>932</v>
      </c>
      <c r="C585" s="213" t="s">
        <v>933</v>
      </c>
    </row>
    <row r="586" spans="1:3" x14ac:dyDescent="0.25">
      <c r="A586" s="211">
        <f t="shared" si="9"/>
        <v>1130003</v>
      </c>
      <c r="B586" s="213" t="s">
        <v>934</v>
      </c>
      <c r="C586" s="213" t="s">
        <v>935</v>
      </c>
    </row>
    <row r="587" spans="1:3" x14ac:dyDescent="0.25">
      <c r="A587" s="211">
        <f t="shared" si="9"/>
        <v>1130008</v>
      </c>
      <c r="B587" s="213" t="s">
        <v>936</v>
      </c>
      <c r="C587" s="213" t="s">
        <v>937</v>
      </c>
    </row>
    <row r="588" spans="1:3" x14ac:dyDescent="0.25">
      <c r="A588" s="211">
        <f t="shared" si="9"/>
        <v>1130009</v>
      </c>
      <c r="B588" s="213" t="s">
        <v>938</v>
      </c>
      <c r="C588" s="213" t="s">
        <v>939</v>
      </c>
    </row>
    <row r="589" spans="1:3" x14ac:dyDescent="0.25">
      <c r="A589" s="211">
        <f t="shared" si="9"/>
        <v>1130226</v>
      </c>
      <c r="B589" s="213" t="s">
        <v>940</v>
      </c>
      <c r="C589" s="213" t="s">
        <v>941</v>
      </c>
    </row>
    <row r="590" spans="1:3" x14ac:dyDescent="0.25">
      <c r="A590" s="211">
        <f t="shared" si="9"/>
        <v>1130254</v>
      </c>
      <c r="B590" s="213" t="s">
        <v>942</v>
      </c>
      <c r="C590" s="213" t="s">
        <v>943</v>
      </c>
    </row>
    <row r="591" spans="1:3" x14ac:dyDescent="0.25">
      <c r="A591" s="211">
        <f t="shared" si="9"/>
        <v>1130255</v>
      </c>
      <c r="B591" s="213" t="s">
        <v>944</v>
      </c>
      <c r="C591" s="213" t="s">
        <v>945</v>
      </c>
    </row>
    <row r="592" spans="1:3" x14ac:dyDescent="0.25">
      <c r="A592" s="211">
        <f t="shared" si="9"/>
        <v>1130284</v>
      </c>
      <c r="B592" s="213" t="s">
        <v>946</v>
      </c>
      <c r="C592" s="213" t="s">
        <v>947</v>
      </c>
    </row>
    <row r="593" spans="1:3" x14ac:dyDescent="0.25">
      <c r="A593" s="211" t="str">
        <f t="shared" si="9"/>
        <v/>
      </c>
      <c r="B593" s="213" t="s">
        <v>13726</v>
      </c>
      <c r="C593" s="212"/>
    </row>
    <row r="594" spans="1:3" x14ac:dyDescent="0.25">
      <c r="A594" s="211">
        <f t="shared" si="9"/>
        <v>1130285</v>
      </c>
      <c r="B594" s="213" t="s">
        <v>948</v>
      </c>
      <c r="C594" s="213" t="s">
        <v>949</v>
      </c>
    </row>
    <row r="595" spans="1:3" x14ac:dyDescent="0.25">
      <c r="A595" s="211">
        <f t="shared" si="9"/>
        <v>1130495</v>
      </c>
      <c r="B595" s="213" t="s">
        <v>950</v>
      </c>
      <c r="C595" s="213" t="s">
        <v>951</v>
      </c>
    </row>
    <row r="596" spans="1:3" x14ac:dyDescent="0.25">
      <c r="A596" s="211">
        <f t="shared" si="9"/>
        <v>1130496</v>
      </c>
      <c r="B596" s="213" t="s">
        <v>952</v>
      </c>
      <c r="C596" s="213" t="s">
        <v>953</v>
      </c>
    </row>
    <row r="597" spans="1:3" x14ac:dyDescent="0.25">
      <c r="A597" s="211">
        <f t="shared" si="9"/>
        <v>1130549</v>
      </c>
      <c r="B597" s="213" t="s">
        <v>954</v>
      </c>
      <c r="C597" s="213" t="s">
        <v>955</v>
      </c>
    </row>
    <row r="598" spans="1:3" x14ac:dyDescent="0.25">
      <c r="A598" s="211">
        <f t="shared" si="9"/>
        <v>1130555</v>
      </c>
      <c r="B598" s="213" t="s">
        <v>956</v>
      </c>
      <c r="C598" s="213" t="s">
        <v>957</v>
      </c>
    </row>
    <row r="599" spans="1:3" x14ac:dyDescent="0.25">
      <c r="A599" s="211">
        <f t="shared" si="9"/>
        <v>1130713</v>
      </c>
      <c r="B599" s="213" t="s">
        <v>958</v>
      </c>
      <c r="C599" s="213" t="s">
        <v>959</v>
      </c>
    </row>
    <row r="600" spans="1:3" x14ac:dyDescent="0.25">
      <c r="A600" s="211">
        <f t="shared" si="9"/>
        <v>1130745</v>
      </c>
      <c r="B600" s="213" t="s">
        <v>960</v>
      </c>
      <c r="C600" s="213" t="s">
        <v>961</v>
      </c>
    </row>
    <row r="601" spans="1:3" x14ac:dyDescent="0.25">
      <c r="A601" s="211">
        <f t="shared" si="9"/>
        <v>1130750</v>
      </c>
      <c r="B601" s="213" t="s">
        <v>962</v>
      </c>
      <c r="C601" s="213" t="s">
        <v>963</v>
      </c>
    </row>
    <row r="602" spans="1:3" x14ac:dyDescent="0.25">
      <c r="A602" s="211">
        <f t="shared" si="9"/>
        <v>1130751</v>
      </c>
      <c r="B602" s="213" t="s">
        <v>964</v>
      </c>
      <c r="C602" s="213" t="s">
        <v>965</v>
      </c>
    </row>
    <row r="603" spans="1:3" x14ac:dyDescent="0.25">
      <c r="A603" s="211">
        <f t="shared" si="9"/>
        <v>1130894</v>
      </c>
      <c r="B603" s="213" t="s">
        <v>966</v>
      </c>
      <c r="C603" s="213" t="s">
        <v>967</v>
      </c>
    </row>
    <row r="604" spans="1:3" x14ac:dyDescent="0.25">
      <c r="A604" s="211">
        <f t="shared" si="9"/>
        <v>1130900</v>
      </c>
      <c r="B604" s="213" t="s">
        <v>968</v>
      </c>
      <c r="C604" s="213" t="s">
        <v>969</v>
      </c>
    </row>
    <row r="605" spans="1:3" x14ac:dyDescent="0.25">
      <c r="A605" s="211">
        <f t="shared" si="9"/>
        <v>1130965</v>
      </c>
      <c r="B605" s="213" t="s">
        <v>970</v>
      </c>
      <c r="C605" s="213" t="s">
        <v>971</v>
      </c>
    </row>
    <row r="606" spans="1:3" x14ac:dyDescent="0.25">
      <c r="A606" s="211">
        <f t="shared" si="9"/>
        <v>1140000</v>
      </c>
      <c r="B606" s="213" t="s">
        <v>972</v>
      </c>
      <c r="C606" s="213" t="s">
        <v>973</v>
      </c>
    </row>
    <row r="607" spans="1:3" x14ac:dyDescent="0.25">
      <c r="A607" s="211">
        <f t="shared" si="9"/>
        <v>1140001</v>
      </c>
      <c r="B607" s="213" t="s">
        <v>974</v>
      </c>
      <c r="C607" s="213" t="s">
        <v>975</v>
      </c>
    </row>
    <row r="608" spans="1:3" x14ac:dyDescent="0.25">
      <c r="A608" s="211" t="str">
        <f t="shared" si="9"/>
        <v/>
      </c>
      <c r="B608" s="213" t="s">
        <v>13727</v>
      </c>
      <c r="C608" s="212"/>
    </row>
    <row r="609" spans="1:3" x14ac:dyDescent="0.25">
      <c r="A609" s="211">
        <f t="shared" si="9"/>
        <v>1200001</v>
      </c>
      <c r="B609" s="213" t="s">
        <v>976</v>
      </c>
      <c r="C609" s="213" t="s">
        <v>977</v>
      </c>
    </row>
    <row r="610" spans="1:3" x14ac:dyDescent="0.25">
      <c r="A610" s="211" t="str">
        <f t="shared" si="9"/>
        <v/>
      </c>
      <c r="B610" s="213" t="s">
        <v>978</v>
      </c>
      <c r="C610" s="213" t="s">
        <v>979</v>
      </c>
    </row>
    <row r="611" spans="1:3" x14ac:dyDescent="0.25">
      <c r="A611" s="211" t="str">
        <f t="shared" si="9"/>
        <v/>
      </c>
      <c r="B611" s="213" t="s">
        <v>13728</v>
      </c>
      <c r="C611" s="212"/>
    </row>
    <row r="612" spans="1:3" x14ac:dyDescent="0.25">
      <c r="A612" s="211" t="str">
        <f t="shared" si="9"/>
        <v/>
      </c>
      <c r="B612" s="213" t="s">
        <v>13729</v>
      </c>
      <c r="C612" s="212"/>
    </row>
    <row r="613" spans="1:3" x14ac:dyDescent="0.25">
      <c r="A613" s="211">
        <f t="shared" si="9"/>
        <v>1200003</v>
      </c>
      <c r="B613" s="213" t="s">
        <v>980</v>
      </c>
      <c r="C613" s="213" t="s">
        <v>981</v>
      </c>
    </row>
    <row r="614" spans="1:3" x14ac:dyDescent="0.25">
      <c r="A614" s="211" t="str">
        <f t="shared" si="9"/>
        <v/>
      </c>
      <c r="B614" s="213" t="s">
        <v>13730</v>
      </c>
      <c r="C614" s="212"/>
    </row>
    <row r="615" spans="1:3" x14ac:dyDescent="0.25">
      <c r="A615" s="211">
        <f t="shared" si="9"/>
        <v>1200004</v>
      </c>
      <c r="B615" s="213" t="s">
        <v>982</v>
      </c>
      <c r="C615" s="213" t="s">
        <v>983</v>
      </c>
    </row>
    <row r="616" spans="1:3" x14ac:dyDescent="0.25">
      <c r="A616" s="211" t="str">
        <f t="shared" si="9"/>
        <v/>
      </c>
      <c r="B616" s="213" t="s">
        <v>13731</v>
      </c>
      <c r="C616" s="212"/>
    </row>
    <row r="617" spans="1:3" x14ac:dyDescent="0.25">
      <c r="A617" s="211">
        <f t="shared" si="9"/>
        <v>1200005</v>
      </c>
      <c r="B617" s="213" t="s">
        <v>984</v>
      </c>
      <c r="C617" s="213" t="s">
        <v>985</v>
      </c>
    </row>
    <row r="618" spans="1:3" x14ac:dyDescent="0.25">
      <c r="A618" s="211" t="str">
        <f t="shared" si="9"/>
        <v/>
      </c>
      <c r="B618" s="213" t="s">
        <v>13732</v>
      </c>
      <c r="C618" s="212"/>
    </row>
    <row r="619" spans="1:3" x14ac:dyDescent="0.25">
      <c r="A619" s="211">
        <f t="shared" si="9"/>
        <v>1200011</v>
      </c>
      <c r="B619" s="213" t="s">
        <v>986</v>
      </c>
      <c r="C619" s="213" t="s">
        <v>987</v>
      </c>
    </row>
    <row r="620" spans="1:3" x14ac:dyDescent="0.25">
      <c r="A620" s="211" t="str">
        <f t="shared" si="9"/>
        <v/>
      </c>
      <c r="B620" s="213" t="s">
        <v>13733</v>
      </c>
      <c r="C620" s="212"/>
    </row>
    <row r="621" spans="1:3" x14ac:dyDescent="0.25">
      <c r="A621" s="211">
        <f t="shared" si="9"/>
        <v>1200012</v>
      </c>
      <c r="B621" s="213" t="s">
        <v>988</v>
      </c>
      <c r="C621" s="213" t="s">
        <v>989</v>
      </c>
    </row>
    <row r="622" spans="1:3" x14ac:dyDescent="0.25">
      <c r="A622" s="211" t="str">
        <f t="shared" si="9"/>
        <v/>
      </c>
      <c r="B622" s="213" t="s">
        <v>13734</v>
      </c>
      <c r="C622" s="212"/>
    </row>
    <row r="623" spans="1:3" x14ac:dyDescent="0.25">
      <c r="A623" s="211">
        <f t="shared" si="9"/>
        <v>1200013</v>
      </c>
      <c r="B623" s="213" t="s">
        <v>990</v>
      </c>
      <c r="C623" s="213" t="s">
        <v>991</v>
      </c>
    </row>
    <row r="624" spans="1:3" x14ac:dyDescent="0.25">
      <c r="A624" s="211" t="str">
        <f t="shared" si="9"/>
        <v/>
      </c>
      <c r="B624" s="213" t="s">
        <v>13735</v>
      </c>
      <c r="C624" s="212"/>
    </row>
    <row r="625" spans="1:3" x14ac:dyDescent="0.25">
      <c r="A625" s="211">
        <f t="shared" si="9"/>
        <v>1200014</v>
      </c>
      <c r="B625" s="213" t="s">
        <v>992</v>
      </c>
      <c r="C625" s="213" t="s">
        <v>993</v>
      </c>
    </row>
    <row r="626" spans="1:3" x14ac:dyDescent="0.25">
      <c r="A626" s="211" t="str">
        <f t="shared" si="9"/>
        <v/>
      </c>
      <c r="B626" s="213" t="s">
        <v>13736</v>
      </c>
      <c r="C626" s="212"/>
    </row>
    <row r="627" spans="1:3" x14ac:dyDescent="0.25">
      <c r="A627" s="211">
        <f t="shared" si="9"/>
        <v>1200015</v>
      </c>
      <c r="B627" s="213" t="s">
        <v>994</v>
      </c>
      <c r="C627" s="213" t="s">
        <v>995</v>
      </c>
    </row>
    <row r="628" spans="1:3" x14ac:dyDescent="0.25">
      <c r="A628" s="211" t="str">
        <f t="shared" si="9"/>
        <v/>
      </c>
      <c r="B628" s="213" t="s">
        <v>13737</v>
      </c>
      <c r="C628" s="212"/>
    </row>
    <row r="629" spans="1:3" x14ac:dyDescent="0.25">
      <c r="A629" s="211">
        <f t="shared" si="9"/>
        <v>1200016</v>
      </c>
      <c r="B629" s="213" t="s">
        <v>996</v>
      </c>
      <c r="C629" s="213" t="s">
        <v>997</v>
      </c>
    </row>
    <row r="630" spans="1:3" x14ac:dyDescent="0.25">
      <c r="A630" s="211" t="str">
        <f t="shared" si="9"/>
        <v/>
      </c>
      <c r="B630" s="213" t="s">
        <v>13738</v>
      </c>
      <c r="C630" s="212"/>
    </row>
    <row r="631" spans="1:3" x14ac:dyDescent="0.25">
      <c r="A631" s="211">
        <f t="shared" si="9"/>
        <v>1200900</v>
      </c>
      <c r="B631" s="213" t="s">
        <v>998</v>
      </c>
      <c r="C631" s="213" t="s">
        <v>999</v>
      </c>
    </row>
    <row r="632" spans="1:3" x14ac:dyDescent="0.25">
      <c r="A632" s="211" t="str">
        <f t="shared" si="9"/>
        <v/>
      </c>
      <c r="B632" s="213" t="s">
        <v>13739</v>
      </c>
      <c r="C632" s="212"/>
    </row>
    <row r="633" spans="1:3" x14ac:dyDescent="0.25">
      <c r="A633" s="211">
        <f t="shared" si="9"/>
        <v>1200901</v>
      </c>
      <c r="B633" s="213" t="s">
        <v>1000</v>
      </c>
      <c r="C633" s="213" t="s">
        <v>1001</v>
      </c>
    </row>
    <row r="634" spans="1:3" x14ac:dyDescent="0.25">
      <c r="A634" s="211" t="str">
        <f t="shared" si="9"/>
        <v/>
      </c>
      <c r="B634" s="213" t="s">
        <v>13740</v>
      </c>
      <c r="C634" s="212"/>
    </row>
    <row r="635" spans="1:3" x14ac:dyDescent="0.25">
      <c r="A635" s="211">
        <f t="shared" si="9"/>
        <v>1213131</v>
      </c>
      <c r="B635" s="213" t="s">
        <v>1002</v>
      </c>
      <c r="C635" s="213" t="s">
        <v>1003</v>
      </c>
    </row>
    <row r="636" spans="1:3" x14ac:dyDescent="0.25">
      <c r="A636" s="211">
        <f t="shared" si="9"/>
        <v>123456789</v>
      </c>
      <c r="B636" s="213" t="s">
        <v>1004</v>
      </c>
      <c r="C636" s="213" t="s">
        <v>1004</v>
      </c>
    </row>
    <row r="637" spans="1:3" x14ac:dyDescent="0.25">
      <c r="A637" s="211">
        <f t="shared" si="9"/>
        <v>1407001</v>
      </c>
      <c r="B637" s="213" t="s">
        <v>1005</v>
      </c>
      <c r="C637" s="213" t="s">
        <v>1006</v>
      </c>
    </row>
    <row r="638" spans="1:3" x14ac:dyDescent="0.25">
      <c r="A638" s="211">
        <f t="shared" si="9"/>
        <v>1407093</v>
      </c>
      <c r="B638" s="213" t="s">
        <v>1007</v>
      </c>
      <c r="C638" s="213" t="s">
        <v>1008</v>
      </c>
    </row>
    <row r="639" spans="1:3" x14ac:dyDescent="0.25">
      <c r="A639" s="211">
        <f t="shared" si="9"/>
        <v>1407094</v>
      </c>
      <c r="B639" s="213" t="s">
        <v>1009</v>
      </c>
      <c r="C639" s="213" t="s">
        <v>1010</v>
      </c>
    </row>
    <row r="640" spans="1:3" x14ac:dyDescent="0.25">
      <c r="A640" s="211">
        <f t="shared" si="9"/>
        <v>1524057</v>
      </c>
      <c r="B640" s="213" t="s">
        <v>1011</v>
      </c>
      <c r="C640" s="213" t="s">
        <v>1012</v>
      </c>
    </row>
    <row r="641" spans="1:3" x14ac:dyDescent="0.25">
      <c r="A641" s="211" t="str">
        <f t="shared" si="9"/>
        <v/>
      </c>
      <c r="B641" s="213" t="s">
        <v>13741</v>
      </c>
      <c r="C641" s="212"/>
    </row>
    <row r="642" spans="1:3" x14ac:dyDescent="0.25">
      <c r="A642" s="211">
        <f t="shared" ref="A642:A705" si="10">IFERROR(B642*1,"")</f>
        <v>1524058</v>
      </c>
      <c r="B642" s="213" t="s">
        <v>1013</v>
      </c>
      <c r="C642" s="213" t="s">
        <v>1014</v>
      </c>
    </row>
    <row r="643" spans="1:3" x14ac:dyDescent="0.25">
      <c r="A643" s="211">
        <f t="shared" si="10"/>
        <v>1900100</v>
      </c>
      <c r="B643" s="213" t="s">
        <v>1015</v>
      </c>
      <c r="C643" s="213" t="s">
        <v>1016</v>
      </c>
    </row>
    <row r="644" spans="1:3" x14ac:dyDescent="0.25">
      <c r="A644" s="211" t="str">
        <f t="shared" si="10"/>
        <v/>
      </c>
      <c r="B644" s="213" t="s">
        <v>1017</v>
      </c>
      <c r="C644" s="213" t="s">
        <v>1018</v>
      </c>
    </row>
    <row r="645" spans="1:3" x14ac:dyDescent="0.25">
      <c r="A645" s="211" t="str">
        <f t="shared" si="10"/>
        <v/>
      </c>
      <c r="B645" s="213" t="s">
        <v>13742</v>
      </c>
      <c r="C645" s="212"/>
    </row>
    <row r="646" spans="1:3" x14ac:dyDescent="0.25">
      <c r="A646" s="211">
        <f t="shared" si="10"/>
        <v>2</v>
      </c>
      <c r="B646" s="213" t="s">
        <v>1019</v>
      </c>
      <c r="C646" s="213" t="s">
        <v>1020</v>
      </c>
    </row>
    <row r="647" spans="1:3" x14ac:dyDescent="0.25">
      <c r="A647" s="211">
        <f t="shared" si="10"/>
        <v>2000036</v>
      </c>
      <c r="B647" s="213" t="s">
        <v>1021</v>
      </c>
      <c r="C647" s="213" t="s">
        <v>1022</v>
      </c>
    </row>
    <row r="648" spans="1:3" x14ac:dyDescent="0.25">
      <c r="A648" s="211">
        <f t="shared" si="10"/>
        <v>2000258</v>
      </c>
      <c r="B648" s="213" t="s">
        <v>1023</v>
      </c>
      <c r="C648" s="213" t="s">
        <v>1024</v>
      </c>
    </row>
    <row r="649" spans="1:3" x14ac:dyDescent="0.25">
      <c r="A649" s="211">
        <f t="shared" si="10"/>
        <v>2000386</v>
      </c>
      <c r="B649" s="213" t="s">
        <v>1025</v>
      </c>
      <c r="C649" s="213" t="s">
        <v>1026</v>
      </c>
    </row>
    <row r="650" spans="1:3" x14ac:dyDescent="0.25">
      <c r="A650" s="211">
        <f t="shared" si="10"/>
        <v>2014109</v>
      </c>
      <c r="B650" s="213" t="s">
        <v>1027</v>
      </c>
      <c r="C650" s="213" t="s">
        <v>1028</v>
      </c>
    </row>
    <row r="651" spans="1:3" x14ac:dyDescent="0.25">
      <c r="A651" s="211">
        <f t="shared" si="10"/>
        <v>2101000</v>
      </c>
      <c r="B651" s="213" t="s">
        <v>1029</v>
      </c>
      <c r="C651" s="213" t="s">
        <v>1030</v>
      </c>
    </row>
    <row r="652" spans="1:3" x14ac:dyDescent="0.25">
      <c r="A652" s="211" t="str">
        <f t="shared" si="10"/>
        <v/>
      </c>
      <c r="B652" s="213" t="s">
        <v>13743</v>
      </c>
      <c r="C652" s="212"/>
    </row>
    <row r="653" spans="1:3" x14ac:dyDescent="0.25">
      <c r="A653" s="211">
        <f t="shared" si="10"/>
        <v>2101001</v>
      </c>
      <c r="B653" s="213" t="s">
        <v>1031</v>
      </c>
      <c r="C653" s="213" t="s">
        <v>1032</v>
      </c>
    </row>
    <row r="654" spans="1:3" x14ac:dyDescent="0.25">
      <c r="A654" s="211">
        <f t="shared" si="10"/>
        <v>2101002</v>
      </c>
      <c r="B654" s="213" t="s">
        <v>1033</v>
      </c>
      <c r="C654" s="213" t="s">
        <v>1034</v>
      </c>
    </row>
    <row r="655" spans="1:3" x14ac:dyDescent="0.25">
      <c r="A655" s="211">
        <f t="shared" si="10"/>
        <v>2101003</v>
      </c>
      <c r="B655" s="213" t="s">
        <v>1035</v>
      </c>
      <c r="C655" s="213" t="s">
        <v>1036</v>
      </c>
    </row>
    <row r="656" spans="1:3" x14ac:dyDescent="0.25">
      <c r="A656" s="211">
        <f t="shared" si="10"/>
        <v>2101004</v>
      </c>
      <c r="B656" s="213" t="s">
        <v>1037</v>
      </c>
      <c r="C656" s="213" t="s">
        <v>1038</v>
      </c>
    </row>
    <row r="657" spans="1:3" x14ac:dyDescent="0.25">
      <c r="A657" s="211">
        <f t="shared" si="10"/>
        <v>2101005</v>
      </c>
      <c r="B657" s="213" t="s">
        <v>1039</v>
      </c>
      <c r="C657" s="213" t="s">
        <v>1040</v>
      </c>
    </row>
    <row r="658" spans="1:3" x14ac:dyDescent="0.25">
      <c r="A658" s="211">
        <f t="shared" si="10"/>
        <v>2101006</v>
      </c>
      <c r="B658" s="213" t="s">
        <v>1041</v>
      </c>
      <c r="C658" s="213" t="s">
        <v>13425</v>
      </c>
    </row>
    <row r="659" spans="1:3" x14ac:dyDescent="0.25">
      <c r="A659" s="211">
        <f t="shared" si="10"/>
        <v>2101007</v>
      </c>
      <c r="B659" s="213" t="s">
        <v>1042</v>
      </c>
      <c r="C659" s="213" t="s">
        <v>1043</v>
      </c>
    </row>
    <row r="660" spans="1:3" x14ac:dyDescent="0.25">
      <c r="A660" s="211">
        <f t="shared" si="10"/>
        <v>2101008</v>
      </c>
      <c r="B660" s="213" t="s">
        <v>1044</v>
      </c>
      <c r="C660" s="213" t="s">
        <v>1045</v>
      </c>
    </row>
    <row r="661" spans="1:3" x14ac:dyDescent="0.25">
      <c r="A661" s="211">
        <f t="shared" si="10"/>
        <v>2101010</v>
      </c>
      <c r="B661" s="213" t="s">
        <v>1046</v>
      </c>
      <c r="C661" s="213" t="s">
        <v>1047</v>
      </c>
    </row>
    <row r="662" spans="1:3" x14ac:dyDescent="0.25">
      <c r="A662" s="211">
        <f t="shared" si="10"/>
        <v>2101011</v>
      </c>
      <c r="B662" s="213" t="s">
        <v>1048</v>
      </c>
      <c r="C662" s="213" t="s">
        <v>1049</v>
      </c>
    </row>
    <row r="663" spans="1:3" x14ac:dyDescent="0.25">
      <c r="A663" s="211">
        <f t="shared" si="10"/>
        <v>2101012</v>
      </c>
      <c r="B663" s="213" t="s">
        <v>1050</v>
      </c>
      <c r="C663" s="213" t="s">
        <v>1051</v>
      </c>
    </row>
    <row r="664" spans="1:3" x14ac:dyDescent="0.25">
      <c r="A664" s="211">
        <f t="shared" si="10"/>
        <v>2101013</v>
      </c>
      <c r="B664" s="213" t="s">
        <v>1052</v>
      </c>
      <c r="C664" s="213" t="s">
        <v>1053</v>
      </c>
    </row>
    <row r="665" spans="1:3" x14ac:dyDescent="0.25">
      <c r="A665" s="211">
        <f t="shared" si="10"/>
        <v>2101014</v>
      </c>
      <c r="B665" s="213" t="s">
        <v>1054</v>
      </c>
      <c r="C665" s="213" t="s">
        <v>1055</v>
      </c>
    </row>
    <row r="666" spans="1:3" x14ac:dyDescent="0.25">
      <c r="A666" s="211">
        <f t="shared" si="10"/>
        <v>2101015</v>
      </c>
      <c r="B666" s="213" t="s">
        <v>1056</v>
      </c>
      <c r="C666" s="213" t="s">
        <v>1057</v>
      </c>
    </row>
    <row r="667" spans="1:3" x14ac:dyDescent="0.25">
      <c r="A667" s="211">
        <f t="shared" si="10"/>
        <v>2101016</v>
      </c>
      <c r="B667" s="213" t="s">
        <v>1058</v>
      </c>
      <c r="C667" s="213" t="s">
        <v>1059</v>
      </c>
    </row>
    <row r="668" spans="1:3" x14ac:dyDescent="0.25">
      <c r="A668" s="211">
        <f t="shared" si="10"/>
        <v>2101026</v>
      </c>
      <c r="B668" s="213" t="s">
        <v>13744</v>
      </c>
      <c r="C668" s="213" t="s">
        <v>13745</v>
      </c>
    </row>
    <row r="669" spans="1:3" x14ac:dyDescent="0.25">
      <c r="A669" s="211">
        <f t="shared" si="10"/>
        <v>2101060</v>
      </c>
      <c r="B669" s="213" t="s">
        <v>1060</v>
      </c>
      <c r="C669" s="213" t="s">
        <v>1061</v>
      </c>
    </row>
    <row r="670" spans="1:3" x14ac:dyDescent="0.25">
      <c r="A670" s="211">
        <f t="shared" si="10"/>
        <v>2101098</v>
      </c>
      <c r="B670" s="213" t="s">
        <v>1062</v>
      </c>
      <c r="C670" s="213" t="s">
        <v>1063</v>
      </c>
    </row>
    <row r="671" spans="1:3" x14ac:dyDescent="0.25">
      <c r="A671" s="211">
        <f t="shared" si="10"/>
        <v>2101100</v>
      </c>
      <c r="B671" s="213" t="s">
        <v>1064</v>
      </c>
      <c r="C671" s="213" t="s">
        <v>1065</v>
      </c>
    </row>
    <row r="672" spans="1:3" x14ac:dyDescent="0.25">
      <c r="A672" s="211">
        <f t="shared" si="10"/>
        <v>2101101</v>
      </c>
      <c r="B672" s="213" t="s">
        <v>1066</v>
      </c>
      <c r="C672" s="213" t="s">
        <v>1067</v>
      </c>
    </row>
    <row r="673" spans="1:3" x14ac:dyDescent="0.25">
      <c r="A673" s="211">
        <f t="shared" si="10"/>
        <v>2101102</v>
      </c>
      <c r="B673" s="213" t="s">
        <v>1068</v>
      </c>
      <c r="C673" s="213" t="s">
        <v>1069</v>
      </c>
    </row>
    <row r="674" spans="1:3" x14ac:dyDescent="0.25">
      <c r="A674" s="211">
        <f t="shared" si="10"/>
        <v>2101103</v>
      </c>
      <c r="B674" s="213" t="s">
        <v>1070</v>
      </c>
      <c r="C674" s="213" t="s">
        <v>1071</v>
      </c>
    </row>
    <row r="675" spans="1:3" x14ac:dyDescent="0.25">
      <c r="A675" s="211">
        <f t="shared" si="10"/>
        <v>2101105</v>
      </c>
      <c r="B675" s="213" t="s">
        <v>1072</v>
      </c>
      <c r="C675" s="213" t="s">
        <v>1073</v>
      </c>
    </row>
    <row r="676" spans="1:3" x14ac:dyDescent="0.25">
      <c r="A676" s="211">
        <f t="shared" si="10"/>
        <v>2101106</v>
      </c>
      <c r="B676" s="213" t="s">
        <v>1074</v>
      </c>
      <c r="C676" s="213" t="s">
        <v>1075</v>
      </c>
    </row>
    <row r="677" spans="1:3" x14ac:dyDescent="0.25">
      <c r="A677" s="211">
        <f t="shared" si="10"/>
        <v>2101110</v>
      </c>
      <c r="B677" s="213" t="s">
        <v>1076</v>
      </c>
      <c r="C677" s="213" t="s">
        <v>1077</v>
      </c>
    </row>
    <row r="678" spans="1:3" x14ac:dyDescent="0.25">
      <c r="A678" s="211">
        <f t="shared" si="10"/>
        <v>2101111</v>
      </c>
      <c r="B678" s="213" t="s">
        <v>1078</v>
      </c>
      <c r="C678" s="213" t="s">
        <v>1079</v>
      </c>
    </row>
    <row r="679" spans="1:3" x14ac:dyDescent="0.25">
      <c r="A679" s="211">
        <f t="shared" si="10"/>
        <v>2101113</v>
      </c>
      <c r="B679" s="213" t="s">
        <v>1080</v>
      </c>
      <c r="C679" s="213" t="s">
        <v>1081</v>
      </c>
    </row>
    <row r="680" spans="1:3" x14ac:dyDescent="0.25">
      <c r="A680" s="211">
        <f t="shared" si="10"/>
        <v>2101114</v>
      </c>
      <c r="B680" s="213" t="s">
        <v>1082</v>
      </c>
      <c r="C680" s="213" t="s">
        <v>1083</v>
      </c>
    </row>
    <row r="681" spans="1:3" x14ac:dyDescent="0.25">
      <c r="A681" s="211">
        <f t="shared" si="10"/>
        <v>2101115</v>
      </c>
      <c r="B681" s="213" t="s">
        <v>1084</v>
      </c>
      <c r="C681" s="213" t="s">
        <v>1085</v>
      </c>
    </row>
    <row r="682" spans="1:3" x14ac:dyDescent="0.25">
      <c r="A682" s="211">
        <f t="shared" si="10"/>
        <v>2101116</v>
      </c>
      <c r="B682" s="213" t="s">
        <v>1086</v>
      </c>
      <c r="C682" s="213" t="s">
        <v>1087</v>
      </c>
    </row>
    <row r="683" spans="1:3" x14ac:dyDescent="0.25">
      <c r="A683" s="211">
        <f t="shared" si="10"/>
        <v>2101117</v>
      </c>
      <c r="B683" s="213" t="s">
        <v>1088</v>
      </c>
      <c r="C683" s="213" t="s">
        <v>1089</v>
      </c>
    </row>
    <row r="684" spans="1:3" x14ac:dyDescent="0.25">
      <c r="A684" s="211">
        <f t="shared" si="10"/>
        <v>2101158</v>
      </c>
      <c r="B684" s="213" t="s">
        <v>1090</v>
      </c>
      <c r="C684" s="213" t="s">
        <v>1091</v>
      </c>
    </row>
    <row r="685" spans="1:3" x14ac:dyDescent="0.25">
      <c r="A685" s="211">
        <f t="shared" si="10"/>
        <v>2101200</v>
      </c>
      <c r="B685" s="213" t="s">
        <v>1092</v>
      </c>
      <c r="C685" s="213" t="s">
        <v>1093</v>
      </c>
    </row>
    <row r="686" spans="1:3" x14ac:dyDescent="0.25">
      <c r="A686" s="211">
        <f t="shared" si="10"/>
        <v>2101201</v>
      </c>
      <c r="B686" s="213" t="s">
        <v>1094</v>
      </c>
      <c r="C686" s="213" t="s">
        <v>1095</v>
      </c>
    </row>
    <row r="687" spans="1:3" x14ac:dyDescent="0.25">
      <c r="A687" s="211">
        <f t="shared" si="10"/>
        <v>2101202</v>
      </c>
      <c r="B687" s="213" t="s">
        <v>1096</v>
      </c>
      <c r="C687" s="213" t="s">
        <v>1097</v>
      </c>
    </row>
    <row r="688" spans="1:3" x14ac:dyDescent="0.25">
      <c r="A688" s="211">
        <f t="shared" si="10"/>
        <v>2101203</v>
      </c>
      <c r="B688" s="213" t="s">
        <v>1098</v>
      </c>
      <c r="C688" s="213" t="s">
        <v>1099</v>
      </c>
    </row>
    <row r="689" spans="1:3" x14ac:dyDescent="0.25">
      <c r="A689" s="211">
        <f t="shared" si="10"/>
        <v>2101210</v>
      </c>
      <c r="B689" s="213" t="s">
        <v>1100</v>
      </c>
      <c r="C689" s="213" t="s">
        <v>1101</v>
      </c>
    </row>
    <row r="690" spans="1:3" x14ac:dyDescent="0.25">
      <c r="A690" s="211">
        <f t="shared" si="10"/>
        <v>2101211</v>
      </c>
      <c r="B690" s="213" t="s">
        <v>1102</v>
      </c>
      <c r="C690" s="213" t="s">
        <v>1103</v>
      </c>
    </row>
    <row r="691" spans="1:3" x14ac:dyDescent="0.25">
      <c r="A691" s="211">
        <f t="shared" si="10"/>
        <v>2101220</v>
      </c>
      <c r="B691" s="213" t="s">
        <v>1104</v>
      </c>
      <c r="C691" s="213" t="s">
        <v>1105</v>
      </c>
    </row>
    <row r="692" spans="1:3" x14ac:dyDescent="0.25">
      <c r="A692" s="211">
        <f t="shared" si="10"/>
        <v>2101251</v>
      </c>
      <c r="B692" s="213" t="s">
        <v>1107</v>
      </c>
      <c r="C692" s="213" t="s">
        <v>1108</v>
      </c>
    </row>
    <row r="693" spans="1:3" x14ac:dyDescent="0.25">
      <c r="A693" s="211">
        <f t="shared" si="10"/>
        <v>2101300</v>
      </c>
      <c r="B693" s="213" t="s">
        <v>1109</v>
      </c>
      <c r="C693" s="213" t="s">
        <v>1110</v>
      </c>
    </row>
    <row r="694" spans="1:3" x14ac:dyDescent="0.25">
      <c r="A694" s="211">
        <f t="shared" si="10"/>
        <v>2101301</v>
      </c>
      <c r="B694" s="213" t="s">
        <v>1111</v>
      </c>
      <c r="C694" s="213" t="s">
        <v>1112</v>
      </c>
    </row>
    <row r="695" spans="1:3" x14ac:dyDescent="0.25">
      <c r="A695" s="211">
        <f t="shared" si="10"/>
        <v>2101321</v>
      </c>
      <c r="B695" s="213" t="s">
        <v>1113</v>
      </c>
      <c r="C695" s="213" t="s">
        <v>1114</v>
      </c>
    </row>
    <row r="696" spans="1:3" x14ac:dyDescent="0.25">
      <c r="A696" s="211">
        <f t="shared" si="10"/>
        <v>2101322</v>
      </c>
      <c r="B696" s="213" t="s">
        <v>1115</v>
      </c>
      <c r="C696" s="213" t="s">
        <v>1116</v>
      </c>
    </row>
    <row r="697" spans="1:3" x14ac:dyDescent="0.25">
      <c r="A697" s="211">
        <f t="shared" si="10"/>
        <v>2101333</v>
      </c>
      <c r="B697" s="213" t="s">
        <v>1117</v>
      </c>
      <c r="C697" s="213" t="s">
        <v>1118</v>
      </c>
    </row>
    <row r="698" spans="1:3" x14ac:dyDescent="0.25">
      <c r="A698" s="211">
        <f t="shared" si="10"/>
        <v>2101350</v>
      </c>
      <c r="B698" s="213" t="s">
        <v>1119</v>
      </c>
      <c r="C698" s="213" t="s">
        <v>1120</v>
      </c>
    </row>
    <row r="699" spans="1:3" x14ac:dyDescent="0.25">
      <c r="A699" s="211">
        <f t="shared" si="10"/>
        <v>2101351</v>
      </c>
      <c r="B699" s="213" t="s">
        <v>1121</v>
      </c>
      <c r="C699" s="213" t="s">
        <v>1122</v>
      </c>
    </row>
    <row r="700" spans="1:3" x14ac:dyDescent="0.25">
      <c r="A700" s="211">
        <f t="shared" si="10"/>
        <v>2101369</v>
      </c>
      <c r="B700" s="213" t="s">
        <v>1123</v>
      </c>
      <c r="C700" s="213" t="s">
        <v>1124</v>
      </c>
    </row>
    <row r="701" spans="1:3" x14ac:dyDescent="0.25">
      <c r="A701" s="211">
        <f t="shared" si="10"/>
        <v>2101395</v>
      </c>
      <c r="B701" s="213" t="s">
        <v>1125</v>
      </c>
      <c r="C701" s="213" t="s">
        <v>1126</v>
      </c>
    </row>
    <row r="702" spans="1:3" x14ac:dyDescent="0.25">
      <c r="A702" s="211">
        <f t="shared" si="10"/>
        <v>2101396</v>
      </c>
      <c r="B702" s="213" t="s">
        <v>1127</v>
      </c>
      <c r="C702" s="213" t="s">
        <v>1128</v>
      </c>
    </row>
    <row r="703" spans="1:3" x14ac:dyDescent="0.25">
      <c r="A703" s="211">
        <f t="shared" si="10"/>
        <v>2101397</v>
      </c>
      <c r="B703" s="213" t="s">
        <v>1129</v>
      </c>
      <c r="C703" s="213" t="s">
        <v>1130</v>
      </c>
    </row>
    <row r="704" spans="1:3" x14ac:dyDescent="0.25">
      <c r="A704" s="211">
        <f t="shared" si="10"/>
        <v>2101400</v>
      </c>
      <c r="B704" s="213" t="s">
        <v>14007</v>
      </c>
      <c r="C704" s="213" t="s">
        <v>14008</v>
      </c>
    </row>
    <row r="705" spans="1:3" x14ac:dyDescent="0.25">
      <c r="A705" s="211">
        <f t="shared" si="10"/>
        <v>2101401</v>
      </c>
      <c r="B705" s="213" t="s">
        <v>14009</v>
      </c>
      <c r="C705" s="213" t="s">
        <v>14010</v>
      </c>
    </row>
    <row r="706" spans="1:3" x14ac:dyDescent="0.25">
      <c r="A706" s="211">
        <f t="shared" ref="A706:A769" si="11">IFERROR(B706*1,"")</f>
        <v>2101493</v>
      </c>
      <c r="B706" s="213" t="s">
        <v>1131</v>
      </c>
      <c r="C706" s="213" t="s">
        <v>1132</v>
      </c>
    </row>
    <row r="707" spans="1:3" x14ac:dyDescent="0.25">
      <c r="A707" s="211">
        <f t="shared" si="11"/>
        <v>2101494</v>
      </c>
      <c r="B707" s="213" t="s">
        <v>1133</v>
      </c>
      <c r="C707" s="213" t="s">
        <v>1134</v>
      </c>
    </row>
    <row r="708" spans="1:3" x14ac:dyDescent="0.25">
      <c r="A708" s="211">
        <f t="shared" si="11"/>
        <v>2101495</v>
      </c>
      <c r="B708" s="213" t="s">
        <v>1135</v>
      </c>
      <c r="C708" s="213" t="s">
        <v>1136</v>
      </c>
    </row>
    <row r="709" spans="1:3" x14ac:dyDescent="0.25">
      <c r="A709" s="211">
        <f t="shared" si="11"/>
        <v>2101496</v>
      </c>
      <c r="B709" s="213" t="s">
        <v>1137</v>
      </c>
      <c r="C709" s="213" t="s">
        <v>1138</v>
      </c>
    </row>
    <row r="710" spans="1:3" x14ac:dyDescent="0.25">
      <c r="A710" s="211">
        <f t="shared" si="11"/>
        <v>2101497</v>
      </c>
      <c r="B710" s="213" t="s">
        <v>1139</v>
      </c>
      <c r="C710" s="213" t="s">
        <v>1140</v>
      </c>
    </row>
    <row r="711" spans="1:3" x14ac:dyDescent="0.25">
      <c r="A711" s="211">
        <f t="shared" si="11"/>
        <v>2101498</v>
      </c>
      <c r="B711" s="213" t="s">
        <v>13426</v>
      </c>
      <c r="C711" s="213" t="s">
        <v>13427</v>
      </c>
    </row>
    <row r="712" spans="1:3" x14ac:dyDescent="0.25">
      <c r="A712" s="211">
        <f t="shared" si="11"/>
        <v>2101499</v>
      </c>
      <c r="B712" s="213" t="s">
        <v>1141</v>
      </c>
      <c r="C712" s="213" t="s">
        <v>1142</v>
      </c>
    </row>
    <row r="713" spans="1:3" x14ac:dyDescent="0.25">
      <c r="A713" s="211">
        <f t="shared" si="11"/>
        <v>2101500</v>
      </c>
      <c r="B713" s="213" t="s">
        <v>1143</v>
      </c>
      <c r="C713" s="213" t="s">
        <v>1144</v>
      </c>
    </row>
    <row r="714" spans="1:3" x14ac:dyDescent="0.25">
      <c r="A714" s="211">
        <f t="shared" si="11"/>
        <v>2101501</v>
      </c>
      <c r="B714" s="213" t="s">
        <v>1145</v>
      </c>
      <c r="C714" s="213" t="s">
        <v>1146</v>
      </c>
    </row>
    <row r="715" spans="1:3" x14ac:dyDescent="0.25">
      <c r="A715" s="211">
        <f t="shared" si="11"/>
        <v>2101510</v>
      </c>
      <c r="B715" s="213" t="s">
        <v>13746</v>
      </c>
      <c r="C715" s="213" t="s">
        <v>13747</v>
      </c>
    </row>
    <row r="716" spans="1:3" x14ac:dyDescent="0.25">
      <c r="A716" s="211">
        <f t="shared" si="11"/>
        <v>2101520</v>
      </c>
      <c r="B716" s="213" t="s">
        <v>14011</v>
      </c>
      <c r="C716" s="213" t="s">
        <v>14012</v>
      </c>
    </row>
    <row r="717" spans="1:3" x14ac:dyDescent="0.25">
      <c r="A717" s="211">
        <f t="shared" si="11"/>
        <v>2101521</v>
      </c>
      <c r="B717" s="213" t="s">
        <v>14013</v>
      </c>
      <c r="C717" s="213" t="s">
        <v>14014</v>
      </c>
    </row>
    <row r="718" spans="1:3" x14ac:dyDescent="0.25">
      <c r="A718" s="211">
        <f t="shared" si="11"/>
        <v>2101530</v>
      </c>
      <c r="B718" s="213" t="s">
        <v>14015</v>
      </c>
      <c r="C718" s="213" t="s">
        <v>14016</v>
      </c>
    </row>
    <row r="719" spans="1:3" x14ac:dyDescent="0.25">
      <c r="A719" s="211">
        <f t="shared" si="11"/>
        <v>2101531</v>
      </c>
      <c r="B719" s="213" t="s">
        <v>14017</v>
      </c>
      <c r="C719" s="213" t="s">
        <v>14018</v>
      </c>
    </row>
    <row r="720" spans="1:3" x14ac:dyDescent="0.25">
      <c r="A720" s="211">
        <f t="shared" si="11"/>
        <v>2101550</v>
      </c>
      <c r="B720" s="213" t="s">
        <v>1147</v>
      </c>
      <c r="C720" s="213" t="s">
        <v>1148</v>
      </c>
    </row>
    <row r="721" spans="1:3" x14ac:dyDescent="0.25">
      <c r="A721" s="211">
        <f t="shared" si="11"/>
        <v>2101551</v>
      </c>
      <c r="B721" s="213" t="s">
        <v>1149</v>
      </c>
      <c r="C721" s="213" t="s">
        <v>1150</v>
      </c>
    </row>
    <row r="722" spans="1:3" x14ac:dyDescent="0.25">
      <c r="A722" s="211">
        <f t="shared" si="11"/>
        <v>2101552</v>
      </c>
      <c r="B722" s="213" t="s">
        <v>1151</v>
      </c>
      <c r="C722" s="213" t="s">
        <v>1152</v>
      </c>
    </row>
    <row r="723" spans="1:3" x14ac:dyDescent="0.25">
      <c r="A723" s="211">
        <f t="shared" si="11"/>
        <v>2101553</v>
      </c>
      <c r="B723" s="213" t="s">
        <v>1153</v>
      </c>
      <c r="C723" s="213" t="s">
        <v>1154</v>
      </c>
    </row>
    <row r="724" spans="1:3" x14ac:dyDescent="0.25">
      <c r="A724" s="211">
        <f t="shared" si="11"/>
        <v>2101555</v>
      </c>
      <c r="B724" s="213" t="s">
        <v>1155</v>
      </c>
      <c r="C724" s="213" t="s">
        <v>1156</v>
      </c>
    </row>
    <row r="725" spans="1:3" x14ac:dyDescent="0.25">
      <c r="A725" s="211">
        <f t="shared" si="11"/>
        <v>2101556</v>
      </c>
      <c r="B725" s="213" t="s">
        <v>1157</v>
      </c>
      <c r="C725" s="213" t="s">
        <v>1158</v>
      </c>
    </row>
    <row r="726" spans="1:3" x14ac:dyDescent="0.25">
      <c r="A726" s="211">
        <f t="shared" si="11"/>
        <v>2101557</v>
      </c>
      <c r="B726" s="213" t="s">
        <v>1159</v>
      </c>
      <c r="C726" s="213" t="s">
        <v>1160</v>
      </c>
    </row>
    <row r="727" spans="1:3" x14ac:dyDescent="0.25">
      <c r="A727" s="211">
        <f t="shared" si="11"/>
        <v>2101558</v>
      </c>
      <c r="B727" s="213" t="s">
        <v>1161</v>
      </c>
      <c r="C727" s="213" t="s">
        <v>1162</v>
      </c>
    </row>
    <row r="728" spans="1:3" x14ac:dyDescent="0.25">
      <c r="A728" s="211">
        <f t="shared" si="11"/>
        <v>2101559</v>
      </c>
      <c r="B728" s="213" t="s">
        <v>1163</v>
      </c>
      <c r="C728" s="213" t="s">
        <v>1164</v>
      </c>
    </row>
    <row r="729" spans="1:3" x14ac:dyDescent="0.25">
      <c r="A729" s="211">
        <f t="shared" si="11"/>
        <v>2101560</v>
      </c>
      <c r="B729" s="213" t="s">
        <v>1165</v>
      </c>
      <c r="C729" s="213" t="s">
        <v>1166</v>
      </c>
    </row>
    <row r="730" spans="1:3" x14ac:dyDescent="0.25">
      <c r="A730" s="211">
        <f t="shared" si="11"/>
        <v>2101561</v>
      </c>
      <c r="B730" s="213" t="s">
        <v>7471</v>
      </c>
      <c r="C730" s="213" t="s">
        <v>7472</v>
      </c>
    </row>
    <row r="731" spans="1:3" x14ac:dyDescent="0.25">
      <c r="A731" s="211">
        <f t="shared" si="11"/>
        <v>2101562</v>
      </c>
      <c r="B731" s="213" t="s">
        <v>7473</v>
      </c>
      <c r="C731" s="213" t="s">
        <v>13293</v>
      </c>
    </row>
    <row r="732" spans="1:3" x14ac:dyDescent="0.25">
      <c r="A732" s="211">
        <f t="shared" si="11"/>
        <v>2101563</v>
      </c>
      <c r="B732" s="213" t="s">
        <v>7474</v>
      </c>
      <c r="C732" s="213" t="s">
        <v>7475</v>
      </c>
    </row>
    <row r="733" spans="1:3" x14ac:dyDescent="0.25">
      <c r="A733" s="211">
        <f t="shared" si="11"/>
        <v>2101564</v>
      </c>
      <c r="B733" s="213" t="s">
        <v>7476</v>
      </c>
      <c r="C733" s="213" t="s">
        <v>7477</v>
      </c>
    </row>
    <row r="734" spans="1:3" x14ac:dyDescent="0.25">
      <c r="A734" s="211">
        <f t="shared" si="11"/>
        <v>2101565</v>
      </c>
      <c r="B734" s="213" t="s">
        <v>7478</v>
      </c>
      <c r="C734" s="213" t="s">
        <v>7479</v>
      </c>
    </row>
    <row r="735" spans="1:3" x14ac:dyDescent="0.25">
      <c r="A735" s="211">
        <f t="shared" si="11"/>
        <v>2101566</v>
      </c>
      <c r="B735" s="213" t="s">
        <v>7480</v>
      </c>
      <c r="C735" s="213" t="s">
        <v>7481</v>
      </c>
    </row>
    <row r="736" spans="1:3" x14ac:dyDescent="0.25">
      <c r="A736" s="211">
        <f t="shared" si="11"/>
        <v>2101567</v>
      </c>
      <c r="B736" s="213" t="s">
        <v>7482</v>
      </c>
      <c r="C736" s="213" t="s">
        <v>7483</v>
      </c>
    </row>
    <row r="737" spans="1:3" x14ac:dyDescent="0.25">
      <c r="A737" s="211">
        <f t="shared" si="11"/>
        <v>2101568</v>
      </c>
      <c r="B737" s="213" t="s">
        <v>7484</v>
      </c>
      <c r="C737" s="213" t="s">
        <v>7485</v>
      </c>
    </row>
    <row r="738" spans="1:3" x14ac:dyDescent="0.25">
      <c r="A738" s="211">
        <f t="shared" si="11"/>
        <v>2101569</v>
      </c>
      <c r="B738" s="213" t="s">
        <v>13748</v>
      </c>
      <c r="C738" s="213" t="s">
        <v>13749</v>
      </c>
    </row>
    <row r="739" spans="1:3" x14ac:dyDescent="0.25">
      <c r="A739" s="211">
        <f t="shared" si="11"/>
        <v>2101570</v>
      </c>
      <c r="B739" s="213" t="s">
        <v>13750</v>
      </c>
      <c r="C739" s="213" t="s">
        <v>13751</v>
      </c>
    </row>
    <row r="740" spans="1:3" x14ac:dyDescent="0.25">
      <c r="A740" s="211">
        <f t="shared" si="11"/>
        <v>2101580</v>
      </c>
      <c r="B740" s="213" t="s">
        <v>1167</v>
      </c>
      <c r="C740" s="213" t="s">
        <v>1168</v>
      </c>
    </row>
    <row r="741" spans="1:3" x14ac:dyDescent="0.25">
      <c r="A741" s="211">
        <f t="shared" si="11"/>
        <v>2101590</v>
      </c>
      <c r="B741" s="213" t="s">
        <v>1169</v>
      </c>
      <c r="C741" s="213" t="s">
        <v>1170</v>
      </c>
    </row>
    <row r="742" spans="1:3" x14ac:dyDescent="0.25">
      <c r="A742" s="211">
        <f t="shared" si="11"/>
        <v>2101600</v>
      </c>
      <c r="B742" s="213" t="s">
        <v>1171</v>
      </c>
      <c r="C742" s="213" t="s">
        <v>1172</v>
      </c>
    </row>
    <row r="743" spans="1:3" x14ac:dyDescent="0.25">
      <c r="A743" s="211">
        <f t="shared" si="11"/>
        <v>2101601</v>
      </c>
      <c r="B743" s="213" t="s">
        <v>1173</v>
      </c>
      <c r="C743" s="213" t="s">
        <v>1174</v>
      </c>
    </row>
    <row r="744" spans="1:3" x14ac:dyDescent="0.25">
      <c r="A744" s="211">
        <f t="shared" si="11"/>
        <v>2101602</v>
      </c>
      <c r="B744" s="213" t="s">
        <v>1175</v>
      </c>
      <c r="C744" s="213" t="s">
        <v>1176</v>
      </c>
    </row>
    <row r="745" spans="1:3" x14ac:dyDescent="0.25">
      <c r="A745" s="211">
        <f t="shared" si="11"/>
        <v>2101603</v>
      </c>
      <c r="B745" s="213" t="s">
        <v>1177</v>
      </c>
      <c r="C745" s="213" t="s">
        <v>1178</v>
      </c>
    </row>
    <row r="746" spans="1:3" x14ac:dyDescent="0.25">
      <c r="A746" s="211">
        <f t="shared" si="11"/>
        <v>2101604</v>
      </c>
      <c r="B746" s="213" t="s">
        <v>1179</v>
      </c>
      <c r="C746" s="213" t="s">
        <v>1180</v>
      </c>
    </row>
    <row r="747" spans="1:3" x14ac:dyDescent="0.25">
      <c r="A747" s="211">
        <f t="shared" si="11"/>
        <v>2101605</v>
      </c>
      <c r="B747" s="213" t="s">
        <v>1181</v>
      </c>
      <c r="C747" s="213" t="s">
        <v>1182</v>
      </c>
    </row>
    <row r="748" spans="1:3" x14ac:dyDescent="0.25">
      <c r="A748" s="211">
        <f t="shared" si="11"/>
        <v>2101650</v>
      </c>
      <c r="B748" s="213" t="s">
        <v>1183</v>
      </c>
      <c r="C748" s="213" t="s">
        <v>7486</v>
      </c>
    </row>
    <row r="749" spans="1:3" x14ac:dyDescent="0.25">
      <c r="A749" s="211">
        <f t="shared" si="11"/>
        <v>2101651</v>
      </c>
      <c r="B749" s="213" t="s">
        <v>1184</v>
      </c>
      <c r="C749" s="213" t="s">
        <v>7487</v>
      </c>
    </row>
    <row r="750" spans="1:3" x14ac:dyDescent="0.25">
      <c r="A750" s="211">
        <f t="shared" si="11"/>
        <v>2101657</v>
      </c>
      <c r="B750" s="213" t="s">
        <v>1185</v>
      </c>
      <c r="C750" s="213" t="s">
        <v>1186</v>
      </c>
    </row>
    <row r="751" spans="1:3" x14ac:dyDescent="0.25">
      <c r="A751" s="211">
        <f t="shared" si="11"/>
        <v>2101658</v>
      </c>
      <c r="B751" s="213" t="s">
        <v>1187</v>
      </c>
      <c r="C751" s="213" t="s">
        <v>1188</v>
      </c>
    </row>
    <row r="752" spans="1:3" x14ac:dyDescent="0.25">
      <c r="A752" s="211">
        <f t="shared" si="11"/>
        <v>2101666</v>
      </c>
      <c r="B752" s="213" t="s">
        <v>1189</v>
      </c>
      <c r="C752" s="213" t="s">
        <v>1190</v>
      </c>
    </row>
    <row r="753" spans="1:3" x14ac:dyDescent="0.25">
      <c r="A753" s="211">
        <f t="shared" si="11"/>
        <v>2101741</v>
      </c>
      <c r="B753" s="213" t="s">
        <v>1191</v>
      </c>
      <c r="C753" s="213" t="s">
        <v>1192</v>
      </c>
    </row>
    <row r="754" spans="1:3" x14ac:dyDescent="0.25">
      <c r="A754" s="211">
        <f t="shared" si="11"/>
        <v>2101742</v>
      </c>
      <c r="B754" s="213" t="s">
        <v>1193</v>
      </c>
      <c r="C754" s="213" t="s">
        <v>1194</v>
      </c>
    </row>
    <row r="755" spans="1:3" x14ac:dyDescent="0.25">
      <c r="A755" s="211">
        <f t="shared" si="11"/>
        <v>2101743</v>
      </c>
      <c r="B755" s="213" t="s">
        <v>1195</v>
      </c>
      <c r="C755" s="213" t="s">
        <v>1196</v>
      </c>
    </row>
    <row r="756" spans="1:3" x14ac:dyDescent="0.25">
      <c r="A756" s="211">
        <f t="shared" si="11"/>
        <v>2101744</v>
      </c>
      <c r="B756" s="213" t="s">
        <v>1197</v>
      </c>
      <c r="C756" s="213" t="s">
        <v>1198</v>
      </c>
    </row>
    <row r="757" spans="1:3" x14ac:dyDescent="0.25">
      <c r="A757" s="211">
        <f t="shared" si="11"/>
        <v>2101750</v>
      </c>
      <c r="B757" s="213" t="s">
        <v>1199</v>
      </c>
      <c r="C757" s="213" t="s">
        <v>1200</v>
      </c>
    </row>
    <row r="758" spans="1:3" x14ac:dyDescent="0.25">
      <c r="A758" s="211">
        <f t="shared" si="11"/>
        <v>2101751</v>
      </c>
      <c r="B758" s="213" t="s">
        <v>1201</v>
      </c>
      <c r="C758" s="213" t="s">
        <v>1202</v>
      </c>
    </row>
    <row r="759" spans="1:3" x14ac:dyDescent="0.25">
      <c r="A759" s="211">
        <f t="shared" si="11"/>
        <v>2101752</v>
      </c>
      <c r="B759" s="213" t="s">
        <v>1203</v>
      </c>
      <c r="C759" s="213" t="s">
        <v>1204</v>
      </c>
    </row>
    <row r="760" spans="1:3" x14ac:dyDescent="0.25">
      <c r="A760" s="211">
        <f t="shared" si="11"/>
        <v>2101799</v>
      </c>
      <c r="B760" s="213" t="s">
        <v>1205</v>
      </c>
      <c r="C760" s="213" t="s">
        <v>1206</v>
      </c>
    </row>
    <row r="761" spans="1:3" x14ac:dyDescent="0.25">
      <c r="A761" s="211">
        <f t="shared" si="11"/>
        <v>2101877</v>
      </c>
      <c r="B761" s="213" t="s">
        <v>1207</v>
      </c>
      <c r="C761" s="213" t="s">
        <v>1208</v>
      </c>
    </row>
    <row r="762" spans="1:3" x14ac:dyDescent="0.25">
      <c r="A762" s="211">
        <f t="shared" si="11"/>
        <v>2101878</v>
      </c>
      <c r="B762" s="213" t="s">
        <v>1209</v>
      </c>
      <c r="C762" s="213" t="s">
        <v>1210</v>
      </c>
    </row>
    <row r="763" spans="1:3" x14ac:dyDescent="0.25">
      <c r="A763" s="211">
        <f t="shared" si="11"/>
        <v>2101879</v>
      </c>
      <c r="B763" s="213" t="s">
        <v>1211</v>
      </c>
      <c r="C763" s="213" t="s">
        <v>1212</v>
      </c>
    </row>
    <row r="764" spans="1:3" x14ac:dyDescent="0.25">
      <c r="A764" s="211">
        <f t="shared" si="11"/>
        <v>2101880</v>
      </c>
      <c r="B764" s="213" t="s">
        <v>1213</v>
      </c>
      <c r="C764" s="213" t="s">
        <v>1214</v>
      </c>
    </row>
    <row r="765" spans="1:3" x14ac:dyDescent="0.25">
      <c r="A765" s="211">
        <f t="shared" si="11"/>
        <v>2101888</v>
      </c>
      <c r="B765" s="213" t="s">
        <v>1215</v>
      </c>
      <c r="C765" s="213" t="s">
        <v>13428</v>
      </c>
    </row>
    <row r="766" spans="1:3" x14ac:dyDescent="0.25">
      <c r="A766" s="211">
        <f t="shared" si="11"/>
        <v>2101889</v>
      </c>
      <c r="B766" s="213" t="s">
        <v>1216</v>
      </c>
      <c r="C766" s="213" t="s">
        <v>1217</v>
      </c>
    </row>
    <row r="767" spans="1:3" x14ac:dyDescent="0.25">
      <c r="A767" s="211" t="str">
        <f t="shared" si="11"/>
        <v/>
      </c>
      <c r="B767" s="213" t="s">
        <v>13752</v>
      </c>
      <c r="C767" s="212"/>
    </row>
    <row r="768" spans="1:3" x14ac:dyDescent="0.25">
      <c r="A768" s="211">
        <f t="shared" si="11"/>
        <v>2101895</v>
      </c>
      <c r="B768" s="213" t="s">
        <v>14019</v>
      </c>
      <c r="C768" s="213" t="s">
        <v>14020</v>
      </c>
    </row>
    <row r="769" spans="1:3" x14ac:dyDescent="0.25">
      <c r="A769" s="211">
        <f t="shared" si="11"/>
        <v>2101896</v>
      </c>
      <c r="B769" s="213" t="s">
        <v>14021</v>
      </c>
      <c r="C769" s="213" t="s">
        <v>14022</v>
      </c>
    </row>
    <row r="770" spans="1:3" x14ac:dyDescent="0.25">
      <c r="A770" s="211">
        <f t="shared" ref="A770:A833" si="12">IFERROR(B770*1,"")</f>
        <v>2101900</v>
      </c>
      <c r="B770" s="213" t="s">
        <v>1218</v>
      </c>
      <c r="C770" s="213" t="s">
        <v>1219</v>
      </c>
    </row>
    <row r="771" spans="1:3" x14ac:dyDescent="0.25">
      <c r="A771" s="211">
        <f t="shared" si="12"/>
        <v>2101901</v>
      </c>
      <c r="B771" s="213" t="s">
        <v>1220</v>
      </c>
      <c r="C771" s="213" t="s">
        <v>1221</v>
      </c>
    </row>
    <row r="772" spans="1:3" x14ac:dyDescent="0.25">
      <c r="A772" s="211">
        <f t="shared" si="12"/>
        <v>2101902</v>
      </c>
      <c r="B772" s="213" t="s">
        <v>1222</v>
      </c>
      <c r="C772" s="213" t="s">
        <v>1223</v>
      </c>
    </row>
    <row r="773" spans="1:3" x14ac:dyDescent="0.25">
      <c r="A773" s="211">
        <f t="shared" si="12"/>
        <v>2101903</v>
      </c>
      <c r="B773" s="213" t="s">
        <v>7488</v>
      </c>
      <c r="C773" s="213" t="s">
        <v>7489</v>
      </c>
    </row>
    <row r="774" spans="1:3" x14ac:dyDescent="0.25">
      <c r="A774" s="211">
        <f t="shared" si="12"/>
        <v>2101904</v>
      </c>
      <c r="B774" s="213" t="s">
        <v>7490</v>
      </c>
      <c r="C774" s="213" t="s">
        <v>7491</v>
      </c>
    </row>
    <row r="775" spans="1:3" x14ac:dyDescent="0.25">
      <c r="A775" s="211">
        <f t="shared" si="12"/>
        <v>2101950</v>
      </c>
      <c r="B775" s="213" t="s">
        <v>1224</v>
      </c>
      <c r="C775" s="213" t="s">
        <v>1225</v>
      </c>
    </row>
    <row r="776" spans="1:3" x14ac:dyDescent="0.25">
      <c r="A776" s="211">
        <f t="shared" si="12"/>
        <v>2101951</v>
      </c>
      <c r="B776" s="213" t="s">
        <v>1226</v>
      </c>
      <c r="C776" s="213" t="s">
        <v>1227</v>
      </c>
    </row>
    <row r="777" spans="1:3" x14ac:dyDescent="0.25">
      <c r="A777" s="211">
        <f t="shared" si="12"/>
        <v>2101987</v>
      </c>
      <c r="B777" s="213" t="s">
        <v>1228</v>
      </c>
      <c r="C777" s="213" t="s">
        <v>1229</v>
      </c>
    </row>
    <row r="778" spans="1:3" x14ac:dyDescent="0.25">
      <c r="A778" s="211">
        <f t="shared" si="12"/>
        <v>2101999</v>
      </c>
      <c r="B778" s="213" t="s">
        <v>1230</v>
      </c>
      <c r="C778" s="213" t="s">
        <v>1231</v>
      </c>
    </row>
    <row r="779" spans="1:3" x14ac:dyDescent="0.25">
      <c r="A779" s="211">
        <f t="shared" si="12"/>
        <v>2103005</v>
      </c>
      <c r="B779" s="213" t="s">
        <v>1232</v>
      </c>
      <c r="C779" s="213" t="s">
        <v>1233</v>
      </c>
    </row>
    <row r="780" spans="1:3" x14ac:dyDescent="0.25">
      <c r="A780" s="211">
        <f t="shared" si="12"/>
        <v>2103010</v>
      </c>
      <c r="B780" s="213" t="s">
        <v>1234</v>
      </c>
      <c r="C780" s="213" t="s">
        <v>1235</v>
      </c>
    </row>
    <row r="781" spans="1:3" x14ac:dyDescent="0.25">
      <c r="A781" s="211">
        <f t="shared" si="12"/>
        <v>2103011</v>
      </c>
      <c r="B781" s="213" t="s">
        <v>1236</v>
      </c>
      <c r="C781" s="213" t="s">
        <v>1237</v>
      </c>
    </row>
    <row r="782" spans="1:3" x14ac:dyDescent="0.25">
      <c r="A782" s="211">
        <f t="shared" si="12"/>
        <v>2103019</v>
      </c>
      <c r="B782" s="213" t="s">
        <v>1238</v>
      </c>
      <c r="C782" s="213" t="s">
        <v>1239</v>
      </c>
    </row>
    <row r="783" spans="1:3" x14ac:dyDescent="0.25">
      <c r="A783" s="211">
        <f t="shared" si="12"/>
        <v>2103050</v>
      </c>
      <c r="B783" s="213" t="s">
        <v>1240</v>
      </c>
      <c r="C783" s="213" t="s">
        <v>1241</v>
      </c>
    </row>
    <row r="784" spans="1:3" x14ac:dyDescent="0.25">
      <c r="A784" s="211">
        <f t="shared" si="12"/>
        <v>2103051</v>
      </c>
      <c r="B784" s="213" t="s">
        <v>13753</v>
      </c>
      <c r="C784" s="213" t="s">
        <v>13754</v>
      </c>
    </row>
    <row r="785" spans="1:3" x14ac:dyDescent="0.25">
      <c r="A785" s="211">
        <f t="shared" si="12"/>
        <v>2103067</v>
      </c>
      <c r="B785" s="213" t="s">
        <v>1242</v>
      </c>
      <c r="C785" s="213" t="s">
        <v>1243</v>
      </c>
    </row>
    <row r="786" spans="1:3" x14ac:dyDescent="0.25">
      <c r="A786" s="211">
        <f t="shared" si="12"/>
        <v>2103068</v>
      </c>
      <c r="B786" s="213" t="s">
        <v>1244</v>
      </c>
      <c r="C786" s="213" t="s">
        <v>1245</v>
      </c>
    </row>
    <row r="787" spans="1:3" x14ac:dyDescent="0.25">
      <c r="A787" s="211">
        <f t="shared" si="12"/>
        <v>2103069</v>
      </c>
      <c r="B787" s="213" t="s">
        <v>1246</v>
      </c>
      <c r="C787" s="213" t="s">
        <v>1247</v>
      </c>
    </row>
    <row r="788" spans="1:3" x14ac:dyDescent="0.25">
      <c r="A788" s="211">
        <f t="shared" si="12"/>
        <v>2103070</v>
      </c>
      <c r="B788" s="213" t="s">
        <v>1248</v>
      </c>
      <c r="C788" s="213" t="s">
        <v>1249</v>
      </c>
    </row>
    <row r="789" spans="1:3" x14ac:dyDescent="0.25">
      <c r="A789" s="211">
        <f t="shared" si="12"/>
        <v>2103071</v>
      </c>
      <c r="B789" s="213" t="s">
        <v>1250</v>
      </c>
      <c r="C789" s="213" t="s">
        <v>1251</v>
      </c>
    </row>
    <row r="790" spans="1:3" x14ac:dyDescent="0.25">
      <c r="A790" s="211">
        <f t="shared" si="12"/>
        <v>2103072</v>
      </c>
      <c r="B790" s="213" t="s">
        <v>1252</v>
      </c>
      <c r="C790" s="213" t="s">
        <v>1253</v>
      </c>
    </row>
    <row r="791" spans="1:3" x14ac:dyDescent="0.25">
      <c r="A791" s="211">
        <f t="shared" si="12"/>
        <v>2103073</v>
      </c>
      <c r="B791" s="213" t="s">
        <v>1254</v>
      </c>
      <c r="C791" s="213" t="s">
        <v>1255</v>
      </c>
    </row>
    <row r="792" spans="1:3" x14ac:dyDescent="0.25">
      <c r="A792" s="211">
        <f t="shared" si="12"/>
        <v>2103090</v>
      </c>
      <c r="B792" s="213" t="s">
        <v>1256</v>
      </c>
      <c r="C792" s="213" t="s">
        <v>1257</v>
      </c>
    </row>
    <row r="793" spans="1:3" x14ac:dyDescent="0.25">
      <c r="A793" s="211">
        <f t="shared" si="12"/>
        <v>2103091</v>
      </c>
      <c r="B793" s="213" t="s">
        <v>13294</v>
      </c>
      <c r="C793" s="213" t="s">
        <v>13295</v>
      </c>
    </row>
    <row r="794" spans="1:3" x14ac:dyDescent="0.25">
      <c r="A794" s="211">
        <f t="shared" si="12"/>
        <v>2103135</v>
      </c>
      <c r="B794" s="213" t="s">
        <v>1258</v>
      </c>
      <c r="C794" s="213" t="s">
        <v>1259</v>
      </c>
    </row>
    <row r="795" spans="1:3" x14ac:dyDescent="0.25">
      <c r="A795" s="211">
        <f t="shared" si="12"/>
        <v>2103199</v>
      </c>
      <c r="B795" s="213" t="s">
        <v>1260</v>
      </c>
      <c r="C795" s="213" t="s">
        <v>1261</v>
      </c>
    </row>
    <row r="796" spans="1:3" x14ac:dyDescent="0.25">
      <c r="A796" s="211">
        <f t="shared" si="12"/>
        <v>2103200</v>
      </c>
      <c r="B796" s="213" t="s">
        <v>1262</v>
      </c>
      <c r="C796" s="213" t="s">
        <v>1263</v>
      </c>
    </row>
    <row r="797" spans="1:3" x14ac:dyDescent="0.25">
      <c r="A797" s="211">
        <f t="shared" si="12"/>
        <v>2103209</v>
      </c>
      <c r="B797" s="213" t="s">
        <v>1264</v>
      </c>
      <c r="C797" s="213" t="s">
        <v>1265</v>
      </c>
    </row>
    <row r="798" spans="1:3" x14ac:dyDescent="0.25">
      <c r="A798" s="211">
        <f t="shared" si="12"/>
        <v>2103217</v>
      </c>
      <c r="B798" s="213" t="s">
        <v>1266</v>
      </c>
      <c r="C798" s="213" t="s">
        <v>1267</v>
      </c>
    </row>
    <row r="799" spans="1:3" x14ac:dyDescent="0.25">
      <c r="A799" s="211">
        <f t="shared" si="12"/>
        <v>2103218</v>
      </c>
      <c r="B799" s="213" t="s">
        <v>1268</v>
      </c>
      <c r="C799" s="213" t="s">
        <v>1269</v>
      </c>
    </row>
    <row r="800" spans="1:3" x14ac:dyDescent="0.25">
      <c r="A800" s="211">
        <f t="shared" si="12"/>
        <v>2103219</v>
      </c>
      <c r="B800" s="213" t="s">
        <v>1270</v>
      </c>
      <c r="C800" s="213" t="s">
        <v>1271</v>
      </c>
    </row>
    <row r="801" spans="1:3" x14ac:dyDescent="0.25">
      <c r="A801" s="211">
        <f t="shared" si="12"/>
        <v>2103220</v>
      </c>
      <c r="B801" s="213" t="s">
        <v>7492</v>
      </c>
      <c r="C801" s="213" t="s">
        <v>7493</v>
      </c>
    </row>
    <row r="802" spans="1:3" x14ac:dyDescent="0.25">
      <c r="A802" s="211">
        <f t="shared" si="12"/>
        <v>2103221</v>
      </c>
      <c r="B802" s="213" t="s">
        <v>7494</v>
      </c>
      <c r="C802" s="213" t="s">
        <v>7495</v>
      </c>
    </row>
    <row r="803" spans="1:3" x14ac:dyDescent="0.25">
      <c r="A803" s="211">
        <f t="shared" si="12"/>
        <v>2103222</v>
      </c>
      <c r="B803" s="213" t="s">
        <v>13429</v>
      </c>
      <c r="C803" s="213" t="s">
        <v>13430</v>
      </c>
    </row>
    <row r="804" spans="1:3" x14ac:dyDescent="0.25">
      <c r="A804" s="211">
        <f t="shared" si="12"/>
        <v>2103223</v>
      </c>
      <c r="B804" s="213" t="s">
        <v>13431</v>
      </c>
      <c r="C804" s="213" t="s">
        <v>13432</v>
      </c>
    </row>
    <row r="805" spans="1:3" x14ac:dyDescent="0.25">
      <c r="A805" s="211">
        <f t="shared" si="12"/>
        <v>2103495</v>
      </c>
      <c r="B805" s="213" t="s">
        <v>1272</v>
      </c>
      <c r="C805" s="213" t="s">
        <v>1273</v>
      </c>
    </row>
    <row r="806" spans="1:3" x14ac:dyDescent="0.25">
      <c r="A806" s="211">
        <f t="shared" si="12"/>
        <v>2103500</v>
      </c>
      <c r="B806" s="213" t="s">
        <v>1274</v>
      </c>
      <c r="C806" s="213" t="s">
        <v>1275</v>
      </c>
    </row>
    <row r="807" spans="1:3" x14ac:dyDescent="0.25">
      <c r="A807" s="211">
        <f t="shared" si="12"/>
        <v>2103530</v>
      </c>
      <c r="B807" s="213" t="s">
        <v>13296</v>
      </c>
      <c r="C807" s="213" t="s">
        <v>13297</v>
      </c>
    </row>
    <row r="808" spans="1:3" x14ac:dyDescent="0.25">
      <c r="A808" s="211">
        <f t="shared" si="12"/>
        <v>2103785</v>
      </c>
      <c r="B808" s="213" t="s">
        <v>1276</v>
      </c>
      <c r="C808" s="213" t="s">
        <v>1277</v>
      </c>
    </row>
    <row r="809" spans="1:3" x14ac:dyDescent="0.25">
      <c r="A809" s="211">
        <f t="shared" si="12"/>
        <v>2103888</v>
      </c>
      <c r="B809" s="213" t="s">
        <v>1278</v>
      </c>
      <c r="C809" s="213" t="s">
        <v>1279</v>
      </c>
    </row>
    <row r="810" spans="1:3" x14ac:dyDescent="0.25">
      <c r="A810" s="211">
        <f t="shared" si="12"/>
        <v>210388808</v>
      </c>
      <c r="B810" s="213" t="s">
        <v>1280</v>
      </c>
      <c r="C810" s="213" t="s">
        <v>1281</v>
      </c>
    </row>
    <row r="811" spans="1:3" x14ac:dyDescent="0.25">
      <c r="A811" s="211">
        <f t="shared" si="12"/>
        <v>2105007</v>
      </c>
      <c r="B811" s="213" t="s">
        <v>1282</v>
      </c>
      <c r="C811" s="213" t="s">
        <v>1283</v>
      </c>
    </row>
    <row r="812" spans="1:3" x14ac:dyDescent="0.25">
      <c r="A812" s="211">
        <f t="shared" si="12"/>
        <v>2105008</v>
      </c>
      <c r="B812" s="213" t="s">
        <v>1284</v>
      </c>
      <c r="C812" s="213" t="s">
        <v>1285</v>
      </c>
    </row>
    <row r="813" spans="1:3" x14ac:dyDescent="0.25">
      <c r="A813" s="211">
        <f t="shared" si="12"/>
        <v>2105009</v>
      </c>
      <c r="B813" s="213" t="s">
        <v>1286</v>
      </c>
      <c r="C813" s="213" t="s">
        <v>1287</v>
      </c>
    </row>
    <row r="814" spans="1:3" x14ac:dyDescent="0.25">
      <c r="A814" s="211">
        <f t="shared" si="12"/>
        <v>2105352</v>
      </c>
      <c r="B814" s="213" t="s">
        <v>1288</v>
      </c>
      <c r="C814" s="213" t="s">
        <v>1289</v>
      </c>
    </row>
    <row r="815" spans="1:3" x14ac:dyDescent="0.25">
      <c r="A815" s="211">
        <f t="shared" si="12"/>
        <v>2105353</v>
      </c>
      <c r="B815" s="213" t="s">
        <v>1290</v>
      </c>
      <c r="C815" s="213" t="s">
        <v>1291</v>
      </c>
    </row>
    <row r="816" spans="1:3" x14ac:dyDescent="0.25">
      <c r="A816" s="211">
        <f t="shared" si="12"/>
        <v>2105552</v>
      </c>
      <c r="B816" s="213" t="s">
        <v>1292</v>
      </c>
      <c r="C816" s="213" t="s">
        <v>1293</v>
      </c>
    </row>
    <row r="817" spans="1:3" x14ac:dyDescent="0.25">
      <c r="A817" s="211">
        <f t="shared" si="12"/>
        <v>2105553</v>
      </c>
      <c r="B817" s="213" t="s">
        <v>1294</v>
      </c>
      <c r="C817" s="213" t="s">
        <v>1295</v>
      </c>
    </row>
    <row r="818" spans="1:3" x14ac:dyDescent="0.25">
      <c r="A818" s="211">
        <f t="shared" si="12"/>
        <v>2105999</v>
      </c>
      <c r="B818" s="213" t="s">
        <v>1296</v>
      </c>
      <c r="C818" s="213" t="s">
        <v>1297</v>
      </c>
    </row>
    <row r="819" spans="1:3" x14ac:dyDescent="0.25">
      <c r="A819" s="211">
        <f t="shared" si="12"/>
        <v>2203072</v>
      </c>
      <c r="B819" s="213" t="s">
        <v>1298</v>
      </c>
      <c r="C819" s="213" t="s">
        <v>1299</v>
      </c>
    </row>
    <row r="820" spans="1:3" x14ac:dyDescent="0.25">
      <c r="A820" s="211">
        <f t="shared" si="12"/>
        <v>2220000</v>
      </c>
      <c r="B820" s="213" t="s">
        <v>1300</v>
      </c>
      <c r="C820" s="213" t="s">
        <v>1301</v>
      </c>
    </row>
    <row r="821" spans="1:3" x14ac:dyDescent="0.25">
      <c r="A821" s="211">
        <f t="shared" si="12"/>
        <v>2220004</v>
      </c>
      <c r="B821" s="213" t="s">
        <v>1302</v>
      </c>
      <c r="C821" s="213" t="s">
        <v>1303</v>
      </c>
    </row>
    <row r="822" spans="1:3" x14ac:dyDescent="0.25">
      <c r="A822" s="211">
        <f t="shared" si="12"/>
        <v>2220024</v>
      </c>
      <c r="B822" s="213" t="s">
        <v>1304</v>
      </c>
      <c r="C822" s="213" t="s">
        <v>74</v>
      </c>
    </row>
    <row r="823" spans="1:3" x14ac:dyDescent="0.25">
      <c r="A823" s="211">
        <f t="shared" si="12"/>
        <v>2220027</v>
      </c>
      <c r="B823" s="213" t="s">
        <v>1305</v>
      </c>
      <c r="C823" s="213" t="s">
        <v>1306</v>
      </c>
    </row>
    <row r="824" spans="1:3" x14ac:dyDescent="0.25">
      <c r="A824" s="211">
        <f t="shared" si="12"/>
        <v>2220028</v>
      </c>
      <c r="B824" s="213" t="s">
        <v>1307</v>
      </c>
      <c r="C824" s="213" t="s">
        <v>1308</v>
      </c>
    </row>
    <row r="825" spans="1:3" x14ac:dyDescent="0.25">
      <c r="A825" s="211">
        <f t="shared" si="12"/>
        <v>2220030</v>
      </c>
      <c r="B825" s="213" t="s">
        <v>1309</v>
      </c>
      <c r="C825" s="213" t="s">
        <v>1310</v>
      </c>
    </row>
    <row r="826" spans="1:3" x14ac:dyDescent="0.25">
      <c r="A826" s="211">
        <f t="shared" si="12"/>
        <v>2220032</v>
      </c>
      <c r="B826" s="213" t="s">
        <v>1311</v>
      </c>
      <c r="C826" s="213" t="s">
        <v>1312</v>
      </c>
    </row>
    <row r="827" spans="1:3" x14ac:dyDescent="0.25">
      <c r="A827" s="211">
        <f t="shared" si="12"/>
        <v>2220034</v>
      </c>
      <c r="B827" s="213" t="s">
        <v>1313</v>
      </c>
      <c r="C827" s="213" t="s">
        <v>1314</v>
      </c>
    </row>
    <row r="828" spans="1:3" x14ac:dyDescent="0.25">
      <c r="A828" s="211">
        <f t="shared" si="12"/>
        <v>2220037</v>
      </c>
      <c r="B828" s="213" t="s">
        <v>1315</v>
      </c>
      <c r="C828" s="213" t="s">
        <v>1316</v>
      </c>
    </row>
    <row r="829" spans="1:3" x14ac:dyDescent="0.25">
      <c r="A829" s="211">
        <f t="shared" si="12"/>
        <v>2220053</v>
      </c>
      <c r="B829" s="213" t="s">
        <v>1317</v>
      </c>
      <c r="C829" s="213" t="s">
        <v>1318</v>
      </c>
    </row>
    <row r="830" spans="1:3" x14ac:dyDescent="0.25">
      <c r="A830" s="211">
        <f t="shared" si="12"/>
        <v>2220074</v>
      </c>
      <c r="B830" s="213" t="s">
        <v>1319</v>
      </c>
      <c r="C830" s="213" t="s">
        <v>1320</v>
      </c>
    </row>
    <row r="831" spans="1:3" x14ac:dyDescent="0.25">
      <c r="A831" s="211">
        <f t="shared" si="12"/>
        <v>2220076</v>
      </c>
      <c r="B831" s="213" t="s">
        <v>1321</v>
      </c>
      <c r="C831" s="213" t="s">
        <v>1322</v>
      </c>
    </row>
    <row r="832" spans="1:3" x14ac:dyDescent="0.25">
      <c r="A832" s="211">
        <f t="shared" si="12"/>
        <v>2220078</v>
      </c>
      <c r="B832" s="213" t="s">
        <v>1323</v>
      </c>
      <c r="C832" s="213" t="s">
        <v>1324</v>
      </c>
    </row>
    <row r="833" spans="1:3" x14ac:dyDescent="0.25">
      <c r="A833" s="211">
        <f t="shared" si="12"/>
        <v>2220080</v>
      </c>
      <c r="B833" s="213" t="s">
        <v>1325</v>
      </c>
      <c r="C833" s="213" t="s">
        <v>1326</v>
      </c>
    </row>
    <row r="834" spans="1:3" x14ac:dyDescent="0.25">
      <c r="A834" s="211">
        <f t="shared" ref="A834:A897" si="13">IFERROR(B834*1,"")</f>
        <v>2220081</v>
      </c>
      <c r="B834" s="213" t="s">
        <v>1327</v>
      </c>
      <c r="C834" s="213" t="s">
        <v>1328</v>
      </c>
    </row>
    <row r="835" spans="1:3" x14ac:dyDescent="0.25">
      <c r="A835" s="211">
        <f t="shared" si="13"/>
        <v>2220099</v>
      </c>
      <c r="B835" s="213" t="s">
        <v>1329</v>
      </c>
      <c r="C835" s="213" t="s">
        <v>1330</v>
      </c>
    </row>
    <row r="836" spans="1:3" x14ac:dyDescent="0.25">
      <c r="A836" s="211">
        <f t="shared" si="13"/>
        <v>2220100</v>
      </c>
      <c r="B836" s="213" t="s">
        <v>1331</v>
      </c>
      <c r="C836" s="213" t="s">
        <v>1332</v>
      </c>
    </row>
    <row r="837" spans="1:3" x14ac:dyDescent="0.25">
      <c r="A837" s="211">
        <f t="shared" si="13"/>
        <v>2220128</v>
      </c>
      <c r="B837" s="213" t="s">
        <v>1333</v>
      </c>
      <c r="C837" s="213" t="s">
        <v>1334</v>
      </c>
    </row>
    <row r="838" spans="1:3" x14ac:dyDescent="0.25">
      <c r="A838" s="211">
        <f t="shared" si="13"/>
        <v>2220130</v>
      </c>
      <c r="B838" s="213" t="s">
        <v>1335</v>
      </c>
      <c r="C838" s="213" t="s">
        <v>1336</v>
      </c>
    </row>
    <row r="839" spans="1:3" x14ac:dyDescent="0.25">
      <c r="A839" s="211">
        <f t="shared" si="13"/>
        <v>2220136</v>
      </c>
      <c r="B839" s="213" t="s">
        <v>1337</v>
      </c>
      <c r="C839" s="213" t="s">
        <v>1338</v>
      </c>
    </row>
    <row r="840" spans="1:3" x14ac:dyDescent="0.25">
      <c r="A840" s="211">
        <f t="shared" si="13"/>
        <v>2220250</v>
      </c>
      <c r="B840" s="213" t="s">
        <v>1339</v>
      </c>
      <c r="C840" s="213" t="s">
        <v>1340</v>
      </c>
    </row>
    <row r="841" spans="1:3" x14ac:dyDescent="0.25">
      <c r="A841" s="211">
        <f t="shared" si="13"/>
        <v>2220252</v>
      </c>
      <c r="B841" s="213" t="s">
        <v>13433</v>
      </c>
      <c r="C841" s="213" t="s">
        <v>13434</v>
      </c>
    </row>
    <row r="842" spans="1:3" x14ac:dyDescent="0.25">
      <c r="A842" s="211">
        <f t="shared" si="13"/>
        <v>2220253</v>
      </c>
      <c r="B842" s="213" t="s">
        <v>1341</v>
      </c>
      <c r="C842" s="213" t="s">
        <v>1342</v>
      </c>
    </row>
    <row r="843" spans="1:3" x14ac:dyDescent="0.25">
      <c r="A843" s="211">
        <f t="shared" si="13"/>
        <v>2220254</v>
      </c>
      <c r="B843" s="213" t="s">
        <v>1343</v>
      </c>
      <c r="C843" s="213" t="s">
        <v>13435</v>
      </c>
    </row>
    <row r="844" spans="1:3" x14ac:dyDescent="0.25">
      <c r="A844" s="211">
        <f t="shared" si="13"/>
        <v>2220255</v>
      </c>
      <c r="B844" s="213" t="s">
        <v>1344</v>
      </c>
      <c r="C844" s="213" t="s">
        <v>1345</v>
      </c>
    </row>
    <row r="845" spans="1:3" x14ac:dyDescent="0.25">
      <c r="A845" s="211">
        <f t="shared" si="13"/>
        <v>2220256</v>
      </c>
      <c r="B845" s="213" t="s">
        <v>1346</v>
      </c>
      <c r="C845" s="213" t="s">
        <v>1347</v>
      </c>
    </row>
    <row r="846" spans="1:3" x14ac:dyDescent="0.25">
      <c r="A846" s="211">
        <f t="shared" si="13"/>
        <v>2220257</v>
      </c>
      <c r="B846" s="213" t="s">
        <v>13436</v>
      </c>
      <c r="C846" s="213" t="s">
        <v>13437</v>
      </c>
    </row>
    <row r="847" spans="1:3" x14ac:dyDescent="0.25">
      <c r="A847" s="211">
        <f t="shared" si="13"/>
        <v>2220258</v>
      </c>
      <c r="B847" s="213" t="s">
        <v>1348</v>
      </c>
      <c r="C847" s="213" t="s">
        <v>1349</v>
      </c>
    </row>
    <row r="848" spans="1:3" x14ac:dyDescent="0.25">
      <c r="A848" s="211">
        <f t="shared" si="13"/>
        <v>2220292</v>
      </c>
      <c r="B848" s="213" t="s">
        <v>1350</v>
      </c>
      <c r="C848" s="213" t="s">
        <v>1351</v>
      </c>
    </row>
    <row r="849" spans="1:3" x14ac:dyDescent="0.25">
      <c r="A849" s="211">
        <f t="shared" si="13"/>
        <v>2220333</v>
      </c>
      <c r="B849" s="213" t="s">
        <v>1352</v>
      </c>
      <c r="C849" s="213" t="s">
        <v>1353</v>
      </c>
    </row>
    <row r="850" spans="1:3" x14ac:dyDescent="0.25">
      <c r="A850" s="211">
        <f t="shared" si="13"/>
        <v>2220335</v>
      </c>
      <c r="B850" s="213" t="s">
        <v>1354</v>
      </c>
      <c r="C850" s="213" t="s">
        <v>1355</v>
      </c>
    </row>
    <row r="851" spans="1:3" x14ac:dyDescent="0.25">
      <c r="A851" s="211">
        <f t="shared" si="13"/>
        <v>2220336</v>
      </c>
      <c r="B851" s="213" t="s">
        <v>1356</v>
      </c>
      <c r="C851" s="213" t="s">
        <v>1357</v>
      </c>
    </row>
    <row r="852" spans="1:3" x14ac:dyDescent="0.25">
      <c r="A852" s="211">
        <f t="shared" si="13"/>
        <v>2220345</v>
      </c>
      <c r="B852" s="213" t="s">
        <v>1358</v>
      </c>
      <c r="C852" s="213" t="s">
        <v>1359</v>
      </c>
    </row>
    <row r="853" spans="1:3" x14ac:dyDescent="0.25">
      <c r="A853" s="211">
        <f t="shared" si="13"/>
        <v>2220389</v>
      </c>
      <c r="B853" s="213" t="s">
        <v>1360</v>
      </c>
      <c r="C853" s="213" t="s">
        <v>1361</v>
      </c>
    </row>
    <row r="854" spans="1:3" x14ac:dyDescent="0.25">
      <c r="A854" s="211">
        <f t="shared" si="13"/>
        <v>2220421</v>
      </c>
      <c r="B854" s="213" t="s">
        <v>1362</v>
      </c>
      <c r="C854" s="213" t="s">
        <v>1363</v>
      </c>
    </row>
    <row r="855" spans="1:3" x14ac:dyDescent="0.25">
      <c r="A855" s="211">
        <f t="shared" si="13"/>
        <v>2220422</v>
      </c>
      <c r="B855" s="213" t="s">
        <v>14023</v>
      </c>
      <c r="C855" s="213" t="s">
        <v>14024</v>
      </c>
    </row>
    <row r="856" spans="1:3" x14ac:dyDescent="0.25">
      <c r="A856" s="211">
        <f t="shared" si="13"/>
        <v>2220444</v>
      </c>
      <c r="B856" s="213" t="s">
        <v>1364</v>
      </c>
      <c r="C856" s="213" t="s">
        <v>1365</v>
      </c>
    </row>
    <row r="857" spans="1:3" x14ac:dyDescent="0.25">
      <c r="A857" s="211">
        <f t="shared" si="13"/>
        <v>2220450</v>
      </c>
      <c r="B857" s="213" t="s">
        <v>1366</v>
      </c>
      <c r="C857" s="213" t="s">
        <v>1367</v>
      </c>
    </row>
    <row r="858" spans="1:3" x14ac:dyDescent="0.25">
      <c r="A858" s="211">
        <f t="shared" si="13"/>
        <v>2220451</v>
      </c>
      <c r="B858" s="213" t="s">
        <v>1368</v>
      </c>
      <c r="C858" s="213" t="s">
        <v>1369</v>
      </c>
    </row>
    <row r="859" spans="1:3" x14ac:dyDescent="0.25">
      <c r="A859" s="211">
        <f t="shared" si="13"/>
        <v>2220456</v>
      </c>
      <c r="B859" s="213" t="s">
        <v>1370</v>
      </c>
      <c r="C859" s="213" t="s">
        <v>1371</v>
      </c>
    </row>
    <row r="860" spans="1:3" x14ac:dyDescent="0.25">
      <c r="A860" s="211">
        <f t="shared" si="13"/>
        <v>2220520</v>
      </c>
      <c r="B860" s="213" t="s">
        <v>1372</v>
      </c>
      <c r="C860" s="213" t="s">
        <v>1373</v>
      </c>
    </row>
    <row r="861" spans="1:3" x14ac:dyDescent="0.25">
      <c r="A861" s="211">
        <f t="shared" si="13"/>
        <v>2220555</v>
      </c>
      <c r="B861" s="213" t="s">
        <v>1374</v>
      </c>
      <c r="C861" s="213" t="s">
        <v>1375</v>
      </c>
    </row>
    <row r="862" spans="1:3" x14ac:dyDescent="0.25">
      <c r="A862" s="211">
        <f t="shared" si="13"/>
        <v>2220591</v>
      </c>
      <c r="B862" s="213" t="s">
        <v>1376</v>
      </c>
      <c r="C862" s="213" t="s">
        <v>1377</v>
      </c>
    </row>
    <row r="863" spans="1:3" x14ac:dyDescent="0.25">
      <c r="A863" s="211">
        <f t="shared" si="13"/>
        <v>2220601</v>
      </c>
      <c r="B863" s="213" t="s">
        <v>1378</v>
      </c>
      <c r="C863" s="213" t="s">
        <v>1379</v>
      </c>
    </row>
    <row r="864" spans="1:3" x14ac:dyDescent="0.25">
      <c r="A864" s="211">
        <f t="shared" si="13"/>
        <v>2220666</v>
      </c>
      <c r="B864" s="213" t="s">
        <v>1380</v>
      </c>
      <c r="C864" s="213" t="s">
        <v>1381</v>
      </c>
    </row>
    <row r="865" spans="1:3" x14ac:dyDescent="0.25">
      <c r="A865" s="211">
        <f t="shared" si="13"/>
        <v>2220750</v>
      </c>
      <c r="B865" s="213" t="s">
        <v>1382</v>
      </c>
      <c r="C865" s="213" t="s">
        <v>1383</v>
      </c>
    </row>
    <row r="866" spans="1:3" x14ac:dyDescent="0.25">
      <c r="A866" s="211">
        <f t="shared" si="13"/>
        <v>2220751</v>
      </c>
      <c r="B866" s="213" t="s">
        <v>1385</v>
      </c>
      <c r="C866" s="213" t="s">
        <v>1386</v>
      </c>
    </row>
    <row r="867" spans="1:3" x14ac:dyDescent="0.25">
      <c r="A867" s="211">
        <f t="shared" si="13"/>
        <v>2220755</v>
      </c>
      <c r="B867" s="213" t="s">
        <v>1387</v>
      </c>
      <c r="C867" s="213" t="s">
        <v>1388</v>
      </c>
    </row>
    <row r="868" spans="1:3" x14ac:dyDescent="0.25">
      <c r="A868" s="211">
        <f t="shared" si="13"/>
        <v>2220756</v>
      </c>
      <c r="B868" s="213" t="s">
        <v>1389</v>
      </c>
      <c r="C868" s="213" t="s">
        <v>1390</v>
      </c>
    </row>
    <row r="869" spans="1:3" x14ac:dyDescent="0.25">
      <c r="A869" s="211">
        <f t="shared" si="13"/>
        <v>2220777</v>
      </c>
      <c r="B869" s="213" t="s">
        <v>1391</v>
      </c>
      <c r="C869" s="213" t="s">
        <v>1392</v>
      </c>
    </row>
    <row r="870" spans="1:3" x14ac:dyDescent="0.25">
      <c r="A870" s="211">
        <f t="shared" si="13"/>
        <v>2220856</v>
      </c>
      <c r="B870" s="213" t="s">
        <v>1393</v>
      </c>
      <c r="C870" s="213" t="s">
        <v>1394</v>
      </c>
    </row>
    <row r="871" spans="1:3" x14ac:dyDescent="0.25">
      <c r="A871" s="211">
        <f t="shared" si="13"/>
        <v>2220888</v>
      </c>
      <c r="B871" s="213" t="s">
        <v>1395</v>
      </c>
      <c r="C871" s="213" t="s">
        <v>1396</v>
      </c>
    </row>
    <row r="872" spans="1:3" x14ac:dyDescent="0.25">
      <c r="A872" s="211">
        <f t="shared" si="13"/>
        <v>2220900</v>
      </c>
      <c r="B872" s="213" t="s">
        <v>1397</v>
      </c>
      <c r="C872" s="213" t="s">
        <v>1398</v>
      </c>
    </row>
    <row r="873" spans="1:3" x14ac:dyDescent="0.25">
      <c r="A873" s="211">
        <f t="shared" si="13"/>
        <v>2220909</v>
      </c>
      <c r="B873" s="213" t="s">
        <v>1399</v>
      </c>
      <c r="C873" s="213" t="s">
        <v>1400</v>
      </c>
    </row>
    <row r="874" spans="1:3" x14ac:dyDescent="0.25">
      <c r="A874" s="211">
        <f t="shared" si="13"/>
        <v>2220999</v>
      </c>
      <c r="B874" s="213" t="s">
        <v>1401</v>
      </c>
      <c r="C874" s="213" t="s">
        <v>13438</v>
      </c>
    </row>
    <row r="875" spans="1:3" x14ac:dyDescent="0.25">
      <c r="A875" s="211">
        <f t="shared" si="13"/>
        <v>2230600</v>
      </c>
      <c r="B875" s="213" t="s">
        <v>1402</v>
      </c>
      <c r="C875" s="213" t="s">
        <v>1403</v>
      </c>
    </row>
    <row r="876" spans="1:3" x14ac:dyDescent="0.25">
      <c r="A876" s="211">
        <f t="shared" si="13"/>
        <v>2301001</v>
      </c>
      <c r="B876" s="213" t="s">
        <v>1404</v>
      </c>
      <c r="C876" s="213" t="s">
        <v>1405</v>
      </c>
    </row>
    <row r="877" spans="1:3" x14ac:dyDescent="0.25">
      <c r="A877" s="211">
        <f t="shared" si="13"/>
        <v>2301002</v>
      </c>
      <c r="B877" s="213" t="s">
        <v>1406</v>
      </c>
      <c r="C877" s="213" t="s">
        <v>1407</v>
      </c>
    </row>
    <row r="878" spans="1:3" x14ac:dyDescent="0.25">
      <c r="A878" s="211">
        <f t="shared" si="13"/>
        <v>2301003</v>
      </c>
      <c r="B878" s="213" t="s">
        <v>14025</v>
      </c>
      <c r="C878" s="213" t="s">
        <v>14026</v>
      </c>
    </row>
    <row r="879" spans="1:3" x14ac:dyDescent="0.25">
      <c r="A879" s="211">
        <f t="shared" si="13"/>
        <v>2301046</v>
      </c>
      <c r="B879" s="213" t="s">
        <v>1408</v>
      </c>
      <c r="C879" s="213" t="s">
        <v>1409</v>
      </c>
    </row>
    <row r="880" spans="1:3" x14ac:dyDescent="0.25">
      <c r="A880" s="211">
        <f t="shared" si="13"/>
        <v>2301047</v>
      </c>
      <c r="B880" s="213" t="s">
        <v>7496</v>
      </c>
      <c r="C880" s="213" t="s">
        <v>7497</v>
      </c>
    </row>
    <row r="881" spans="1:3" x14ac:dyDescent="0.25">
      <c r="A881" s="211">
        <f t="shared" si="13"/>
        <v>2301048</v>
      </c>
      <c r="B881" s="213" t="s">
        <v>1410</v>
      </c>
      <c r="C881" s="213" t="s">
        <v>1411</v>
      </c>
    </row>
    <row r="882" spans="1:3" x14ac:dyDescent="0.25">
      <c r="A882" s="211">
        <f t="shared" si="13"/>
        <v>2301143</v>
      </c>
      <c r="B882" s="213" t="s">
        <v>1412</v>
      </c>
      <c r="C882" s="213" t="s">
        <v>1413</v>
      </c>
    </row>
    <row r="883" spans="1:3" x14ac:dyDescent="0.25">
      <c r="A883" s="211">
        <f t="shared" si="13"/>
        <v>2301158</v>
      </c>
      <c r="B883" s="213" t="s">
        <v>1414</v>
      </c>
      <c r="C883" s="213" t="s">
        <v>1415</v>
      </c>
    </row>
    <row r="884" spans="1:3" x14ac:dyDescent="0.25">
      <c r="A884" s="211">
        <f t="shared" si="13"/>
        <v>2301160</v>
      </c>
      <c r="B884" s="213" t="s">
        <v>1416</v>
      </c>
      <c r="C884" s="213" t="s">
        <v>1417</v>
      </c>
    </row>
    <row r="885" spans="1:3" x14ac:dyDescent="0.25">
      <c r="A885" s="211">
        <f t="shared" si="13"/>
        <v>2301175</v>
      </c>
      <c r="B885" s="213" t="s">
        <v>1418</v>
      </c>
      <c r="C885" s="213" t="s">
        <v>1419</v>
      </c>
    </row>
    <row r="886" spans="1:3" x14ac:dyDescent="0.25">
      <c r="A886" s="211">
        <f t="shared" si="13"/>
        <v>2301300</v>
      </c>
      <c r="B886" s="213" t="s">
        <v>1420</v>
      </c>
      <c r="C886" s="213" t="s">
        <v>1421</v>
      </c>
    </row>
    <row r="887" spans="1:3" x14ac:dyDescent="0.25">
      <c r="A887" s="211">
        <f t="shared" si="13"/>
        <v>2301333</v>
      </c>
      <c r="B887" s="213" t="s">
        <v>1422</v>
      </c>
      <c r="C887" s="213" t="s">
        <v>1423</v>
      </c>
    </row>
    <row r="888" spans="1:3" x14ac:dyDescent="0.25">
      <c r="A888" s="211">
        <f t="shared" si="13"/>
        <v>2301520</v>
      </c>
      <c r="B888" s="213" t="s">
        <v>1424</v>
      </c>
      <c r="C888" s="213" t="s">
        <v>1425</v>
      </c>
    </row>
    <row r="889" spans="1:3" x14ac:dyDescent="0.25">
      <c r="A889" s="211">
        <f t="shared" si="13"/>
        <v>2301601</v>
      </c>
      <c r="B889" s="213" t="s">
        <v>1426</v>
      </c>
      <c r="C889" s="213" t="s">
        <v>1427</v>
      </c>
    </row>
    <row r="890" spans="1:3" x14ac:dyDescent="0.25">
      <c r="A890" s="211">
        <f t="shared" si="13"/>
        <v>2301666</v>
      </c>
      <c r="B890" s="213" t="s">
        <v>1428</v>
      </c>
      <c r="C890" s="213" t="s">
        <v>1429</v>
      </c>
    </row>
    <row r="891" spans="1:3" x14ac:dyDescent="0.25">
      <c r="A891" s="211">
        <f t="shared" si="13"/>
        <v>2301777</v>
      </c>
      <c r="B891" s="213" t="s">
        <v>1430</v>
      </c>
      <c r="C891" s="213" t="s">
        <v>1431</v>
      </c>
    </row>
    <row r="892" spans="1:3" x14ac:dyDescent="0.25">
      <c r="A892" s="211">
        <f t="shared" si="13"/>
        <v>2301852</v>
      </c>
      <c r="B892" s="213" t="s">
        <v>1432</v>
      </c>
      <c r="C892" s="213" t="s">
        <v>1433</v>
      </c>
    </row>
    <row r="893" spans="1:3" x14ac:dyDescent="0.25">
      <c r="A893" s="211">
        <f t="shared" si="13"/>
        <v>2301887</v>
      </c>
      <c r="B893" s="213" t="s">
        <v>1434</v>
      </c>
      <c r="C893" s="213" t="s">
        <v>1435</v>
      </c>
    </row>
    <row r="894" spans="1:3" x14ac:dyDescent="0.25">
      <c r="A894" s="211">
        <f t="shared" si="13"/>
        <v>2301888</v>
      </c>
      <c r="B894" s="213" t="s">
        <v>1436</v>
      </c>
      <c r="C894" s="213" t="s">
        <v>1437</v>
      </c>
    </row>
    <row r="895" spans="1:3" x14ac:dyDescent="0.25">
      <c r="A895" s="211">
        <f t="shared" si="13"/>
        <v>2301900</v>
      </c>
      <c r="B895" s="213" t="s">
        <v>1438</v>
      </c>
      <c r="C895" s="213" t="s">
        <v>1439</v>
      </c>
    </row>
    <row r="896" spans="1:3" x14ac:dyDescent="0.25">
      <c r="A896" s="211">
        <f t="shared" si="13"/>
        <v>2401012</v>
      </c>
      <c r="B896" s="213" t="s">
        <v>1440</v>
      </c>
      <c r="C896" s="213" t="s">
        <v>1441</v>
      </c>
    </row>
    <row r="897" spans="1:3" x14ac:dyDescent="0.25">
      <c r="A897" s="211">
        <f t="shared" si="13"/>
        <v>2401021</v>
      </c>
      <c r="B897" s="213" t="s">
        <v>1442</v>
      </c>
      <c r="C897" s="213" t="s">
        <v>1443</v>
      </c>
    </row>
    <row r="898" spans="1:3" x14ac:dyDescent="0.25">
      <c r="A898" s="211">
        <f t="shared" ref="A898:A961" si="14">IFERROR(B898*1,"")</f>
        <v>2401022</v>
      </c>
      <c r="B898" s="213" t="s">
        <v>1444</v>
      </c>
      <c r="C898" s="213" t="s">
        <v>1445</v>
      </c>
    </row>
    <row r="899" spans="1:3" x14ac:dyDescent="0.25">
      <c r="A899" s="211">
        <f t="shared" si="14"/>
        <v>2401023</v>
      </c>
      <c r="B899" s="213" t="s">
        <v>1446</v>
      </c>
      <c r="C899" s="213" t="s">
        <v>1447</v>
      </c>
    </row>
    <row r="900" spans="1:3" x14ac:dyDescent="0.25">
      <c r="A900" s="211">
        <f t="shared" si="14"/>
        <v>2401024</v>
      </c>
      <c r="B900" s="213" t="s">
        <v>13439</v>
      </c>
      <c r="C900" s="213" t="s">
        <v>13440</v>
      </c>
    </row>
    <row r="901" spans="1:3" x14ac:dyDescent="0.25">
      <c r="A901" s="211">
        <f t="shared" si="14"/>
        <v>2401026</v>
      </c>
      <c r="B901" s="213" t="s">
        <v>13755</v>
      </c>
      <c r="C901" s="213" t="s">
        <v>13745</v>
      </c>
    </row>
    <row r="902" spans="1:3" x14ac:dyDescent="0.25">
      <c r="A902" s="211">
        <f t="shared" si="14"/>
        <v>2401100</v>
      </c>
      <c r="B902" s="213" t="s">
        <v>1448</v>
      </c>
      <c r="C902" s="213" t="s">
        <v>1449</v>
      </c>
    </row>
    <row r="903" spans="1:3" x14ac:dyDescent="0.25">
      <c r="A903" s="211">
        <f t="shared" si="14"/>
        <v>2401101</v>
      </c>
      <c r="B903" s="213" t="s">
        <v>1450</v>
      </c>
      <c r="C903" s="213" t="s">
        <v>1451</v>
      </c>
    </row>
    <row r="904" spans="1:3" x14ac:dyDescent="0.25">
      <c r="A904" s="211">
        <f t="shared" si="14"/>
        <v>2401103</v>
      </c>
      <c r="B904" s="213" t="s">
        <v>1452</v>
      </c>
      <c r="C904" s="213" t="s">
        <v>1453</v>
      </c>
    </row>
    <row r="905" spans="1:3" x14ac:dyDescent="0.25">
      <c r="A905" s="211">
        <f t="shared" si="14"/>
        <v>2401110</v>
      </c>
      <c r="B905" s="213" t="s">
        <v>14027</v>
      </c>
      <c r="C905" s="213" t="s">
        <v>14028</v>
      </c>
    </row>
    <row r="906" spans="1:3" x14ac:dyDescent="0.25">
      <c r="A906" s="211">
        <f t="shared" si="14"/>
        <v>2401111</v>
      </c>
      <c r="B906" s="213" t="s">
        <v>14029</v>
      </c>
      <c r="C906" s="213" t="s">
        <v>14030</v>
      </c>
    </row>
    <row r="907" spans="1:3" x14ac:dyDescent="0.25">
      <c r="A907" s="211">
        <f t="shared" si="14"/>
        <v>2401123</v>
      </c>
      <c r="B907" s="213" t="s">
        <v>1454</v>
      </c>
      <c r="C907" s="213" t="s">
        <v>1455</v>
      </c>
    </row>
    <row r="908" spans="1:3" x14ac:dyDescent="0.25">
      <c r="A908" s="211">
        <f t="shared" si="14"/>
        <v>2401200</v>
      </c>
      <c r="B908" s="213" t="s">
        <v>1456</v>
      </c>
      <c r="C908" s="213" t="s">
        <v>1457</v>
      </c>
    </row>
    <row r="909" spans="1:3" x14ac:dyDescent="0.25">
      <c r="A909" s="211">
        <f t="shared" si="14"/>
        <v>2401201</v>
      </c>
      <c r="B909" s="213" t="s">
        <v>1458</v>
      </c>
      <c r="C909" s="213" t="s">
        <v>1459</v>
      </c>
    </row>
    <row r="910" spans="1:3" x14ac:dyDescent="0.25">
      <c r="A910" s="211">
        <f t="shared" si="14"/>
        <v>2401242</v>
      </c>
      <c r="B910" s="213" t="s">
        <v>1460</v>
      </c>
      <c r="C910" s="213" t="s">
        <v>1461</v>
      </c>
    </row>
    <row r="911" spans="1:3" x14ac:dyDescent="0.25">
      <c r="A911" s="211">
        <f t="shared" si="14"/>
        <v>2401249</v>
      </c>
      <c r="B911" s="213" t="s">
        <v>1462</v>
      </c>
      <c r="C911" s="213" t="s">
        <v>1463</v>
      </c>
    </row>
    <row r="912" spans="1:3" x14ac:dyDescent="0.25">
      <c r="A912" s="211">
        <f t="shared" si="14"/>
        <v>2401250</v>
      </c>
      <c r="B912" s="213" t="s">
        <v>1464</v>
      </c>
      <c r="C912" s="213" t="s">
        <v>1465</v>
      </c>
    </row>
    <row r="913" spans="1:3" x14ac:dyDescent="0.25">
      <c r="A913" s="211">
        <f t="shared" si="14"/>
        <v>2401258</v>
      </c>
      <c r="B913" s="213" t="s">
        <v>1466</v>
      </c>
      <c r="C913" s="213" t="s">
        <v>1467</v>
      </c>
    </row>
    <row r="914" spans="1:3" x14ac:dyDescent="0.25">
      <c r="A914" s="211">
        <f t="shared" si="14"/>
        <v>2401260</v>
      </c>
      <c r="B914" s="213" t="s">
        <v>1468</v>
      </c>
      <c r="C914" s="213" t="s">
        <v>1469</v>
      </c>
    </row>
    <row r="915" spans="1:3" x14ac:dyDescent="0.25">
      <c r="A915" s="211">
        <f t="shared" si="14"/>
        <v>2401298</v>
      </c>
      <c r="B915" s="213" t="s">
        <v>1470</v>
      </c>
      <c r="C915" s="213" t="s">
        <v>1471</v>
      </c>
    </row>
    <row r="916" spans="1:3" x14ac:dyDescent="0.25">
      <c r="A916" s="211">
        <f t="shared" si="14"/>
        <v>2401350</v>
      </c>
      <c r="B916" s="213" t="s">
        <v>1472</v>
      </c>
      <c r="C916" s="213" t="s">
        <v>1473</v>
      </c>
    </row>
    <row r="917" spans="1:3" x14ac:dyDescent="0.25">
      <c r="A917" s="211">
        <f t="shared" si="14"/>
        <v>2401550</v>
      </c>
      <c r="B917" s="213" t="s">
        <v>1474</v>
      </c>
      <c r="C917" s="213" t="s">
        <v>1475</v>
      </c>
    </row>
    <row r="918" spans="1:3" x14ac:dyDescent="0.25">
      <c r="A918" s="211">
        <f t="shared" si="14"/>
        <v>2401555</v>
      </c>
      <c r="B918" s="213" t="s">
        <v>1476</v>
      </c>
      <c r="C918" s="213" t="s">
        <v>1477</v>
      </c>
    </row>
    <row r="919" spans="1:3" x14ac:dyDescent="0.25">
      <c r="A919" s="211">
        <f t="shared" si="14"/>
        <v>2401584</v>
      </c>
      <c r="B919" s="213" t="s">
        <v>1478</v>
      </c>
      <c r="C919" s="213" t="s">
        <v>1479</v>
      </c>
    </row>
    <row r="920" spans="1:3" x14ac:dyDescent="0.25">
      <c r="A920" s="211">
        <f t="shared" si="14"/>
        <v>2401800</v>
      </c>
      <c r="B920" s="213" t="s">
        <v>1480</v>
      </c>
      <c r="C920" s="213" t="s">
        <v>1481</v>
      </c>
    </row>
    <row r="921" spans="1:3" x14ac:dyDescent="0.25">
      <c r="A921" s="211">
        <f t="shared" si="14"/>
        <v>2401803</v>
      </c>
      <c r="B921" s="213" t="s">
        <v>1482</v>
      </c>
      <c r="C921" s="213" t="s">
        <v>14031</v>
      </c>
    </row>
    <row r="922" spans="1:3" x14ac:dyDescent="0.25">
      <c r="A922" s="211" t="str">
        <f t="shared" si="14"/>
        <v/>
      </c>
      <c r="B922" s="213" t="s">
        <v>13756</v>
      </c>
      <c r="C922" s="212"/>
    </row>
    <row r="923" spans="1:3" x14ac:dyDescent="0.25">
      <c r="A923" s="211">
        <f t="shared" si="14"/>
        <v>2401805</v>
      </c>
      <c r="B923" s="213" t="s">
        <v>1483</v>
      </c>
      <c r="C923" s="213" t="s">
        <v>1484</v>
      </c>
    </row>
    <row r="924" spans="1:3" x14ac:dyDescent="0.25">
      <c r="A924" s="211">
        <f t="shared" si="14"/>
        <v>2401806</v>
      </c>
      <c r="B924" s="213" t="s">
        <v>1485</v>
      </c>
      <c r="C924" s="213" t="s">
        <v>1486</v>
      </c>
    </row>
    <row r="925" spans="1:3" x14ac:dyDescent="0.25">
      <c r="A925" s="211">
        <f t="shared" si="14"/>
        <v>2601003</v>
      </c>
      <c r="B925" s="213" t="s">
        <v>1487</v>
      </c>
      <c r="C925" s="213" t="s">
        <v>1488</v>
      </c>
    </row>
    <row r="926" spans="1:3" x14ac:dyDescent="0.25">
      <c r="A926" s="211">
        <f t="shared" si="14"/>
        <v>2601004</v>
      </c>
      <c r="B926" s="213" t="s">
        <v>1489</v>
      </c>
      <c r="C926" s="213" t="s">
        <v>1490</v>
      </c>
    </row>
    <row r="927" spans="1:3" x14ac:dyDescent="0.25">
      <c r="A927" s="211">
        <f t="shared" si="14"/>
        <v>2601005</v>
      </c>
      <c r="B927" s="213" t="s">
        <v>1491</v>
      </c>
      <c r="C927" s="213" t="s">
        <v>1492</v>
      </c>
    </row>
    <row r="928" spans="1:3" x14ac:dyDescent="0.25">
      <c r="A928" s="211">
        <f t="shared" si="14"/>
        <v>2601006</v>
      </c>
      <c r="B928" s="213" t="s">
        <v>13441</v>
      </c>
      <c r="C928" s="213" t="s">
        <v>13442</v>
      </c>
    </row>
    <row r="929" spans="1:3" x14ac:dyDescent="0.25">
      <c r="A929" s="211">
        <f t="shared" si="14"/>
        <v>2601007</v>
      </c>
      <c r="B929" s="213" t="s">
        <v>14032</v>
      </c>
      <c r="C929" s="213" t="s">
        <v>14033</v>
      </c>
    </row>
    <row r="930" spans="1:3" x14ac:dyDescent="0.25">
      <c r="A930" s="211">
        <f t="shared" si="14"/>
        <v>2601495</v>
      </c>
      <c r="B930" s="213" t="s">
        <v>1493</v>
      </c>
      <c r="C930" s="213" t="s">
        <v>1494</v>
      </c>
    </row>
    <row r="931" spans="1:3" x14ac:dyDescent="0.25">
      <c r="A931" s="211">
        <f t="shared" si="14"/>
        <v>2601496</v>
      </c>
      <c r="B931" s="213" t="s">
        <v>1495</v>
      </c>
      <c r="C931" s="213" t="s">
        <v>1496</v>
      </c>
    </row>
    <row r="932" spans="1:3" x14ac:dyDescent="0.25">
      <c r="A932" s="211">
        <f t="shared" si="14"/>
        <v>2601594</v>
      </c>
      <c r="B932" s="213" t="s">
        <v>1497</v>
      </c>
      <c r="C932" s="213" t="s">
        <v>1498</v>
      </c>
    </row>
    <row r="933" spans="1:3" x14ac:dyDescent="0.25">
      <c r="A933" s="211">
        <f t="shared" si="14"/>
        <v>2601750</v>
      </c>
      <c r="B933" s="213" t="s">
        <v>1499</v>
      </c>
      <c r="C933" s="213" t="s">
        <v>1500</v>
      </c>
    </row>
    <row r="934" spans="1:3" x14ac:dyDescent="0.25">
      <c r="A934" s="211">
        <f t="shared" si="14"/>
        <v>2601850</v>
      </c>
      <c r="B934" s="213" t="s">
        <v>1501</v>
      </c>
      <c r="C934" s="213" t="s">
        <v>1502</v>
      </c>
    </row>
    <row r="935" spans="1:3" x14ac:dyDescent="0.25">
      <c r="A935" s="211">
        <f t="shared" si="14"/>
        <v>2601851</v>
      </c>
      <c r="B935" s="213" t="s">
        <v>1503</v>
      </c>
      <c r="C935" s="213" t="s">
        <v>1504</v>
      </c>
    </row>
    <row r="936" spans="1:3" x14ac:dyDescent="0.25">
      <c r="A936" s="211">
        <f t="shared" si="14"/>
        <v>2601888</v>
      </c>
      <c r="B936" s="213" t="s">
        <v>1505</v>
      </c>
      <c r="C936" s="213" t="s">
        <v>1506</v>
      </c>
    </row>
    <row r="937" spans="1:3" x14ac:dyDescent="0.25">
      <c r="A937" s="211">
        <f t="shared" si="14"/>
        <v>2601900</v>
      </c>
      <c r="B937" s="213" t="s">
        <v>1507</v>
      </c>
      <c r="C937" s="213" t="s">
        <v>1508</v>
      </c>
    </row>
    <row r="938" spans="1:3" x14ac:dyDescent="0.25">
      <c r="A938" s="211">
        <f t="shared" si="14"/>
        <v>2601901</v>
      </c>
      <c r="B938" s="213" t="s">
        <v>1509</v>
      </c>
      <c r="C938" s="213" t="s">
        <v>1510</v>
      </c>
    </row>
    <row r="939" spans="1:3" x14ac:dyDescent="0.25">
      <c r="A939" s="211">
        <f t="shared" si="14"/>
        <v>2727030</v>
      </c>
      <c r="B939" s="213" t="s">
        <v>1511</v>
      </c>
      <c r="C939" s="213" t="s">
        <v>1512</v>
      </c>
    </row>
    <row r="940" spans="1:3" x14ac:dyDescent="0.25">
      <c r="A940" s="211">
        <f t="shared" si="14"/>
        <v>2846646</v>
      </c>
      <c r="B940" s="213" t="s">
        <v>1513</v>
      </c>
      <c r="C940" s="213" t="s">
        <v>1514</v>
      </c>
    </row>
    <row r="941" spans="1:3" x14ac:dyDescent="0.25">
      <c r="A941" s="211">
        <f t="shared" si="14"/>
        <v>2849103</v>
      </c>
      <c r="B941" s="213" t="s">
        <v>1515</v>
      </c>
      <c r="C941" s="213" t="s">
        <v>1516</v>
      </c>
    </row>
    <row r="942" spans="1:3" x14ac:dyDescent="0.25">
      <c r="A942" s="211">
        <f t="shared" si="14"/>
        <v>2849225</v>
      </c>
      <c r="B942" s="213" t="s">
        <v>1517</v>
      </c>
      <c r="C942" s="213" t="s">
        <v>1518</v>
      </c>
    </row>
    <row r="943" spans="1:3" x14ac:dyDescent="0.25">
      <c r="A943" s="211">
        <f t="shared" si="14"/>
        <v>2849230</v>
      </c>
      <c r="B943" s="213" t="s">
        <v>1519</v>
      </c>
      <c r="C943" s="213" t="s">
        <v>1520</v>
      </c>
    </row>
    <row r="944" spans="1:3" x14ac:dyDescent="0.25">
      <c r="A944" s="211">
        <f t="shared" si="14"/>
        <v>2849231</v>
      </c>
      <c r="B944" s="213" t="s">
        <v>1521</v>
      </c>
      <c r="C944" s="213" t="s">
        <v>1522</v>
      </c>
    </row>
    <row r="945" spans="1:3" x14ac:dyDescent="0.25">
      <c r="A945" s="211">
        <f t="shared" si="14"/>
        <v>2849232</v>
      </c>
      <c r="B945" s="213" t="s">
        <v>1523</v>
      </c>
      <c r="C945" s="213" t="s">
        <v>1524</v>
      </c>
    </row>
    <row r="946" spans="1:3" x14ac:dyDescent="0.25">
      <c r="A946" s="211">
        <f t="shared" si="14"/>
        <v>2849233</v>
      </c>
      <c r="B946" s="213" t="s">
        <v>1525</v>
      </c>
      <c r="C946" s="213" t="s">
        <v>1526</v>
      </c>
    </row>
    <row r="947" spans="1:3" x14ac:dyDescent="0.25">
      <c r="A947" s="211">
        <f t="shared" si="14"/>
        <v>2849238</v>
      </c>
      <c r="B947" s="213" t="s">
        <v>1527</v>
      </c>
      <c r="C947" s="213" t="s">
        <v>1528</v>
      </c>
    </row>
    <row r="948" spans="1:3" x14ac:dyDescent="0.25">
      <c r="A948" s="211">
        <f t="shared" si="14"/>
        <v>2849250</v>
      </c>
      <c r="B948" s="213" t="s">
        <v>1529</v>
      </c>
      <c r="C948" s="213" t="s">
        <v>1530</v>
      </c>
    </row>
    <row r="949" spans="1:3" x14ac:dyDescent="0.25">
      <c r="A949" s="211">
        <f t="shared" si="14"/>
        <v>2849302</v>
      </c>
      <c r="B949" s="213" t="s">
        <v>1531</v>
      </c>
      <c r="C949" s="213" t="s">
        <v>1532</v>
      </c>
    </row>
    <row r="950" spans="1:3" x14ac:dyDescent="0.25">
      <c r="A950" s="211">
        <f t="shared" si="14"/>
        <v>2849304</v>
      </c>
      <c r="B950" s="213" t="s">
        <v>1533</v>
      </c>
      <c r="C950" s="213" t="s">
        <v>1534</v>
      </c>
    </row>
    <row r="951" spans="1:3" x14ac:dyDescent="0.25">
      <c r="A951" s="211">
        <f t="shared" si="14"/>
        <v>2849361</v>
      </c>
      <c r="B951" s="213" t="s">
        <v>1535</v>
      </c>
      <c r="C951" s="213" t="s">
        <v>1536</v>
      </c>
    </row>
    <row r="952" spans="1:3" x14ac:dyDescent="0.25">
      <c r="A952" s="211">
        <f t="shared" si="14"/>
        <v>2849425</v>
      </c>
      <c r="B952" s="213" t="s">
        <v>1537</v>
      </c>
      <c r="C952" s="213" t="s">
        <v>1538</v>
      </c>
    </row>
    <row r="953" spans="1:3" x14ac:dyDescent="0.25">
      <c r="A953" s="211">
        <f t="shared" si="14"/>
        <v>2849437</v>
      </c>
      <c r="B953" s="213" t="s">
        <v>1539</v>
      </c>
      <c r="C953" s="213" t="s">
        <v>1540</v>
      </c>
    </row>
    <row r="954" spans="1:3" x14ac:dyDescent="0.25">
      <c r="A954" s="211">
        <f t="shared" si="14"/>
        <v>2849438</v>
      </c>
      <c r="B954" s="213" t="s">
        <v>1541</v>
      </c>
      <c r="C954" s="213" t="s">
        <v>1542</v>
      </c>
    </row>
    <row r="955" spans="1:3" x14ac:dyDescent="0.25">
      <c r="A955" s="211">
        <f t="shared" si="14"/>
        <v>2849450</v>
      </c>
      <c r="B955" s="213" t="s">
        <v>1543</v>
      </c>
      <c r="C955" s="213" t="s">
        <v>1544</v>
      </c>
    </row>
    <row r="956" spans="1:3" x14ac:dyDescent="0.25">
      <c r="A956" s="211">
        <f t="shared" si="14"/>
        <v>2849505</v>
      </c>
      <c r="B956" s="213" t="s">
        <v>1545</v>
      </c>
      <c r="C956" s="213" t="s">
        <v>1546</v>
      </c>
    </row>
    <row r="957" spans="1:3" x14ac:dyDescent="0.25">
      <c r="A957" s="211">
        <f t="shared" si="14"/>
        <v>2849525</v>
      </c>
      <c r="B957" s="213" t="s">
        <v>1547</v>
      </c>
      <c r="C957" s="213" t="s">
        <v>1548</v>
      </c>
    </row>
    <row r="958" spans="1:3" x14ac:dyDescent="0.25">
      <c r="A958" s="211">
        <f t="shared" si="14"/>
        <v>2849538</v>
      </c>
      <c r="B958" s="213" t="s">
        <v>1549</v>
      </c>
      <c r="C958" s="213" t="s">
        <v>1550</v>
      </c>
    </row>
    <row r="959" spans="1:3" x14ac:dyDescent="0.25">
      <c r="A959" s="211">
        <f t="shared" si="14"/>
        <v>2849549</v>
      </c>
      <c r="B959" s="213" t="s">
        <v>13298</v>
      </c>
      <c r="C959" s="213" t="s">
        <v>13299</v>
      </c>
    </row>
    <row r="960" spans="1:3" x14ac:dyDescent="0.25">
      <c r="A960" s="211">
        <f t="shared" si="14"/>
        <v>2849612</v>
      </c>
      <c r="B960" s="213" t="s">
        <v>1551</v>
      </c>
      <c r="C960" s="213" t="s">
        <v>1552</v>
      </c>
    </row>
    <row r="961" spans="1:3" x14ac:dyDescent="0.25">
      <c r="A961" s="211">
        <f t="shared" si="14"/>
        <v>2849646</v>
      </c>
      <c r="B961" s="213" t="s">
        <v>1553</v>
      </c>
      <c r="C961" s="213" t="s">
        <v>1554</v>
      </c>
    </row>
    <row r="962" spans="1:3" x14ac:dyDescent="0.25">
      <c r="A962" s="211">
        <f t="shared" ref="A962:A1025" si="15">IFERROR(B962*1,"")</f>
        <v>2849647</v>
      </c>
      <c r="B962" s="213" t="s">
        <v>1555</v>
      </c>
      <c r="C962" s="213" t="s">
        <v>1556</v>
      </c>
    </row>
    <row r="963" spans="1:3" x14ac:dyDescent="0.25">
      <c r="A963" s="211">
        <f t="shared" si="15"/>
        <v>2849648</v>
      </c>
      <c r="B963" s="213" t="s">
        <v>1557</v>
      </c>
      <c r="C963" s="213" t="s">
        <v>1558</v>
      </c>
    </row>
    <row r="964" spans="1:3" x14ac:dyDescent="0.25">
      <c r="A964" s="211">
        <f t="shared" si="15"/>
        <v>2849736</v>
      </c>
      <c r="B964" s="213" t="s">
        <v>1559</v>
      </c>
      <c r="C964" s="213" t="s">
        <v>1560</v>
      </c>
    </row>
    <row r="965" spans="1:3" x14ac:dyDescent="0.25">
      <c r="A965" s="211">
        <f t="shared" si="15"/>
        <v>2849737</v>
      </c>
      <c r="B965" s="213" t="s">
        <v>1561</v>
      </c>
      <c r="C965" s="213" t="s">
        <v>1562</v>
      </c>
    </row>
    <row r="966" spans="1:3" x14ac:dyDescent="0.25">
      <c r="A966" s="211">
        <f t="shared" si="15"/>
        <v>2849738</v>
      </c>
      <c r="B966" s="213" t="s">
        <v>1563</v>
      </c>
      <c r="C966" s="213" t="s">
        <v>1564</v>
      </c>
    </row>
    <row r="967" spans="1:3" x14ac:dyDescent="0.25">
      <c r="A967" s="211">
        <f t="shared" si="15"/>
        <v>2849907</v>
      </c>
      <c r="B967" s="213" t="s">
        <v>1565</v>
      </c>
      <c r="C967" s="213" t="s">
        <v>1566</v>
      </c>
    </row>
    <row r="968" spans="1:3" x14ac:dyDescent="0.25">
      <c r="A968" s="211" t="str">
        <f t="shared" si="15"/>
        <v/>
      </c>
      <c r="B968" s="213" t="s">
        <v>13757</v>
      </c>
      <c r="C968" s="212"/>
    </row>
    <row r="969" spans="1:3" x14ac:dyDescent="0.25">
      <c r="A969" s="211">
        <f t="shared" si="15"/>
        <v>3</v>
      </c>
      <c r="B969" s="213" t="s">
        <v>1567</v>
      </c>
      <c r="C969" s="213" t="s">
        <v>1568</v>
      </c>
    </row>
    <row r="970" spans="1:3" x14ac:dyDescent="0.25">
      <c r="A970" s="211" t="str">
        <f t="shared" si="15"/>
        <v/>
      </c>
      <c r="B970" s="213" t="s">
        <v>1569</v>
      </c>
      <c r="C970" s="213" t="s">
        <v>1570</v>
      </c>
    </row>
    <row r="971" spans="1:3" x14ac:dyDescent="0.25">
      <c r="A971" s="211">
        <f t="shared" si="15"/>
        <v>3101024</v>
      </c>
      <c r="B971" s="213" t="s">
        <v>1571</v>
      </c>
      <c r="C971" s="213" t="s">
        <v>1572</v>
      </c>
    </row>
    <row r="972" spans="1:3" x14ac:dyDescent="0.25">
      <c r="A972" s="211">
        <f t="shared" si="15"/>
        <v>3101025</v>
      </c>
      <c r="B972" s="213" t="s">
        <v>1573</v>
      </c>
      <c r="C972" s="213" t="s">
        <v>1574</v>
      </c>
    </row>
    <row r="973" spans="1:3" x14ac:dyDescent="0.25">
      <c r="A973" s="211">
        <f t="shared" si="15"/>
        <v>3101027</v>
      </c>
      <c r="B973" s="213" t="s">
        <v>1575</v>
      </c>
      <c r="C973" s="213" t="s">
        <v>1576</v>
      </c>
    </row>
    <row r="974" spans="1:3" x14ac:dyDescent="0.25">
      <c r="A974" s="211">
        <f t="shared" si="15"/>
        <v>3101028</v>
      </c>
      <c r="B974" s="213" t="s">
        <v>1577</v>
      </c>
      <c r="C974" s="213" t="s">
        <v>1578</v>
      </c>
    </row>
    <row r="975" spans="1:3" x14ac:dyDescent="0.25">
      <c r="A975" s="211">
        <f t="shared" si="15"/>
        <v>3101100</v>
      </c>
      <c r="B975" s="213" t="s">
        <v>1579</v>
      </c>
      <c r="C975" s="213" t="s">
        <v>1580</v>
      </c>
    </row>
    <row r="976" spans="1:3" x14ac:dyDescent="0.25">
      <c r="A976" s="211">
        <f t="shared" si="15"/>
        <v>3101101</v>
      </c>
      <c r="B976" s="213" t="s">
        <v>1581</v>
      </c>
      <c r="C976" s="213" t="s">
        <v>1582</v>
      </c>
    </row>
    <row r="977" spans="1:3" x14ac:dyDescent="0.25">
      <c r="A977" s="211">
        <f t="shared" si="15"/>
        <v>3101102</v>
      </c>
      <c r="B977" s="213" t="s">
        <v>1583</v>
      </c>
      <c r="C977" s="213" t="s">
        <v>1584</v>
      </c>
    </row>
    <row r="978" spans="1:3" x14ac:dyDescent="0.25">
      <c r="A978" s="211">
        <f t="shared" si="15"/>
        <v>3101103</v>
      </c>
      <c r="B978" s="213" t="s">
        <v>1585</v>
      </c>
      <c r="C978" s="213" t="s">
        <v>1586</v>
      </c>
    </row>
    <row r="979" spans="1:3" x14ac:dyDescent="0.25">
      <c r="A979" s="211">
        <f t="shared" si="15"/>
        <v>3101370</v>
      </c>
      <c r="B979" s="213" t="s">
        <v>1587</v>
      </c>
      <c r="C979" s="213" t="s">
        <v>1588</v>
      </c>
    </row>
    <row r="980" spans="1:3" x14ac:dyDescent="0.25">
      <c r="A980" s="211">
        <f t="shared" si="15"/>
        <v>3101485</v>
      </c>
      <c r="B980" s="213" t="s">
        <v>1589</v>
      </c>
      <c r="C980" s="213" t="s">
        <v>1590</v>
      </c>
    </row>
    <row r="981" spans="1:3" x14ac:dyDescent="0.25">
      <c r="A981" s="211">
        <f t="shared" si="15"/>
        <v>3101486</v>
      </c>
      <c r="B981" s="213" t="s">
        <v>1591</v>
      </c>
      <c r="C981" s="213" t="s">
        <v>1592</v>
      </c>
    </row>
    <row r="982" spans="1:3" x14ac:dyDescent="0.25">
      <c r="A982" s="211">
        <f t="shared" si="15"/>
        <v>3101487</v>
      </c>
      <c r="B982" s="213" t="s">
        <v>1593</v>
      </c>
      <c r="C982" s="213" t="s">
        <v>1594</v>
      </c>
    </row>
    <row r="983" spans="1:3" x14ac:dyDescent="0.25">
      <c r="A983" s="211">
        <f t="shared" si="15"/>
        <v>3101488</v>
      </c>
      <c r="B983" s="213" t="s">
        <v>1595</v>
      </c>
      <c r="C983" s="213" t="s">
        <v>1596</v>
      </c>
    </row>
    <row r="984" spans="1:3" x14ac:dyDescent="0.25">
      <c r="A984" s="211">
        <f t="shared" si="15"/>
        <v>3101489</v>
      </c>
      <c r="B984" s="213" t="s">
        <v>7498</v>
      </c>
      <c r="C984" s="213" t="s">
        <v>14034</v>
      </c>
    </row>
    <row r="985" spans="1:3" x14ac:dyDescent="0.25">
      <c r="A985" s="211">
        <f t="shared" si="15"/>
        <v>3101555</v>
      </c>
      <c r="B985" s="213" t="s">
        <v>1597</v>
      </c>
      <c r="C985" s="213" t="s">
        <v>1598</v>
      </c>
    </row>
    <row r="986" spans="1:3" x14ac:dyDescent="0.25">
      <c r="A986" s="211">
        <f t="shared" si="15"/>
        <v>3101666</v>
      </c>
      <c r="B986" s="213" t="s">
        <v>1599</v>
      </c>
      <c r="C986" s="213" t="s">
        <v>1600</v>
      </c>
    </row>
    <row r="987" spans="1:3" x14ac:dyDescent="0.25">
      <c r="A987" s="211">
        <f t="shared" si="15"/>
        <v>3101777</v>
      </c>
      <c r="B987" s="213" t="s">
        <v>1601</v>
      </c>
      <c r="C987" s="213" t="s">
        <v>1602</v>
      </c>
    </row>
    <row r="988" spans="1:3" x14ac:dyDescent="0.25">
      <c r="A988" s="211">
        <f t="shared" si="15"/>
        <v>3101888</v>
      </c>
      <c r="B988" s="213" t="s">
        <v>1603</v>
      </c>
      <c r="C988" s="213" t="s">
        <v>1604</v>
      </c>
    </row>
    <row r="989" spans="1:3" x14ac:dyDescent="0.25">
      <c r="A989" s="211">
        <f t="shared" si="15"/>
        <v>3101948</v>
      </c>
      <c r="B989" s="213" t="s">
        <v>1605</v>
      </c>
      <c r="C989" s="213" t="s">
        <v>1606</v>
      </c>
    </row>
    <row r="990" spans="1:3" x14ac:dyDescent="0.25">
      <c r="A990" s="211">
        <f t="shared" si="15"/>
        <v>3101949</v>
      </c>
      <c r="B990" s="213" t="s">
        <v>13300</v>
      </c>
      <c r="C990" s="213" t="s">
        <v>13301</v>
      </c>
    </row>
    <row r="991" spans="1:3" x14ac:dyDescent="0.25">
      <c r="A991" s="211">
        <f t="shared" si="15"/>
        <v>3101998</v>
      </c>
      <c r="B991" s="213" t="s">
        <v>1607</v>
      </c>
      <c r="C991" s="213" t="s">
        <v>1608</v>
      </c>
    </row>
    <row r="992" spans="1:3" x14ac:dyDescent="0.25">
      <c r="A992" s="211">
        <f t="shared" si="15"/>
        <v>3101999</v>
      </c>
      <c r="B992" s="213" t="s">
        <v>1609</v>
      </c>
      <c r="C992" s="213" t="s">
        <v>1610</v>
      </c>
    </row>
    <row r="993" spans="1:3" x14ac:dyDescent="0.25">
      <c r="A993" s="211">
        <f t="shared" si="15"/>
        <v>4</v>
      </c>
      <c r="B993" s="213" t="s">
        <v>1611</v>
      </c>
      <c r="C993" s="213" t="s">
        <v>1612</v>
      </c>
    </row>
    <row r="994" spans="1:3" x14ac:dyDescent="0.25">
      <c r="A994" s="211">
        <f t="shared" si="15"/>
        <v>4027105</v>
      </c>
      <c r="B994" s="213" t="s">
        <v>1613</v>
      </c>
      <c r="C994" s="213" t="s">
        <v>1614</v>
      </c>
    </row>
    <row r="995" spans="1:3" x14ac:dyDescent="0.25">
      <c r="A995" s="211" t="str">
        <f t="shared" si="15"/>
        <v/>
      </c>
      <c r="B995" s="213" t="s">
        <v>13758</v>
      </c>
      <c r="C995" s="212"/>
    </row>
    <row r="996" spans="1:3" x14ac:dyDescent="0.25">
      <c r="A996" s="211">
        <f t="shared" si="15"/>
        <v>4027142</v>
      </c>
      <c r="B996" s="213" t="s">
        <v>1615</v>
      </c>
      <c r="C996" s="213" t="s">
        <v>1616</v>
      </c>
    </row>
    <row r="997" spans="1:3" x14ac:dyDescent="0.25">
      <c r="A997" s="211" t="str">
        <f t="shared" si="15"/>
        <v/>
      </c>
      <c r="B997" s="213" t="s">
        <v>13759</v>
      </c>
      <c r="C997" s="212"/>
    </row>
    <row r="998" spans="1:3" x14ac:dyDescent="0.25">
      <c r="A998" s="211">
        <f t="shared" si="15"/>
        <v>4027710</v>
      </c>
      <c r="B998" s="213" t="s">
        <v>1617</v>
      </c>
      <c r="C998" s="213" t="s">
        <v>1618</v>
      </c>
    </row>
    <row r="999" spans="1:3" x14ac:dyDescent="0.25">
      <c r="A999" s="211" t="str">
        <f t="shared" si="15"/>
        <v/>
      </c>
      <c r="B999" s="213" t="s">
        <v>13760</v>
      </c>
      <c r="C999" s="212"/>
    </row>
    <row r="1000" spans="1:3" x14ac:dyDescent="0.25">
      <c r="A1000" s="211">
        <f t="shared" si="15"/>
        <v>4027813</v>
      </c>
      <c r="B1000" s="213" t="s">
        <v>1619</v>
      </c>
      <c r="C1000" s="213" t="s">
        <v>1620</v>
      </c>
    </row>
    <row r="1001" spans="1:3" x14ac:dyDescent="0.25">
      <c r="A1001" s="211" t="str">
        <f t="shared" si="15"/>
        <v/>
      </c>
      <c r="B1001" s="213" t="s">
        <v>13761</v>
      </c>
      <c r="C1001" s="212"/>
    </row>
    <row r="1002" spans="1:3" x14ac:dyDescent="0.25">
      <c r="A1002" s="211">
        <f t="shared" si="15"/>
        <v>4101002</v>
      </c>
      <c r="B1002" s="213" t="s">
        <v>1621</v>
      </c>
      <c r="C1002" s="213" t="s">
        <v>1622</v>
      </c>
    </row>
    <row r="1003" spans="1:3" x14ac:dyDescent="0.25">
      <c r="A1003" s="211">
        <f t="shared" si="15"/>
        <v>4101003</v>
      </c>
      <c r="B1003" s="213" t="s">
        <v>1623</v>
      </c>
      <c r="C1003" s="213" t="s">
        <v>1624</v>
      </c>
    </row>
    <row r="1004" spans="1:3" x14ac:dyDescent="0.25">
      <c r="A1004" s="211">
        <f t="shared" si="15"/>
        <v>4120000</v>
      </c>
      <c r="B1004" s="213" t="s">
        <v>1625</v>
      </c>
      <c r="C1004" s="213" t="s">
        <v>7499</v>
      </c>
    </row>
    <row r="1005" spans="1:3" x14ac:dyDescent="0.25">
      <c r="A1005" s="211">
        <f t="shared" si="15"/>
        <v>4120001</v>
      </c>
      <c r="B1005" s="213" t="s">
        <v>1626</v>
      </c>
      <c r="C1005" s="213" t="s">
        <v>1627</v>
      </c>
    </row>
    <row r="1006" spans="1:3" x14ac:dyDescent="0.25">
      <c r="A1006" s="211">
        <f t="shared" si="15"/>
        <v>4120003</v>
      </c>
      <c r="B1006" s="213" t="s">
        <v>1628</v>
      </c>
      <c r="C1006" s="213" t="s">
        <v>1629</v>
      </c>
    </row>
    <row r="1007" spans="1:3" x14ac:dyDescent="0.25">
      <c r="A1007" s="211">
        <f t="shared" si="15"/>
        <v>4120004</v>
      </c>
      <c r="B1007" s="213" t="s">
        <v>1630</v>
      </c>
      <c r="C1007" s="213" t="s">
        <v>1631</v>
      </c>
    </row>
    <row r="1008" spans="1:3" x14ac:dyDescent="0.25">
      <c r="A1008" s="211">
        <f t="shared" si="15"/>
        <v>4120005</v>
      </c>
      <c r="B1008" s="213" t="s">
        <v>1632</v>
      </c>
      <c r="C1008" s="213" t="s">
        <v>1633</v>
      </c>
    </row>
    <row r="1009" spans="1:3" x14ac:dyDescent="0.25">
      <c r="A1009" s="211">
        <f t="shared" si="15"/>
        <v>4120006</v>
      </c>
      <c r="B1009" s="213" t="s">
        <v>1634</v>
      </c>
      <c r="C1009" s="213" t="s">
        <v>1635</v>
      </c>
    </row>
    <row r="1010" spans="1:3" x14ac:dyDescent="0.25">
      <c r="A1010" s="211">
        <f t="shared" si="15"/>
        <v>4120007</v>
      </c>
      <c r="B1010" s="213" t="s">
        <v>1636</v>
      </c>
      <c r="C1010" s="213" t="s">
        <v>1637</v>
      </c>
    </row>
    <row r="1011" spans="1:3" x14ac:dyDescent="0.25">
      <c r="A1011" s="211">
        <f t="shared" si="15"/>
        <v>4120008</v>
      </c>
      <c r="B1011" s="213" t="s">
        <v>1638</v>
      </c>
      <c r="C1011" s="213" t="s">
        <v>1639</v>
      </c>
    </row>
    <row r="1012" spans="1:3" x14ac:dyDescent="0.25">
      <c r="A1012" s="211">
        <f t="shared" si="15"/>
        <v>4120009</v>
      </c>
      <c r="B1012" s="213" t="s">
        <v>1640</v>
      </c>
      <c r="C1012" s="213" t="s">
        <v>1641</v>
      </c>
    </row>
    <row r="1013" spans="1:3" x14ac:dyDescent="0.25">
      <c r="A1013" s="211">
        <f t="shared" si="15"/>
        <v>4120010</v>
      </c>
      <c r="B1013" s="213" t="s">
        <v>1642</v>
      </c>
      <c r="C1013" s="213" t="s">
        <v>1643</v>
      </c>
    </row>
    <row r="1014" spans="1:3" x14ac:dyDescent="0.25">
      <c r="A1014" s="211">
        <f t="shared" si="15"/>
        <v>4120011</v>
      </c>
      <c r="B1014" s="213" t="s">
        <v>1644</v>
      </c>
      <c r="C1014" s="213" t="s">
        <v>1645</v>
      </c>
    </row>
    <row r="1015" spans="1:3" x14ac:dyDescent="0.25">
      <c r="A1015" s="211">
        <f t="shared" si="15"/>
        <v>4120012</v>
      </c>
      <c r="B1015" s="213" t="s">
        <v>1646</v>
      </c>
      <c r="C1015" s="213" t="s">
        <v>1647</v>
      </c>
    </row>
    <row r="1016" spans="1:3" x14ac:dyDescent="0.25">
      <c r="A1016" s="211">
        <f t="shared" si="15"/>
        <v>4120013</v>
      </c>
      <c r="B1016" s="213" t="s">
        <v>1648</v>
      </c>
      <c r="C1016" s="213" t="s">
        <v>1649</v>
      </c>
    </row>
    <row r="1017" spans="1:3" x14ac:dyDescent="0.25">
      <c r="A1017" s="211">
        <f t="shared" si="15"/>
        <v>4120015</v>
      </c>
      <c r="B1017" s="213" t="s">
        <v>1650</v>
      </c>
      <c r="C1017" s="213" t="s">
        <v>1651</v>
      </c>
    </row>
    <row r="1018" spans="1:3" x14ac:dyDescent="0.25">
      <c r="A1018" s="211">
        <f t="shared" si="15"/>
        <v>4120016</v>
      </c>
      <c r="B1018" s="213" t="s">
        <v>1652</v>
      </c>
      <c r="C1018" s="213" t="s">
        <v>1653</v>
      </c>
    </row>
    <row r="1019" spans="1:3" x14ac:dyDescent="0.25">
      <c r="A1019" s="211">
        <f t="shared" si="15"/>
        <v>4120018</v>
      </c>
      <c r="B1019" s="213" t="s">
        <v>1654</v>
      </c>
      <c r="C1019" s="213" t="s">
        <v>1655</v>
      </c>
    </row>
    <row r="1020" spans="1:3" x14ac:dyDescent="0.25">
      <c r="A1020" s="211">
        <f t="shared" si="15"/>
        <v>4120020</v>
      </c>
      <c r="B1020" s="213" t="s">
        <v>1656</v>
      </c>
      <c r="C1020" s="213" t="s">
        <v>1657</v>
      </c>
    </row>
    <row r="1021" spans="1:3" x14ac:dyDescent="0.25">
      <c r="A1021" s="211">
        <f t="shared" si="15"/>
        <v>4120021</v>
      </c>
      <c r="B1021" s="213" t="s">
        <v>1658</v>
      </c>
      <c r="C1021" s="213" t="s">
        <v>1659</v>
      </c>
    </row>
    <row r="1022" spans="1:3" x14ac:dyDescent="0.25">
      <c r="A1022" s="211">
        <f t="shared" si="15"/>
        <v>4120022</v>
      </c>
      <c r="B1022" s="213" t="s">
        <v>1660</v>
      </c>
      <c r="C1022" s="213" t="s">
        <v>1661</v>
      </c>
    </row>
    <row r="1023" spans="1:3" x14ac:dyDescent="0.25">
      <c r="A1023" s="211">
        <f t="shared" si="15"/>
        <v>4120023</v>
      </c>
      <c r="B1023" s="213" t="s">
        <v>1662</v>
      </c>
      <c r="C1023" s="213" t="s">
        <v>1663</v>
      </c>
    </row>
    <row r="1024" spans="1:3" x14ac:dyDescent="0.25">
      <c r="A1024" s="211">
        <f t="shared" si="15"/>
        <v>4120024</v>
      </c>
      <c r="B1024" s="213" t="s">
        <v>1664</v>
      </c>
      <c r="C1024" s="213" t="s">
        <v>1665</v>
      </c>
    </row>
    <row r="1025" spans="1:3" x14ac:dyDescent="0.25">
      <c r="A1025" s="211">
        <f t="shared" si="15"/>
        <v>4120025</v>
      </c>
      <c r="B1025" s="213" t="s">
        <v>1666</v>
      </c>
      <c r="C1025" s="213" t="s">
        <v>1667</v>
      </c>
    </row>
    <row r="1026" spans="1:3" x14ac:dyDescent="0.25">
      <c r="A1026" s="211">
        <f t="shared" ref="A1026:A1089" si="16">IFERROR(B1026*1,"")</f>
        <v>4120026</v>
      </c>
      <c r="B1026" s="213" t="s">
        <v>1668</v>
      </c>
      <c r="C1026" s="213" t="s">
        <v>1669</v>
      </c>
    </row>
    <row r="1027" spans="1:3" x14ac:dyDescent="0.25">
      <c r="A1027" s="211">
        <f t="shared" si="16"/>
        <v>4120027</v>
      </c>
      <c r="B1027" s="213" t="s">
        <v>1670</v>
      </c>
      <c r="C1027" s="213" t="s">
        <v>1671</v>
      </c>
    </row>
    <row r="1028" spans="1:3" x14ac:dyDescent="0.25">
      <c r="A1028" s="211">
        <f t="shared" si="16"/>
        <v>4120028</v>
      </c>
      <c r="B1028" s="213" t="s">
        <v>1672</v>
      </c>
      <c r="C1028" s="213" t="s">
        <v>1673</v>
      </c>
    </row>
    <row r="1029" spans="1:3" x14ac:dyDescent="0.25">
      <c r="A1029" s="211">
        <f t="shared" si="16"/>
        <v>4120029</v>
      </c>
      <c r="B1029" s="213" t="s">
        <v>1674</v>
      </c>
      <c r="C1029" s="213" t="s">
        <v>1675</v>
      </c>
    </row>
    <row r="1030" spans="1:3" x14ac:dyDescent="0.25">
      <c r="A1030" s="211">
        <f t="shared" si="16"/>
        <v>4120030</v>
      </c>
      <c r="B1030" s="213" t="s">
        <v>1676</v>
      </c>
      <c r="C1030" s="213" t="s">
        <v>1677</v>
      </c>
    </row>
    <row r="1031" spans="1:3" x14ac:dyDescent="0.25">
      <c r="A1031" s="211">
        <f t="shared" si="16"/>
        <v>4120031</v>
      </c>
      <c r="B1031" s="213" t="s">
        <v>1678</v>
      </c>
      <c r="C1031" s="213" t="s">
        <v>1677</v>
      </c>
    </row>
    <row r="1032" spans="1:3" x14ac:dyDescent="0.25">
      <c r="A1032" s="211">
        <f t="shared" si="16"/>
        <v>4120032</v>
      </c>
      <c r="B1032" s="213" t="s">
        <v>1679</v>
      </c>
      <c r="C1032" s="213" t="s">
        <v>1677</v>
      </c>
    </row>
    <row r="1033" spans="1:3" x14ac:dyDescent="0.25">
      <c r="A1033" s="211">
        <f t="shared" si="16"/>
        <v>4120033</v>
      </c>
      <c r="B1033" s="213" t="s">
        <v>1680</v>
      </c>
      <c r="C1033" s="213" t="s">
        <v>1677</v>
      </c>
    </row>
    <row r="1034" spans="1:3" x14ac:dyDescent="0.25">
      <c r="A1034" s="211">
        <f t="shared" si="16"/>
        <v>4120035</v>
      </c>
      <c r="B1034" s="213" t="s">
        <v>1681</v>
      </c>
      <c r="C1034" s="213" t="s">
        <v>1682</v>
      </c>
    </row>
    <row r="1035" spans="1:3" x14ac:dyDescent="0.25">
      <c r="A1035" s="211">
        <f t="shared" si="16"/>
        <v>4120036</v>
      </c>
      <c r="B1035" s="213" t="s">
        <v>1683</v>
      </c>
      <c r="C1035" s="213" t="s">
        <v>1684</v>
      </c>
    </row>
    <row r="1036" spans="1:3" x14ac:dyDescent="0.25">
      <c r="A1036" s="211">
        <f t="shared" si="16"/>
        <v>4120037</v>
      </c>
      <c r="B1036" s="213" t="s">
        <v>1685</v>
      </c>
      <c r="C1036" s="213" t="s">
        <v>1686</v>
      </c>
    </row>
    <row r="1037" spans="1:3" x14ac:dyDescent="0.25">
      <c r="A1037" s="211">
        <f t="shared" si="16"/>
        <v>4120038</v>
      </c>
      <c r="B1037" s="213" t="s">
        <v>1687</v>
      </c>
      <c r="C1037" s="213" t="s">
        <v>1688</v>
      </c>
    </row>
    <row r="1038" spans="1:3" x14ac:dyDescent="0.25">
      <c r="A1038" s="211">
        <f t="shared" si="16"/>
        <v>4120039</v>
      </c>
      <c r="B1038" s="213" t="s">
        <v>1689</v>
      </c>
      <c r="C1038" s="213" t="s">
        <v>1690</v>
      </c>
    </row>
    <row r="1039" spans="1:3" x14ac:dyDescent="0.25">
      <c r="A1039" s="211">
        <f t="shared" si="16"/>
        <v>4120040</v>
      </c>
      <c r="B1039" s="213" t="s">
        <v>1691</v>
      </c>
      <c r="C1039" s="213" t="s">
        <v>1692</v>
      </c>
    </row>
    <row r="1040" spans="1:3" x14ac:dyDescent="0.25">
      <c r="A1040" s="211">
        <f t="shared" si="16"/>
        <v>4120041</v>
      </c>
      <c r="B1040" s="213" t="s">
        <v>1693</v>
      </c>
      <c r="C1040" s="213" t="s">
        <v>1694</v>
      </c>
    </row>
    <row r="1041" spans="1:3" x14ac:dyDescent="0.25">
      <c r="A1041" s="211">
        <f t="shared" si="16"/>
        <v>4120042</v>
      </c>
      <c r="B1041" s="213" t="s">
        <v>1695</v>
      </c>
      <c r="C1041" s="213" t="s">
        <v>1696</v>
      </c>
    </row>
    <row r="1042" spans="1:3" x14ac:dyDescent="0.25">
      <c r="A1042" s="211">
        <f t="shared" si="16"/>
        <v>4120043</v>
      </c>
      <c r="B1042" s="213" t="s">
        <v>1697</v>
      </c>
      <c r="C1042" s="213" t="s">
        <v>1698</v>
      </c>
    </row>
    <row r="1043" spans="1:3" x14ac:dyDescent="0.25">
      <c r="A1043" s="211">
        <f t="shared" si="16"/>
        <v>4120044</v>
      </c>
      <c r="B1043" s="213" t="s">
        <v>1699</v>
      </c>
      <c r="C1043" s="213" t="s">
        <v>1700</v>
      </c>
    </row>
    <row r="1044" spans="1:3" x14ac:dyDescent="0.25">
      <c r="A1044" s="211">
        <f t="shared" si="16"/>
        <v>4120045</v>
      </c>
      <c r="B1044" s="213" t="s">
        <v>1701</v>
      </c>
      <c r="C1044" s="213" t="s">
        <v>1702</v>
      </c>
    </row>
    <row r="1045" spans="1:3" x14ac:dyDescent="0.25">
      <c r="A1045" s="211">
        <f t="shared" si="16"/>
        <v>4120046</v>
      </c>
      <c r="B1045" s="213" t="s">
        <v>1703</v>
      </c>
      <c r="C1045" s="213" t="s">
        <v>1704</v>
      </c>
    </row>
    <row r="1046" spans="1:3" x14ac:dyDescent="0.25">
      <c r="A1046" s="211">
        <f t="shared" si="16"/>
        <v>4120047</v>
      </c>
      <c r="B1046" s="213" t="s">
        <v>1705</v>
      </c>
      <c r="C1046" s="213" t="s">
        <v>1706</v>
      </c>
    </row>
    <row r="1047" spans="1:3" x14ac:dyDescent="0.25">
      <c r="A1047" s="211" t="str">
        <f t="shared" si="16"/>
        <v/>
      </c>
      <c r="B1047" s="213" t="s">
        <v>13762</v>
      </c>
      <c r="C1047" s="212"/>
    </row>
    <row r="1048" spans="1:3" x14ac:dyDescent="0.25">
      <c r="A1048" s="211">
        <f t="shared" si="16"/>
        <v>4120048</v>
      </c>
      <c r="B1048" s="213" t="s">
        <v>1707</v>
      </c>
      <c r="C1048" s="213" t="s">
        <v>1708</v>
      </c>
    </row>
    <row r="1049" spans="1:3" x14ac:dyDescent="0.25">
      <c r="A1049" s="211">
        <f t="shared" si="16"/>
        <v>4120050</v>
      </c>
      <c r="B1049" s="213" t="s">
        <v>1709</v>
      </c>
      <c r="C1049" s="213" t="s">
        <v>1710</v>
      </c>
    </row>
    <row r="1050" spans="1:3" x14ac:dyDescent="0.25">
      <c r="A1050" s="211">
        <f t="shared" si="16"/>
        <v>4120051</v>
      </c>
      <c r="B1050" s="213" t="s">
        <v>1711</v>
      </c>
      <c r="C1050" s="213" t="s">
        <v>1712</v>
      </c>
    </row>
    <row r="1051" spans="1:3" x14ac:dyDescent="0.25">
      <c r="A1051" s="211">
        <f t="shared" si="16"/>
        <v>4120052</v>
      </c>
      <c r="B1051" s="213" t="s">
        <v>1713</v>
      </c>
      <c r="C1051" s="213" t="s">
        <v>1714</v>
      </c>
    </row>
    <row r="1052" spans="1:3" x14ac:dyDescent="0.25">
      <c r="A1052" s="211">
        <f t="shared" si="16"/>
        <v>4120055</v>
      </c>
      <c r="B1052" s="213" t="s">
        <v>1715</v>
      </c>
      <c r="C1052" s="213" t="s">
        <v>1716</v>
      </c>
    </row>
    <row r="1053" spans="1:3" x14ac:dyDescent="0.25">
      <c r="A1053" s="211">
        <f t="shared" si="16"/>
        <v>4120056</v>
      </c>
      <c r="B1053" s="213" t="s">
        <v>1717</v>
      </c>
      <c r="C1053" s="213" t="s">
        <v>1718</v>
      </c>
    </row>
    <row r="1054" spans="1:3" x14ac:dyDescent="0.25">
      <c r="A1054" s="211">
        <f t="shared" si="16"/>
        <v>4120057</v>
      </c>
      <c r="B1054" s="213" t="s">
        <v>1719</v>
      </c>
      <c r="C1054" s="213" t="s">
        <v>1720</v>
      </c>
    </row>
    <row r="1055" spans="1:3" x14ac:dyDescent="0.25">
      <c r="A1055" s="211">
        <f t="shared" si="16"/>
        <v>4120058</v>
      </c>
      <c r="B1055" s="213" t="s">
        <v>1721</v>
      </c>
      <c r="C1055" s="213" t="s">
        <v>1722</v>
      </c>
    </row>
    <row r="1056" spans="1:3" x14ac:dyDescent="0.25">
      <c r="A1056" s="211">
        <f t="shared" si="16"/>
        <v>4120059</v>
      </c>
      <c r="B1056" s="213" t="s">
        <v>1723</v>
      </c>
      <c r="C1056" s="213" t="s">
        <v>1724</v>
      </c>
    </row>
    <row r="1057" spans="1:3" x14ac:dyDescent="0.25">
      <c r="A1057" s="211">
        <f t="shared" si="16"/>
        <v>4120060</v>
      </c>
      <c r="B1057" s="213" t="s">
        <v>1725</v>
      </c>
      <c r="C1057" s="213" t="s">
        <v>1726</v>
      </c>
    </row>
    <row r="1058" spans="1:3" x14ac:dyDescent="0.25">
      <c r="A1058" s="211">
        <f t="shared" si="16"/>
        <v>4120061</v>
      </c>
      <c r="B1058" s="213" t="s">
        <v>1727</v>
      </c>
      <c r="C1058" s="213" t="s">
        <v>1728</v>
      </c>
    </row>
    <row r="1059" spans="1:3" x14ac:dyDescent="0.25">
      <c r="A1059" s="211">
        <f t="shared" si="16"/>
        <v>4120062</v>
      </c>
      <c r="B1059" s="213" t="s">
        <v>1729</v>
      </c>
      <c r="C1059" s="213" t="s">
        <v>1730</v>
      </c>
    </row>
    <row r="1060" spans="1:3" x14ac:dyDescent="0.25">
      <c r="A1060" s="211">
        <f t="shared" si="16"/>
        <v>4120063</v>
      </c>
      <c r="B1060" s="213" t="s">
        <v>1731</v>
      </c>
      <c r="C1060" s="213" t="s">
        <v>1732</v>
      </c>
    </row>
    <row r="1061" spans="1:3" x14ac:dyDescent="0.25">
      <c r="A1061" s="211">
        <f t="shared" si="16"/>
        <v>4120064</v>
      </c>
      <c r="B1061" s="213" t="s">
        <v>1733</v>
      </c>
      <c r="C1061" s="213" t="s">
        <v>1734</v>
      </c>
    </row>
    <row r="1062" spans="1:3" x14ac:dyDescent="0.25">
      <c r="A1062" s="211">
        <f t="shared" si="16"/>
        <v>4120065</v>
      </c>
      <c r="B1062" s="213" t="s">
        <v>1735</v>
      </c>
      <c r="C1062" s="213" t="s">
        <v>1736</v>
      </c>
    </row>
    <row r="1063" spans="1:3" x14ac:dyDescent="0.25">
      <c r="A1063" s="211">
        <f t="shared" si="16"/>
        <v>4120066</v>
      </c>
      <c r="B1063" s="213" t="s">
        <v>1737</v>
      </c>
      <c r="C1063" s="213" t="s">
        <v>1738</v>
      </c>
    </row>
    <row r="1064" spans="1:3" x14ac:dyDescent="0.25">
      <c r="A1064" s="211">
        <f t="shared" si="16"/>
        <v>4120067</v>
      </c>
      <c r="B1064" s="213" t="s">
        <v>1739</v>
      </c>
      <c r="C1064" s="213" t="s">
        <v>1740</v>
      </c>
    </row>
    <row r="1065" spans="1:3" x14ac:dyDescent="0.25">
      <c r="A1065" s="211">
        <f t="shared" si="16"/>
        <v>4120068</v>
      </c>
      <c r="B1065" s="213" t="s">
        <v>1741</v>
      </c>
      <c r="C1065" s="213" t="s">
        <v>1742</v>
      </c>
    </row>
    <row r="1066" spans="1:3" x14ac:dyDescent="0.25">
      <c r="A1066" s="211">
        <f t="shared" si="16"/>
        <v>4120069</v>
      </c>
      <c r="B1066" s="213" t="s">
        <v>1743</v>
      </c>
      <c r="C1066" s="213" t="s">
        <v>1744</v>
      </c>
    </row>
    <row r="1067" spans="1:3" x14ac:dyDescent="0.25">
      <c r="A1067" s="211">
        <f t="shared" si="16"/>
        <v>4120070</v>
      </c>
      <c r="B1067" s="213" t="s">
        <v>1745</v>
      </c>
      <c r="C1067" s="213" t="s">
        <v>1746</v>
      </c>
    </row>
    <row r="1068" spans="1:3" x14ac:dyDescent="0.25">
      <c r="A1068" s="211">
        <f t="shared" si="16"/>
        <v>4120071</v>
      </c>
      <c r="B1068" s="213" t="s">
        <v>1747</v>
      </c>
      <c r="C1068" s="213" t="s">
        <v>1748</v>
      </c>
    </row>
    <row r="1069" spans="1:3" x14ac:dyDescent="0.25">
      <c r="A1069" s="211">
        <f t="shared" si="16"/>
        <v>4120072</v>
      </c>
      <c r="B1069" s="213" t="s">
        <v>1749</v>
      </c>
      <c r="C1069" s="213" t="s">
        <v>1750</v>
      </c>
    </row>
    <row r="1070" spans="1:3" x14ac:dyDescent="0.25">
      <c r="A1070" s="211">
        <f t="shared" si="16"/>
        <v>4120073</v>
      </c>
      <c r="B1070" s="213" t="s">
        <v>1751</v>
      </c>
      <c r="C1070" s="213" t="s">
        <v>1752</v>
      </c>
    </row>
    <row r="1071" spans="1:3" x14ac:dyDescent="0.25">
      <c r="A1071" s="211">
        <f t="shared" si="16"/>
        <v>4120074</v>
      </c>
      <c r="B1071" s="213" t="s">
        <v>1753</v>
      </c>
      <c r="C1071" s="213" t="s">
        <v>1754</v>
      </c>
    </row>
    <row r="1072" spans="1:3" x14ac:dyDescent="0.25">
      <c r="A1072" s="211">
        <f t="shared" si="16"/>
        <v>4120075</v>
      </c>
      <c r="B1072" s="213" t="s">
        <v>1755</v>
      </c>
      <c r="C1072" s="213" t="s">
        <v>1756</v>
      </c>
    </row>
    <row r="1073" spans="1:3" x14ac:dyDescent="0.25">
      <c r="A1073" s="211">
        <f t="shared" si="16"/>
        <v>4120076</v>
      </c>
      <c r="B1073" s="213" t="s">
        <v>1757</v>
      </c>
      <c r="C1073" s="213" t="s">
        <v>1758</v>
      </c>
    </row>
    <row r="1074" spans="1:3" x14ac:dyDescent="0.25">
      <c r="A1074" s="211">
        <f t="shared" si="16"/>
        <v>4120077</v>
      </c>
      <c r="B1074" s="213" t="s">
        <v>1759</v>
      </c>
      <c r="C1074" s="213" t="s">
        <v>1760</v>
      </c>
    </row>
    <row r="1075" spans="1:3" x14ac:dyDescent="0.25">
      <c r="A1075" s="211">
        <f t="shared" si="16"/>
        <v>4120078</v>
      </c>
      <c r="B1075" s="213" t="s">
        <v>1761</v>
      </c>
      <c r="C1075" s="213" t="s">
        <v>1762</v>
      </c>
    </row>
    <row r="1076" spans="1:3" x14ac:dyDescent="0.25">
      <c r="A1076" s="211">
        <f t="shared" si="16"/>
        <v>4120079</v>
      </c>
      <c r="B1076" s="213" t="s">
        <v>1763</v>
      </c>
      <c r="C1076" s="213" t="s">
        <v>1764</v>
      </c>
    </row>
    <row r="1077" spans="1:3" x14ac:dyDescent="0.25">
      <c r="A1077" s="211">
        <f t="shared" si="16"/>
        <v>4120080</v>
      </c>
      <c r="B1077" s="213" t="s">
        <v>1765</v>
      </c>
      <c r="C1077" s="213" t="s">
        <v>1766</v>
      </c>
    </row>
    <row r="1078" spans="1:3" x14ac:dyDescent="0.25">
      <c r="A1078" s="211">
        <f t="shared" si="16"/>
        <v>4120081</v>
      </c>
      <c r="B1078" s="213" t="s">
        <v>1767</v>
      </c>
      <c r="C1078" s="213" t="s">
        <v>1768</v>
      </c>
    </row>
    <row r="1079" spans="1:3" x14ac:dyDescent="0.25">
      <c r="A1079" s="211">
        <f t="shared" si="16"/>
        <v>4120082</v>
      </c>
      <c r="B1079" s="213" t="s">
        <v>1769</v>
      </c>
      <c r="C1079" s="213" t="s">
        <v>1770</v>
      </c>
    </row>
    <row r="1080" spans="1:3" x14ac:dyDescent="0.25">
      <c r="A1080" s="211">
        <f t="shared" si="16"/>
        <v>4120083</v>
      </c>
      <c r="B1080" s="213" t="s">
        <v>1771</v>
      </c>
      <c r="C1080" s="213" t="s">
        <v>1772</v>
      </c>
    </row>
    <row r="1081" spans="1:3" x14ac:dyDescent="0.25">
      <c r="A1081" s="211">
        <f t="shared" si="16"/>
        <v>4120084</v>
      </c>
      <c r="B1081" s="213" t="s">
        <v>1773</v>
      </c>
      <c r="C1081" s="213" t="s">
        <v>1774</v>
      </c>
    </row>
    <row r="1082" spans="1:3" x14ac:dyDescent="0.25">
      <c r="A1082" s="211">
        <f t="shared" si="16"/>
        <v>4120085</v>
      </c>
      <c r="B1082" s="213" t="s">
        <v>1775</v>
      </c>
      <c r="C1082" s="213" t="s">
        <v>1776</v>
      </c>
    </row>
    <row r="1083" spans="1:3" x14ac:dyDescent="0.25">
      <c r="A1083" s="211">
        <f t="shared" si="16"/>
        <v>4120086</v>
      </c>
      <c r="B1083" s="213" t="s">
        <v>1777</v>
      </c>
      <c r="C1083" s="213" t="s">
        <v>1778</v>
      </c>
    </row>
    <row r="1084" spans="1:3" x14ac:dyDescent="0.25">
      <c r="A1084" s="211">
        <f t="shared" si="16"/>
        <v>4120087</v>
      </c>
      <c r="B1084" s="213" t="s">
        <v>1779</v>
      </c>
      <c r="C1084" s="213" t="s">
        <v>1780</v>
      </c>
    </row>
    <row r="1085" spans="1:3" x14ac:dyDescent="0.25">
      <c r="A1085" s="211">
        <f t="shared" si="16"/>
        <v>4120088</v>
      </c>
      <c r="B1085" s="213" t="s">
        <v>1781</v>
      </c>
      <c r="C1085" s="213" t="s">
        <v>1782</v>
      </c>
    </row>
    <row r="1086" spans="1:3" x14ac:dyDescent="0.25">
      <c r="A1086" s="211">
        <f t="shared" si="16"/>
        <v>4120089</v>
      </c>
      <c r="B1086" s="213" t="s">
        <v>1783</v>
      </c>
      <c r="C1086" s="213" t="s">
        <v>1784</v>
      </c>
    </row>
    <row r="1087" spans="1:3" x14ac:dyDescent="0.25">
      <c r="A1087" s="211">
        <f t="shared" si="16"/>
        <v>4120100</v>
      </c>
      <c r="B1087" s="213" t="s">
        <v>1785</v>
      </c>
      <c r="C1087" s="213" t="s">
        <v>1786</v>
      </c>
    </row>
    <row r="1088" spans="1:3" x14ac:dyDescent="0.25">
      <c r="A1088" s="211">
        <f t="shared" si="16"/>
        <v>4120101</v>
      </c>
      <c r="B1088" s="213" t="s">
        <v>1787</v>
      </c>
      <c r="C1088" s="213" t="s">
        <v>1788</v>
      </c>
    </row>
    <row r="1089" spans="1:3" x14ac:dyDescent="0.25">
      <c r="A1089" s="211">
        <f t="shared" si="16"/>
        <v>4120103</v>
      </c>
      <c r="B1089" s="213" t="s">
        <v>1789</v>
      </c>
      <c r="C1089" s="213" t="s">
        <v>1790</v>
      </c>
    </row>
    <row r="1090" spans="1:3" x14ac:dyDescent="0.25">
      <c r="A1090" s="211">
        <f t="shared" ref="A1090:A1153" si="17">IFERROR(B1090*1,"")</f>
        <v>4120104</v>
      </c>
      <c r="B1090" s="213" t="s">
        <v>1791</v>
      </c>
      <c r="C1090" s="213" t="s">
        <v>1792</v>
      </c>
    </row>
    <row r="1091" spans="1:3" x14ac:dyDescent="0.25">
      <c r="A1091" s="211">
        <f t="shared" si="17"/>
        <v>4120105</v>
      </c>
      <c r="B1091" s="213" t="s">
        <v>1793</v>
      </c>
      <c r="C1091" s="213" t="s">
        <v>1794</v>
      </c>
    </row>
    <row r="1092" spans="1:3" x14ac:dyDescent="0.25">
      <c r="A1092" s="211">
        <f t="shared" si="17"/>
        <v>4120106</v>
      </c>
      <c r="B1092" s="213" t="s">
        <v>1795</v>
      </c>
      <c r="C1092" s="213" t="s">
        <v>1796</v>
      </c>
    </row>
    <row r="1093" spans="1:3" x14ac:dyDescent="0.25">
      <c r="A1093" s="211">
        <f t="shared" si="17"/>
        <v>4120107</v>
      </c>
      <c r="B1093" s="213" t="s">
        <v>1797</v>
      </c>
      <c r="C1093" s="213" t="s">
        <v>1798</v>
      </c>
    </row>
    <row r="1094" spans="1:3" x14ac:dyDescent="0.25">
      <c r="A1094" s="211">
        <f t="shared" si="17"/>
        <v>4120108</v>
      </c>
      <c r="B1094" s="213" t="s">
        <v>1799</v>
      </c>
      <c r="C1094" s="213" t="s">
        <v>1800</v>
      </c>
    </row>
    <row r="1095" spans="1:3" x14ac:dyDescent="0.25">
      <c r="A1095" s="211">
        <f t="shared" si="17"/>
        <v>4120109</v>
      </c>
      <c r="B1095" s="213" t="s">
        <v>1801</v>
      </c>
      <c r="C1095" s="213" t="s">
        <v>1802</v>
      </c>
    </row>
    <row r="1096" spans="1:3" x14ac:dyDescent="0.25">
      <c r="A1096" s="211">
        <f t="shared" si="17"/>
        <v>4120110</v>
      </c>
      <c r="B1096" s="213" t="s">
        <v>1803</v>
      </c>
      <c r="C1096" s="213" t="s">
        <v>1804</v>
      </c>
    </row>
    <row r="1097" spans="1:3" x14ac:dyDescent="0.25">
      <c r="A1097" s="211">
        <f t="shared" si="17"/>
        <v>4120111</v>
      </c>
      <c r="B1097" s="213" t="s">
        <v>1805</v>
      </c>
      <c r="C1097" s="213" t="s">
        <v>1806</v>
      </c>
    </row>
    <row r="1098" spans="1:3" x14ac:dyDescent="0.25">
      <c r="A1098" s="211">
        <f t="shared" si="17"/>
        <v>4120112</v>
      </c>
      <c r="B1098" s="213" t="s">
        <v>1807</v>
      </c>
      <c r="C1098" s="213" t="s">
        <v>1800</v>
      </c>
    </row>
    <row r="1099" spans="1:3" x14ac:dyDescent="0.25">
      <c r="A1099" s="211">
        <f t="shared" si="17"/>
        <v>4120113</v>
      </c>
      <c r="B1099" s="213" t="s">
        <v>1808</v>
      </c>
      <c r="C1099" s="213" t="s">
        <v>1800</v>
      </c>
    </row>
    <row r="1100" spans="1:3" x14ac:dyDescent="0.25">
      <c r="A1100" s="211">
        <f t="shared" si="17"/>
        <v>4120115</v>
      </c>
      <c r="B1100" s="213" t="s">
        <v>1809</v>
      </c>
      <c r="C1100" s="213" t="s">
        <v>1810</v>
      </c>
    </row>
    <row r="1101" spans="1:3" x14ac:dyDescent="0.25">
      <c r="A1101" s="211">
        <f t="shared" si="17"/>
        <v>4120116</v>
      </c>
      <c r="B1101" s="213" t="s">
        <v>1811</v>
      </c>
      <c r="C1101" s="213" t="s">
        <v>1812</v>
      </c>
    </row>
    <row r="1102" spans="1:3" x14ac:dyDescent="0.25">
      <c r="A1102" s="211">
        <f t="shared" si="17"/>
        <v>4120120</v>
      </c>
      <c r="B1102" s="213" t="s">
        <v>1813</v>
      </c>
      <c r="C1102" s="213" t="s">
        <v>1814</v>
      </c>
    </row>
    <row r="1103" spans="1:3" x14ac:dyDescent="0.25">
      <c r="A1103" s="211">
        <f t="shared" si="17"/>
        <v>4120121</v>
      </c>
      <c r="B1103" s="213" t="s">
        <v>1815</v>
      </c>
      <c r="C1103" s="213" t="s">
        <v>1816</v>
      </c>
    </row>
    <row r="1104" spans="1:3" x14ac:dyDescent="0.25">
      <c r="A1104" s="211">
        <f t="shared" si="17"/>
        <v>4120123</v>
      </c>
      <c r="B1104" s="213" t="s">
        <v>1817</v>
      </c>
      <c r="C1104" s="213" t="s">
        <v>1818</v>
      </c>
    </row>
    <row r="1105" spans="1:3" x14ac:dyDescent="0.25">
      <c r="A1105" s="211">
        <f t="shared" si="17"/>
        <v>4120124</v>
      </c>
      <c r="B1105" s="213" t="s">
        <v>1819</v>
      </c>
      <c r="C1105" s="213" t="s">
        <v>1820</v>
      </c>
    </row>
    <row r="1106" spans="1:3" x14ac:dyDescent="0.25">
      <c r="A1106" s="211">
        <f t="shared" si="17"/>
        <v>4120130</v>
      </c>
      <c r="B1106" s="213" t="s">
        <v>1821</v>
      </c>
      <c r="C1106" s="213" t="s">
        <v>1822</v>
      </c>
    </row>
    <row r="1107" spans="1:3" x14ac:dyDescent="0.25">
      <c r="A1107" s="211">
        <f t="shared" si="17"/>
        <v>4120131</v>
      </c>
      <c r="B1107" s="213" t="s">
        <v>1823</v>
      </c>
      <c r="C1107" s="213" t="s">
        <v>1824</v>
      </c>
    </row>
    <row r="1108" spans="1:3" x14ac:dyDescent="0.25">
      <c r="A1108" s="211">
        <f t="shared" si="17"/>
        <v>4120138</v>
      </c>
      <c r="B1108" s="213" t="s">
        <v>1825</v>
      </c>
      <c r="C1108" s="213" t="s">
        <v>1826</v>
      </c>
    </row>
    <row r="1109" spans="1:3" x14ac:dyDescent="0.25">
      <c r="A1109" s="211">
        <f t="shared" si="17"/>
        <v>4120139</v>
      </c>
      <c r="B1109" s="213" t="s">
        <v>1827</v>
      </c>
      <c r="C1109" s="213" t="s">
        <v>1828</v>
      </c>
    </row>
    <row r="1110" spans="1:3" x14ac:dyDescent="0.25">
      <c r="A1110" s="211">
        <f t="shared" si="17"/>
        <v>4120140</v>
      </c>
      <c r="B1110" s="213" t="s">
        <v>14035</v>
      </c>
      <c r="C1110" s="213" t="s">
        <v>14036</v>
      </c>
    </row>
    <row r="1111" spans="1:3" x14ac:dyDescent="0.25">
      <c r="A1111" s="211">
        <f t="shared" si="17"/>
        <v>4120150</v>
      </c>
      <c r="B1111" s="213" t="s">
        <v>1829</v>
      </c>
      <c r="C1111" s="213" t="s">
        <v>1830</v>
      </c>
    </row>
    <row r="1112" spans="1:3" x14ac:dyDescent="0.25">
      <c r="A1112" s="211">
        <f t="shared" si="17"/>
        <v>4120151</v>
      </c>
      <c r="B1112" s="213" t="s">
        <v>1831</v>
      </c>
      <c r="C1112" s="213" t="s">
        <v>1832</v>
      </c>
    </row>
    <row r="1113" spans="1:3" x14ac:dyDescent="0.25">
      <c r="A1113" s="211">
        <f t="shared" si="17"/>
        <v>4120159</v>
      </c>
      <c r="B1113" s="213" t="s">
        <v>1833</v>
      </c>
      <c r="C1113" s="213" t="s">
        <v>1834</v>
      </c>
    </row>
    <row r="1114" spans="1:3" x14ac:dyDescent="0.25">
      <c r="A1114" s="211">
        <f t="shared" si="17"/>
        <v>4120160</v>
      </c>
      <c r="B1114" s="213" t="s">
        <v>1835</v>
      </c>
      <c r="C1114" s="213" t="s">
        <v>1836</v>
      </c>
    </row>
    <row r="1115" spans="1:3" x14ac:dyDescent="0.25">
      <c r="A1115" s="211">
        <f t="shared" si="17"/>
        <v>4120161</v>
      </c>
      <c r="B1115" s="213" t="s">
        <v>1837</v>
      </c>
      <c r="C1115" s="213" t="s">
        <v>1838</v>
      </c>
    </row>
    <row r="1116" spans="1:3" x14ac:dyDescent="0.25">
      <c r="A1116" s="211" t="str">
        <f t="shared" si="17"/>
        <v/>
      </c>
      <c r="B1116" s="213" t="s">
        <v>1839</v>
      </c>
      <c r="C1116" s="213" t="s">
        <v>1840</v>
      </c>
    </row>
    <row r="1117" spans="1:3" x14ac:dyDescent="0.25">
      <c r="A1117" s="211">
        <f t="shared" si="17"/>
        <v>4120162</v>
      </c>
      <c r="B1117" s="213" t="s">
        <v>1841</v>
      </c>
      <c r="C1117" s="213" t="s">
        <v>1842</v>
      </c>
    </row>
    <row r="1118" spans="1:3" x14ac:dyDescent="0.25">
      <c r="A1118" s="211">
        <f t="shared" si="17"/>
        <v>4120170</v>
      </c>
      <c r="B1118" s="213" t="s">
        <v>7500</v>
      </c>
      <c r="C1118" s="213" t="s">
        <v>7501</v>
      </c>
    </row>
    <row r="1119" spans="1:3" x14ac:dyDescent="0.25">
      <c r="A1119" s="211">
        <f t="shared" si="17"/>
        <v>4120171</v>
      </c>
      <c r="B1119" s="213" t="s">
        <v>7502</v>
      </c>
      <c r="C1119" s="213" t="s">
        <v>7503</v>
      </c>
    </row>
    <row r="1120" spans="1:3" x14ac:dyDescent="0.25">
      <c r="A1120" s="211">
        <f t="shared" si="17"/>
        <v>4120172</v>
      </c>
      <c r="B1120" s="213" t="s">
        <v>7504</v>
      </c>
      <c r="C1120" s="213" t="s">
        <v>7505</v>
      </c>
    </row>
    <row r="1121" spans="1:3" x14ac:dyDescent="0.25">
      <c r="A1121" s="211">
        <f t="shared" si="17"/>
        <v>4120200</v>
      </c>
      <c r="B1121" s="213" t="s">
        <v>1843</v>
      </c>
      <c r="C1121" s="213" t="s">
        <v>1844</v>
      </c>
    </row>
    <row r="1122" spans="1:3" x14ac:dyDescent="0.25">
      <c r="A1122" s="211">
        <f t="shared" si="17"/>
        <v>4120201</v>
      </c>
      <c r="B1122" s="213" t="s">
        <v>1845</v>
      </c>
      <c r="C1122" s="213" t="s">
        <v>1846</v>
      </c>
    </row>
    <row r="1123" spans="1:3" x14ac:dyDescent="0.25">
      <c r="A1123" s="211">
        <f t="shared" si="17"/>
        <v>4120202</v>
      </c>
      <c r="B1123" s="213" t="s">
        <v>1847</v>
      </c>
      <c r="C1123" s="213" t="s">
        <v>1848</v>
      </c>
    </row>
    <row r="1124" spans="1:3" x14ac:dyDescent="0.25">
      <c r="A1124" s="211">
        <f t="shared" si="17"/>
        <v>4120210</v>
      </c>
      <c r="B1124" s="213" t="s">
        <v>14037</v>
      </c>
      <c r="C1124" s="213" t="s">
        <v>14038</v>
      </c>
    </row>
    <row r="1125" spans="1:3" x14ac:dyDescent="0.25">
      <c r="A1125" s="211">
        <f t="shared" si="17"/>
        <v>4120220</v>
      </c>
      <c r="B1125" s="213" t="s">
        <v>1849</v>
      </c>
      <c r="C1125" s="213" t="s">
        <v>1850</v>
      </c>
    </row>
    <row r="1126" spans="1:3" x14ac:dyDescent="0.25">
      <c r="A1126" s="211">
        <f t="shared" si="17"/>
        <v>4120221</v>
      </c>
      <c r="B1126" s="213" t="s">
        <v>1851</v>
      </c>
      <c r="C1126" s="213" t="s">
        <v>1852</v>
      </c>
    </row>
    <row r="1127" spans="1:3" x14ac:dyDescent="0.25">
      <c r="A1127" s="211">
        <f t="shared" si="17"/>
        <v>4120222</v>
      </c>
      <c r="B1127" s="213" t="s">
        <v>1853</v>
      </c>
      <c r="C1127" s="213" t="s">
        <v>1854</v>
      </c>
    </row>
    <row r="1128" spans="1:3" x14ac:dyDescent="0.25">
      <c r="A1128" s="211">
        <f t="shared" si="17"/>
        <v>4120223</v>
      </c>
      <c r="B1128" s="213" t="s">
        <v>1855</v>
      </c>
      <c r="C1128" s="213" t="s">
        <v>1856</v>
      </c>
    </row>
    <row r="1129" spans="1:3" x14ac:dyDescent="0.25">
      <c r="A1129" s="211">
        <f t="shared" si="17"/>
        <v>4120224</v>
      </c>
      <c r="B1129" s="213" t="s">
        <v>1857</v>
      </c>
      <c r="C1129" s="213" t="s">
        <v>1858</v>
      </c>
    </row>
    <row r="1130" spans="1:3" x14ac:dyDescent="0.25">
      <c r="A1130" s="211">
        <f t="shared" si="17"/>
        <v>4120232</v>
      </c>
      <c r="B1130" s="213" t="s">
        <v>1859</v>
      </c>
      <c r="C1130" s="213" t="s">
        <v>1860</v>
      </c>
    </row>
    <row r="1131" spans="1:3" x14ac:dyDescent="0.25">
      <c r="A1131" s="211">
        <f t="shared" si="17"/>
        <v>4120233</v>
      </c>
      <c r="B1131" s="213" t="s">
        <v>1861</v>
      </c>
      <c r="C1131" s="213" t="s">
        <v>1862</v>
      </c>
    </row>
    <row r="1132" spans="1:3" x14ac:dyDescent="0.25">
      <c r="A1132" s="211">
        <f t="shared" si="17"/>
        <v>4120234</v>
      </c>
      <c r="B1132" s="213" t="s">
        <v>1863</v>
      </c>
      <c r="C1132" s="213" t="s">
        <v>1864</v>
      </c>
    </row>
    <row r="1133" spans="1:3" x14ac:dyDescent="0.25">
      <c r="A1133" s="211">
        <f t="shared" si="17"/>
        <v>4120235</v>
      </c>
      <c r="B1133" s="213" t="s">
        <v>1865</v>
      </c>
      <c r="C1133" s="213" t="s">
        <v>1866</v>
      </c>
    </row>
    <row r="1134" spans="1:3" x14ac:dyDescent="0.25">
      <c r="A1134" s="211">
        <f t="shared" si="17"/>
        <v>4120236</v>
      </c>
      <c r="B1134" s="213" t="s">
        <v>1867</v>
      </c>
      <c r="C1134" s="213" t="s">
        <v>1868</v>
      </c>
    </row>
    <row r="1135" spans="1:3" x14ac:dyDescent="0.25">
      <c r="A1135" s="211">
        <f t="shared" si="17"/>
        <v>4120237</v>
      </c>
      <c r="B1135" s="213" t="s">
        <v>1869</v>
      </c>
      <c r="C1135" s="213" t="s">
        <v>1870</v>
      </c>
    </row>
    <row r="1136" spans="1:3" x14ac:dyDescent="0.25">
      <c r="A1136" s="211">
        <f t="shared" si="17"/>
        <v>4120238</v>
      </c>
      <c r="B1136" s="213" t="s">
        <v>1871</v>
      </c>
      <c r="C1136" s="213" t="s">
        <v>1872</v>
      </c>
    </row>
    <row r="1137" spans="1:3" x14ac:dyDescent="0.25">
      <c r="A1137" s="211">
        <f t="shared" si="17"/>
        <v>4120239</v>
      </c>
      <c r="B1137" s="213" t="s">
        <v>1873</v>
      </c>
      <c r="C1137" s="213" t="s">
        <v>1874</v>
      </c>
    </row>
    <row r="1138" spans="1:3" x14ac:dyDescent="0.25">
      <c r="A1138" s="211">
        <f t="shared" si="17"/>
        <v>4120240</v>
      </c>
      <c r="B1138" s="213" t="s">
        <v>1875</v>
      </c>
      <c r="C1138" s="213" t="s">
        <v>1876</v>
      </c>
    </row>
    <row r="1139" spans="1:3" x14ac:dyDescent="0.25">
      <c r="A1139" s="211">
        <f t="shared" si="17"/>
        <v>4120241</v>
      </c>
      <c r="B1139" s="213" t="s">
        <v>1877</v>
      </c>
      <c r="C1139" s="213" t="s">
        <v>1878</v>
      </c>
    </row>
    <row r="1140" spans="1:3" x14ac:dyDescent="0.25">
      <c r="A1140" s="211">
        <f t="shared" si="17"/>
        <v>4120242</v>
      </c>
      <c r="B1140" s="213" t="s">
        <v>1879</v>
      </c>
      <c r="C1140" s="213" t="s">
        <v>1880</v>
      </c>
    </row>
    <row r="1141" spans="1:3" x14ac:dyDescent="0.25">
      <c r="A1141" s="211">
        <f t="shared" si="17"/>
        <v>4120243</v>
      </c>
      <c r="B1141" s="213" t="s">
        <v>1881</v>
      </c>
      <c r="C1141" s="213" t="s">
        <v>1882</v>
      </c>
    </row>
    <row r="1142" spans="1:3" x14ac:dyDescent="0.25">
      <c r="A1142" s="211">
        <f t="shared" si="17"/>
        <v>4120244</v>
      </c>
      <c r="B1142" s="213" t="s">
        <v>1883</v>
      </c>
      <c r="C1142" s="213" t="s">
        <v>1884</v>
      </c>
    </row>
    <row r="1143" spans="1:3" x14ac:dyDescent="0.25">
      <c r="A1143" s="211">
        <f t="shared" si="17"/>
        <v>4120245</v>
      </c>
      <c r="B1143" s="213" t="s">
        <v>1885</v>
      </c>
      <c r="C1143" s="213" t="s">
        <v>1886</v>
      </c>
    </row>
    <row r="1144" spans="1:3" x14ac:dyDescent="0.25">
      <c r="A1144" s="211">
        <f t="shared" si="17"/>
        <v>4120246</v>
      </c>
      <c r="B1144" s="213" t="s">
        <v>1887</v>
      </c>
      <c r="C1144" s="213" t="s">
        <v>1888</v>
      </c>
    </row>
    <row r="1145" spans="1:3" x14ac:dyDescent="0.25">
      <c r="A1145" s="211">
        <f t="shared" si="17"/>
        <v>4120247</v>
      </c>
      <c r="B1145" s="213" t="s">
        <v>1889</v>
      </c>
      <c r="C1145" s="213" t="s">
        <v>1890</v>
      </c>
    </row>
    <row r="1146" spans="1:3" x14ac:dyDescent="0.25">
      <c r="A1146" s="211">
        <f t="shared" si="17"/>
        <v>4120250</v>
      </c>
      <c r="B1146" s="213" t="s">
        <v>1891</v>
      </c>
      <c r="C1146" s="213" t="s">
        <v>1892</v>
      </c>
    </row>
    <row r="1147" spans="1:3" x14ac:dyDescent="0.25">
      <c r="A1147" s="211">
        <f t="shared" si="17"/>
        <v>4120251</v>
      </c>
      <c r="B1147" s="213" t="s">
        <v>1893</v>
      </c>
      <c r="C1147" s="213" t="s">
        <v>1892</v>
      </c>
    </row>
    <row r="1148" spans="1:3" x14ac:dyDescent="0.25">
      <c r="A1148" s="211">
        <f t="shared" si="17"/>
        <v>4120252</v>
      </c>
      <c r="B1148" s="213" t="s">
        <v>1894</v>
      </c>
      <c r="C1148" s="213" t="s">
        <v>1892</v>
      </c>
    </row>
    <row r="1149" spans="1:3" x14ac:dyDescent="0.25">
      <c r="A1149" s="211">
        <f t="shared" si="17"/>
        <v>4120254</v>
      </c>
      <c r="B1149" s="213" t="s">
        <v>1895</v>
      </c>
      <c r="C1149" s="213" t="s">
        <v>1896</v>
      </c>
    </row>
    <row r="1150" spans="1:3" x14ac:dyDescent="0.25">
      <c r="A1150" s="211">
        <f t="shared" si="17"/>
        <v>4120255</v>
      </c>
      <c r="B1150" s="213" t="s">
        <v>1897</v>
      </c>
      <c r="C1150" s="213" t="s">
        <v>1898</v>
      </c>
    </row>
    <row r="1151" spans="1:3" x14ac:dyDescent="0.25">
      <c r="A1151" s="211">
        <f t="shared" si="17"/>
        <v>4120256</v>
      </c>
      <c r="B1151" s="213" t="s">
        <v>1899</v>
      </c>
      <c r="C1151" s="213" t="s">
        <v>1900</v>
      </c>
    </row>
    <row r="1152" spans="1:3" x14ac:dyDescent="0.25">
      <c r="A1152" s="211">
        <f t="shared" si="17"/>
        <v>4120270</v>
      </c>
      <c r="B1152" s="213" t="s">
        <v>1901</v>
      </c>
      <c r="C1152" s="213" t="s">
        <v>1902</v>
      </c>
    </row>
    <row r="1153" spans="1:3" x14ac:dyDescent="0.25">
      <c r="A1153" s="211">
        <f t="shared" si="17"/>
        <v>4120271</v>
      </c>
      <c r="B1153" s="213" t="s">
        <v>1903</v>
      </c>
      <c r="C1153" s="213" t="s">
        <v>1904</v>
      </c>
    </row>
    <row r="1154" spans="1:3" x14ac:dyDescent="0.25">
      <c r="A1154" s="211">
        <f t="shared" ref="A1154:A1217" si="18">IFERROR(B1154*1,"")</f>
        <v>4120272</v>
      </c>
      <c r="B1154" s="213" t="s">
        <v>1905</v>
      </c>
      <c r="C1154" s="213" t="s">
        <v>1906</v>
      </c>
    </row>
    <row r="1155" spans="1:3" x14ac:dyDescent="0.25">
      <c r="A1155" s="211">
        <f t="shared" si="18"/>
        <v>4120300</v>
      </c>
      <c r="B1155" s="213" t="s">
        <v>1907</v>
      </c>
      <c r="C1155" s="213" t="s">
        <v>1908</v>
      </c>
    </row>
    <row r="1156" spans="1:3" x14ac:dyDescent="0.25">
      <c r="A1156" s="211">
        <f t="shared" si="18"/>
        <v>4120301</v>
      </c>
      <c r="B1156" s="213" t="s">
        <v>1909</v>
      </c>
      <c r="C1156" s="213" t="s">
        <v>1910</v>
      </c>
    </row>
    <row r="1157" spans="1:3" x14ac:dyDescent="0.25">
      <c r="A1157" s="211">
        <f t="shared" si="18"/>
        <v>4120302</v>
      </c>
      <c r="B1157" s="213" t="s">
        <v>1911</v>
      </c>
      <c r="C1157" s="213" t="s">
        <v>1912</v>
      </c>
    </row>
    <row r="1158" spans="1:3" x14ac:dyDescent="0.25">
      <c r="A1158" s="211">
        <f t="shared" si="18"/>
        <v>4120303</v>
      </c>
      <c r="B1158" s="213" t="s">
        <v>1913</v>
      </c>
      <c r="C1158" s="213" t="s">
        <v>1914</v>
      </c>
    </row>
    <row r="1159" spans="1:3" x14ac:dyDescent="0.25">
      <c r="A1159" s="211">
        <f t="shared" si="18"/>
        <v>4120304</v>
      </c>
      <c r="B1159" s="213" t="s">
        <v>1915</v>
      </c>
      <c r="C1159" s="213" t="s">
        <v>1916</v>
      </c>
    </row>
    <row r="1160" spans="1:3" x14ac:dyDescent="0.25">
      <c r="A1160" s="211">
        <f t="shared" si="18"/>
        <v>4120334</v>
      </c>
      <c r="B1160" s="213" t="s">
        <v>1917</v>
      </c>
      <c r="C1160" s="213" t="s">
        <v>1918</v>
      </c>
    </row>
    <row r="1161" spans="1:3" x14ac:dyDescent="0.25">
      <c r="A1161" s="211">
        <f t="shared" si="18"/>
        <v>4120335</v>
      </c>
      <c r="B1161" s="213" t="s">
        <v>1919</v>
      </c>
      <c r="C1161" s="213" t="s">
        <v>1920</v>
      </c>
    </row>
    <row r="1162" spans="1:3" x14ac:dyDescent="0.25">
      <c r="A1162" s="211">
        <f t="shared" si="18"/>
        <v>4120350</v>
      </c>
      <c r="B1162" s="213" t="s">
        <v>1921</v>
      </c>
      <c r="C1162" s="213" t="s">
        <v>1922</v>
      </c>
    </row>
    <row r="1163" spans="1:3" x14ac:dyDescent="0.25">
      <c r="A1163" s="211">
        <f t="shared" si="18"/>
        <v>4120351</v>
      </c>
      <c r="B1163" s="213" t="s">
        <v>1923</v>
      </c>
      <c r="C1163" s="213" t="s">
        <v>1924</v>
      </c>
    </row>
    <row r="1164" spans="1:3" x14ac:dyDescent="0.25">
      <c r="A1164" s="211">
        <f t="shared" si="18"/>
        <v>4120352</v>
      </c>
      <c r="B1164" s="213" t="s">
        <v>1925</v>
      </c>
      <c r="C1164" s="213" t="s">
        <v>1926</v>
      </c>
    </row>
    <row r="1165" spans="1:3" x14ac:dyDescent="0.25">
      <c r="A1165" s="211">
        <f t="shared" si="18"/>
        <v>4120353</v>
      </c>
      <c r="B1165" s="213" t="s">
        <v>1927</v>
      </c>
      <c r="C1165" s="213" t="s">
        <v>1928</v>
      </c>
    </row>
    <row r="1166" spans="1:3" x14ac:dyDescent="0.25">
      <c r="A1166" s="211">
        <f t="shared" si="18"/>
        <v>4120354</v>
      </c>
      <c r="B1166" s="213" t="s">
        <v>1929</v>
      </c>
      <c r="C1166" s="213" t="s">
        <v>1930</v>
      </c>
    </row>
    <row r="1167" spans="1:3" x14ac:dyDescent="0.25">
      <c r="A1167" s="211">
        <f t="shared" si="18"/>
        <v>4120355</v>
      </c>
      <c r="B1167" s="213" t="s">
        <v>1931</v>
      </c>
      <c r="C1167" s="213" t="s">
        <v>1932</v>
      </c>
    </row>
    <row r="1168" spans="1:3" x14ac:dyDescent="0.25">
      <c r="A1168" s="211">
        <f t="shared" si="18"/>
        <v>4120356</v>
      </c>
      <c r="B1168" s="213" t="s">
        <v>1933</v>
      </c>
      <c r="C1168" s="213" t="s">
        <v>1934</v>
      </c>
    </row>
    <row r="1169" spans="1:3" x14ac:dyDescent="0.25">
      <c r="A1169" s="211">
        <f t="shared" si="18"/>
        <v>4120357</v>
      </c>
      <c r="B1169" s="213" t="s">
        <v>1935</v>
      </c>
      <c r="C1169" s="213" t="s">
        <v>1936</v>
      </c>
    </row>
    <row r="1170" spans="1:3" x14ac:dyDescent="0.25">
      <c r="A1170" s="211">
        <f t="shared" si="18"/>
        <v>4120358</v>
      </c>
      <c r="B1170" s="213" t="s">
        <v>1937</v>
      </c>
      <c r="C1170" s="213" t="s">
        <v>1938</v>
      </c>
    </row>
    <row r="1171" spans="1:3" x14ac:dyDescent="0.25">
      <c r="A1171" s="211">
        <f t="shared" si="18"/>
        <v>4120359</v>
      </c>
      <c r="B1171" s="213" t="s">
        <v>1939</v>
      </c>
      <c r="C1171" s="213" t="s">
        <v>1940</v>
      </c>
    </row>
    <row r="1172" spans="1:3" x14ac:dyDescent="0.25">
      <c r="A1172" s="211">
        <f t="shared" si="18"/>
        <v>4120400</v>
      </c>
      <c r="B1172" s="213" t="s">
        <v>1941</v>
      </c>
      <c r="C1172" s="213" t="s">
        <v>1942</v>
      </c>
    </row>
    <row r="1173" spans="1:3" x14ac:dyDescent="0.25">
      <c r="A1173" s="211">
        <f t="shared" si="18"/>
        <v>4120401</v>
      </c>
      <c r="B1173" s="213" t="s">
        <v>1943</v>
      </c>
      <c r="C1173" s="213" t="s">
        <v>1944</v>
      </c>
    </row>
    <row r="1174" spans="1:3" x14ac:dyDescent="0.25">
      <c r="A1174" s="211">
        <f t="shared" si="18"/>
        <v>4120402</v>
      </c>
      <c r="B1174" s="213" t="s">
        <v>1945</v>
      </c>
      <c r="C1174" s="213" t="s">
        <v>1946</v>
      </c>
    </row>
    <row r="1175" spans="1:3" x14ac:dyDescent="0.25">
      <c r="A1175" s="211">
        <f t="shared" si="18"/>
        <v>4120418</v>
      </c>
      <c r="B1175" s="213" t="s">
        <v>1947</v>
      </c>
      <c r="C1175" s="213" t="s">
        <v>1948</v>
      </c>
    </row>
    <row r="1176" spans="1:3" x14ac:dyDescent="0.25">
      <c r="A1176" s="211">
        <f t="shared" si="18"/>
        <v>4120419</v>
      </c>
      <c r="B1176" s="213" t="s">
        <v>1949</v>
      </c>
      <c r="C1176" s="213" t="s">
        <v>1950</v>
      </c>
    </row>
    <row r="1177" spans="1:3" x14ac:dyDescent="0.25">
      <c r="A1177" s="211">
        <f t="shared" si="18"/>
        <v>4120420</v>
      </c>
      <c r="B1177" s="213" t="s">
        <v>1951</v>
      </c>
      <c r="C1177" s="213" t="s">
        <v>1952</v>
      </c>
    </row>
    <row r="1178" spans="1:3" x14ac:dyDescent="0.25">
      <c r="A1178" s="211">
        <f t="shared" si="18"/>
        <v>4120421</v>
      </c>
      <c r="B1178" s="213" t="s">
        <v>1953</v>
      </c>
      <c r="C1178" s="213" t="s">
        <v>1954</v>
      </c>
    </row>
    <row r="1179" spans="1:3" x14ac:dyDescent="0.25">
      <c r="A1179" s="211">
        <f t="shared" si="18"/>
        <v>4120442</v>
      </c>
      <c r="B1179" s="213" t="s">
        <v>1955</v>
      </c>
      <c r="C1179" s="213" t="s">
        <v>1956</v>
      </c>
    </row>
    <row r="1180" spans="1:3" x14ac:dyDescent="0.25">
      <c r="A1180" s="211">
        <f t="shared" si="18"/>
        <v>4120443</v>
      </c>
      <c r="B1180" s="213" t="s">
        <v>1957</v>
      </c>
      <c r="C1180" s="213" t="s">
        <v>1958</v>
      </c>
    </row>
    <row r="1181" spans="1:3" x14ac:dyDescent="0.25">
      <c r="A1181" s="211">
        <f t="shared" si="18"/>
        <v>4120444</v>
      </c>
      <c r="B1181" s="213" t="s">
        <v>1959</v>
      </c>
      <c r="C1181" s="213" t="s">
        <v>1960</v>
      </c>
    </row>
    <row r="1182" spans="1:3" x14ac:dyDescent="0.25">
      <c r="A1182" s="211">
        <f t="shared" si="18"/>
        <v>4120450</v>
      </c>
      <c r="B1182" s="213" t="s">
        <v>1961</v>
      </c>
      <c r="C1182" s="213" t="s">
        <v>1962</v>
      </c>
    </row>
    <row r="1183" spans="1:3" x14ac:dyDescent="0.25">
      <c r="A1183" s="211">
        <f t="shared" si="18"/>
        <v>4120451</v>
      </c>
      <c r="B1183" s="213" t="s">
        <v>1963</v>
      </c>
      <c r="C1183" s="213" t="s">
        <v>1964</v>
      </c>
    </row>
    <row r="1184" spans="1:3" x14ac:dyDescent="0.25">
      <c r="A1184" s="211">
        <f t="shared" si="18"/>
        <v>4120454</v>
      </c>
      <c r="B1184" s="213" t="s">
        <v>1965</v>
      </c>
      <c r="C1184" s="213" t="s">
        <v>1966</v>
      </c>
    </row>
    <row r="1185" spans="1:3" x14ac:dyDescent="0.25">
      <c r="A1185" s="211">
        <f t="shared" si="18"/>
        <v>4120455</v>
      </c>
      <c r="B1185" s="213" t="s">
        <v>1967</v>
      </c>
      <c r="C1185" s="213" t="s">
        <v>1968</v>
      </c>
    </row>
    <row r="1186" spans="1:3" x14ac:dyDescent="0.25">
      <c r="A1186" s="211">
        <f t="shared" si="18"/>
        <v>4120456</v>
      </c>
      <c r="B1186" s="213" t="s">
        <v>1969</v>
      </c>
      <c r="C1186" s="213" t="s">
        <v>1970</v>
      </c>
    </row>
    <row r="1187" spans="1:3" x14ac:dyDescent="0.25">
      <c r="A1187" s="211">
        <f t="shared" si="18"/>
        <v>4120457</v>
      </c>
      <c r="B1187" s="213" t="s">
        <v>1971</v>
      </c>
      <c r="C1187" s="213" t="s">
        <v>1972</v>
      </c>
    </row>
    <row r="1188" spans="1:3" x14ac:dyDescent="0.25">
      <c r="A1188" s="211">
        <f t="shared" si="18"/>
        <v>4120458</v>
      </c>
      <c r="B1188" s="213" t="s">
        <v>1973</v>
      </c>
      <c r="C1188" s="213" t="s">
        <v>1974</v>
      </c>
    </row>
    <row r="1189" spans="1:3" x14ac:dyDescent="0.25">
      <c r="A1189" s="211">
        <f t="shared" si="18"/>
        <v>4120459</v>
      </c>
      <c r="B1189" s="213" t="s">
        <v>1975</v>
      </c>
      <c r="C1189" s="213" t="s">
        <v>1976</v>
      </c>
    </row>
    <row r="1190" spans="1:3" x14ac:dyDescent="0.25">
      <c r="A1190" s="211">
        <f t="shared" si="18"/>
        <v>4120460</v>
      </c>
      <c r="B1190" s="213" t="s">
        <v>1977</v>
      </c>
      <c r="C1190" s="213" t="s">
        <v>1978</v>
      </c>
    </row>
    <row r="1191" spans="1:3" x14ac:dyDescent="0.25">
      <c r="A1191" s="211">
        <f t="shared" si="18"/>
        <v>4120461</v>
      </c>
      <c r="B1191" s="213" t="s">
        <v>1979</v>
      </c>
      <c r="C1191" s="213" t="s">
        <v>1980</v>
      </c>
    </row>
    <row r="1192" spans="1:3" x14ac:dyDescent="0.25">
      <c r="A1192" s="211">
        <f t="shared" si="18"/>
        <v>4120462</v>
      </c>
      <c r="B1192" s="213" t="s">
        <v>1981</v>
      </c>
      <c r="C1192" s="213" t="s">
        <v>1982</v>
      </c>
    </row>
    <row r="1193" spans="1:3" x14ac:dyDescent="0.25">
      <c r="A1193" s="211">
        <f t="shared" si="18"/>
        <v>4120464</v>
      </c>
      <c r="B1193" s="213" t="s">
        <v>1983</v>
      </c>
      <c r="C1193" s="213" t="s">
        <v>1984</v>
      </c>
    </row>
    <row r="1194" spans="1:3" x14ac:dyDescent="0.25">
      <c r="A1194" s="211" t="str">
        <f t="shared" si="18"/>
        <v/>
      </c>
      <c r="B1194" s="213" t="s">
        <v>13763</v>
      </c>
      <c r="C1194" s="212"/>
    </row>
    <row r="1195" spans="1:3" x14ac:dyDescent="0.25">
      <c r="A1195" s="211">
        <f t="shared" si="18"/>
        <v>4120465</v>
      </c>
      <c r="B1195" s="213" t="s">
        <v>1985</v>
      </c>
      <c r="C1195" s="213" t="s">
        <v>1986</v>
      </c>
    </row>
    <row r="1196" spans="1:3" x14ac:dyDescent="0.25">
      <c r="A1196" s="211">
        <f t="shared" si="18"/>
        <v>4120466</v>
      </c>
      <c r="B1196" s="213" t="s">
        <v>1987</v>
      </c>
      <c r="C1196" s="213" t="s">
        <v>1988</v>
      </c>
    </row>
    <row r="1197" spans="1:3" x14ac:dyDescent="0.25">
      <c r="A1197" s="211">
        <f t="shared" si="18"/>
        <v>4120467</v>
      </c>
      <c r="B1197" s="213" t="s">
        <v>1989</v>
      </c>
      <c r="C1197" s="213" t="s">
        <v>1990</v>
      </c>
    </row>
    <row r="1198" spans="1:3" x14ac:dyDescent="0.25">
      <c r="A1198" s="211">
        <f t="shared" si="18"/>
        <v>4120495</v>
      </c>
      <c r="B1198" s="213" t="s">
        <v>1991</v>
      </c>
      <c r="C1198" s="213" t="s">
        <v>1992</v>
      </c>
    </row>
    <row r="1199" spans="1:3" x14ac:dyDescent="0.25">
      <c r="A1199" s="211">
        <f t="shared" si="18"/>
        <v>4120496</v>
      </c>
      <c r="B1199" s="213" t="s">
        <v>1993</v>
      </c>
      <c r="C1199" s="213" t="s">
        <v>1994</v>
      </c>
    </row>
    <row r="1200" spans="1:3" x14ac:dyDescent="0.25">
      <c r="A1200" s="211">
        <f t="shared" si="18"/>
        <v>4120497</v>
      </c>
      <c r="B1200" s="213" t="s">
        <v>1995</v>
      </c>
      <c r="C1200" s="213" t="s">
        <v>1996</v>
      </c>
    </row>
    <row r="1201" spans="1:3" x14ac:dyDescent="0.25">
      <c r="A1201" s="211">
        <f t="shared" si="18"/>
        <v>4120500</v>
      </c>
      <c r="B1201" s="213" t="s">
        <v>13302</v>
      </c>
      <c r="C1201" s="213" t="s">
        <v>13303</v>
      </c>
    </row>
    <row r="1202" spans="1:3" x14ac:dyDescent="0.25">
      <c r="A1202" s="211">
        <f t="shared" si="18"/>
        <v>4120501</v>
      </c>
      <c r="B1202" s="213" t="s">
        <v>13304</v>
      </c>
      <c r="C1202" s="213" t="s">
        <v>13305</v>
      </c>
    </row>
    <row r="1203" spans="1:3" x14ac:dyDescent="0.25">
      <c r="A1203" s="211">
        <f t="shared" si="18"/>
        <v>4120502</v>
      </c>
      <c r="B1203" s="213" t="s">
        <v>13443</v>
      </c>
      <c r="C1203" s="213" t="s">
        <v>13444</v>
      </c>
    </row>
    <row r="1204" spans="1:3" x14ac:dyDescent="0.25">
      <c r="A1204" s="211">
        <f t="shared" si="18"/>
        <v>4120505</v>
      </c>
      <c r="B1204" s="213" t="s">
        <v>13306</v>
      </c>
      <c r="C1204" s="213" t="s">
        <v>13307</v>
      </c>
    </row>
    <row r="1205" spans="1:3" x14ac:dyDescent="0.25">
      <c r="A1205" s="211">
        <f t="shared" si="18"/>
        <v>4120506</v>
      </c>
      <c r="B1205" s="213" t="s">
        <v>13308</v>
      </c>
      <c r="C1205" s="213" t="s">
        <v>13309</v>
      </c>
    </row>
    <row r="1206" spans="1:3" x14ac:dyDescent="0.25">
      <c r="A1206" s="211">
        <f t="shared" si="18"/>
        <v>4120507</v>
      </c>
      <c r="B1206" s="213" t="s">
        <v>13764</v>
      </c>
      <c r="C1206" s="213" t="s">
        <v>13765</v>
      </c>
    </row>
    <row r="1207" spans="1:3" x14ac:dyDescent="0.25">
      <c r="A1207" s="211">
        <f t="shared" si="18"/>
        <v>4120544</v>
      </c>
      <c r="B1207" s="213" t="s">
        <v>1997</v>
      </c>
      <c r="C1207" s="213" t="s">
        <v>1998</v>
      </c>
    </row>
    <row r="1208" spans="1:3" x14ac:dyDescent="0.25">
      <c r="A1208" s="211">
        <f t="shared" si="18"/>
        <v>4120545</v>
      </c>
      <c r="B1208" s="213" t="s">
        <v>1999</v>
      </c>
      <c r="C1208" s="213" t="s">
        <v>2000</v>
      </c>
    </row>
    <row r="1209" spans="1:3" x14ac:dyDescent="0.25">
      <c r="A1209" s="211">
        <f t="shared" si="18"/>
        <v>4120546</v>
      </c>
      <c r="B1209" s="213" t="s">
        <v>2001</v>
      </c>
      <c r="C1209" s="213" t="s">
        <v>2002</v>
      </c>
    </row>
    <row r="1210" spans="1:3" x14ac:dyDescent="0.25">
      <c r="A1210" s="211">
        <f t="shared" si="18"/>
        <v>4120549</v>
      </c>
      <c r="B1210" s="213" t="s">
        <v>2003</v>
      </c>
      <c r="C1210" s="213" t="s">
        <v>2004</v>
      </c>
    </row>
    <row r="1211" spans="1:3" x14ac:dyDescent="0.25">
      <c r="A1211" s="211">
        <f t="shared" si="18"/>
        <v>4120567</v>
      </c>
      <c r="B1211" s="213" t="s">
        <v>2005</v>
      </c>
      <c r="C1211" s="213" t="s">
        <v>2006</v>
      </c>
    </row>
    <row r="1212" spans="1:3" x14ac:dyDescent="0.25">
      <c r="A1212" s="211">
        <f t="shared" si="18"/>
        <v>4120568</v>
      </c>
      <c r="B1212" s="213" t="s">
        <v>2007</v>
      </c>
      <c r="C1212" s="213" t="s">
        <v>2008</v>
      </c>
    </row>
    <row r="1213" spans="1:3" x14ac:dyDescent="0.25">
      <c r="A1213" s="211">
        <f t="shared" si="18"/>
        <v>4120569</v>
      </c>
      <c r="B1213" s="213" t="s">
        <v>2009</v>
      </c>
      <c r="C1213" s="213" t="s">
        <v>2010</v>
      </c>
    </row>
    <row r="1214" spans="1:3" x14ac:dyDescent="0.25">
      <c r="A1214" s="211">
        <f t="shared" si="18"/>
        <v>4120570</v>
      </c>
      <c r="B1214" s="213" t="s">
        <v>2011</v>
      </c>
      <c r="C1214" s="213" t="s">
        <v>2012</v>
      </c>
    </row>
    <row r="1215" spans="1:3" x14ac:dyDescent="0.25">
      <c r="A1215" s="211">
        <f t="shared" si="18"/>
        <v>4120600</v>
      </c>
      <c r="B1215" s="213" t="s">
        <v>2013</v>
      </c>
      <c r="C1215" s="213" t="s">
        <v>2014</v>
      </c>
    </row>
    <row r="1216" spans="1:3" x14ac:dyDescent="0.25">
      <c r="A1216" s="211">
        <f t="shared" si="18"/>
        <v>4120601</v>
      </c>
      <c r="B1216" s="213" t="s">
        <v>2015</v>
      </c>
      <c r="C1216" s="213" t="s">
        <v>2016</v>
      </c>
    </row>
    <row r="1217" spans="1:3" x14ac:dyDescent="0.25">
      <c r="A1217" s="211">
        <f t="shared" si="18"/>
        <v>4120602</v>
      </c>
      <c r="B1217" s="213" t="s">
        <v>2017</v>
      </c>
      <c r="C1217" s="213" t="s">
        <v>2018</v>
      </c>
    </row>
    <row r="1218" spans="1:3" x14ac:dyDescent="0.25">
      <c r="A1218" s="211">
        <f t="shared" ref="A1218:A1281" si="19">IFERROR(B1218*1,"")</f>
        <v>4120625</v>
      </c>
      <c r="B1218" s="213" t="s">
        <v>2019</v>
      </c>
      <c r="C1218" s="213" t="s">
        <v>2020</v>
      </c>
    </row>
    <row r="1219" spans="1:3" x14ac:dyDescent="0.25">
      <c r="A1219" s="211">
        <f t="shared" si="19"/>
        <v>4120627</v>
      </c>
      <c r="B1219" s="213" t="s">
        <v>2021</v>
      </c>
      <c r="C1219" s="213" t="s">
        <v>2022</v>
      </c>
    </row>
    <row r="1220" spans="1:3" x14ac:dyDescent="0.25">
      <c r="A1220" s="211">
        <f t="shared" si="19"/>
        <v>4120628</v>
      </c>
      <c r="B1220" s="213" t="s">
        <v>2023</v>
      </c>
      <c r="C1220" s="213" t="s">
        <v>2024</v>
      </c>
    </row>
    <row r="1221" spans="1:3" x14ac:dyDescent="0.25">
      <c r="A1221" s="211">
        <f t="shared" si="19"/>
        <v>4120670</v>
      </c>
      <c r="B1221" s="213" t="s">
        <v>2025</v>
      </c>
      <c r="C1221" s="213" t="s">
        <v>2026</v>
      </c>
    </row>
    <row r="1222" spans="1:3" x14ac:dyDescent="0.25">
      <c r="A1222" s="211">
        <f t="shared" si="19"/>
        <v>4120672</v>
      </c>
      <c r="B1222" s="213" t="s">
        <v>2027</v>
      </c>
      <c r="C1222" s="213" t="s">
        <v>2028</v>
      </c>
    </row>
    <row r="1223" spans="1:3" x14ac:dyDescent="0.25">
      <c r="A1223" s="211">
        <f t="shared" si="19"/>
        <v>4120674</v>
      </c>
      <c r="B1223" s="213" t="s">
        <v>2029</v>
      </c>
      <c r="C1223" s="213" t="s">
        <v>2030</v>
      </c>
    </row>
    <row r="1224" spans="1:3" x14ac:dyDescent="0.25">
      <c r="A1224" s="211">
        <f t="shared" si="19"/>
        <v>4120676</v>
      </c>
      <c r="B1224" s="213" t="s">
        <v>2031</v>
      </c>
      <c r="C1224" s="213" t="s">
        <v>2032</v>
      </c>
    </row>
    <row r="1225" spans="1:3" x14ac:dyDescent="0.25">
      <c r="A1225" s="211">
        <f t="shared" si="19"/>
        <v>4120700</v>
      </c>
      <c r="B1225" s="213" t="s">
        <v>2033</v>
      </c>
      <c r="C1225" s="213" t="s">
        <v>2034</v>
      </c>
    </row>
    <row r="1226" spans="1:3" x14ac:dyDescent="0.25">
      <c r="A1226" s="211">
        <f t="shared" si="19"/>
        <v>4120701</v>
      </c>
      <c r="B1226" s="213" t="s">
        <v>2035</v>
      </c>
      <c r="C1226" s="213" t="s">
        <v>2036</v>
      </c>
    </row>
    <row r="1227" spans="1:3" x14ac:dyDescent="0.25">
      <c r="A1227" s="211">
        <f t="shared" si="19"/>
        <v>4120702</v>
      </c>
      <c r="B1227" s="213" t="s">
        <v>2037</v>
      </c>
      <c r="C1227" s="213" t="s">
        <v>2038</v>
      </c>
    </row>
    <row r="1228" spans="1:3" x14ac:dyDescent="0.25">
      <c r="A1228" s="211">
        <f t="shared" si="19"/>
        <v>4120750</v>
      </c>
      <c r="B1228" s="213" t="s">
        <v>2039</v>
      </c>
      <c r="C1228" s="213" t="s">
        <v>2040</v>
      </c>
    </row>
    <row r="1229" spans="1:3" x14ac:dyDescent="0.25">
      <c r="A1229" s="211">
        <f t="shared" si="19"/>
        <v>4120751</v>
      </c>
      <c r="B1229" s="213" t="s">
        <v>2041</v>
      </c>
      <c r="C1229" s="213" t="s">
        <v>2042</v>
      </c>
    </row>
    <row r="1230" spans="1:3" x14ac:dyDescent="0.25">
      <c r="A1230" s="211">
        <f t="shared" si="19"/>
        <v>4120752</v>
      </c>
      <c r="B1230" s="213" t="s">
        <v>2043</v>
      </c>
      <c r="C1230" s="213" t="s">
        <v>2044</v>
      </c>
    </row>
    <row r="1231" spans="1:3" x14ac:dyDescent="0.25">
      <c r="A1231" s="211">
        <f t="shared" si="19"/>
        <v>4120753</v>
      </c>
      <c r="B1231" s="213" t="s">
        <v>2045</v>
      </c>
      <c r="C1231" s="213" t="s">
        <v>2046</v>
      </c>
    </row>
    <row r="1232" spans="1:3" x14ac:dyDescent="0.25">
      <c r="A1232" s="211">
        <f t="shared" si="19"/>
        <v>4120754</v>
      </c>
      <c r="B1232" s="213" t="s">
        <v>2047</v>
      </c>
      <c r="C1232" s="213" t="s">
        <v>2048</v>
      </c>
    </row>
    <row r="1233" spans="1:3" x14ac:dyDescent="0.25">
      <c r="A1233" s="211">
        <f t="shared" si="19"/>
        <v>4120755</v>
      </c>
      <c r="B1233" s="213" t="s">
        <v>2049</v>
      </c>
      <c r="C1233" s="213" t="s">
        <v>2050</v>
      </c>
    </row>
    <row r="1234" spans="1:3" x14ac:dyDescent="0.25">
      <c r="A1234" s="211">
        <f t="shared" si="19"/>
        <v>4120770</v>
      </c>
      <c r="B1234" s="213" t="s">
        <v>2051</v>
      </c>
      <c r="C1234" s="213" t="s">
        <v>2052</v>
      </c>
    </row>
    <row r="1235" spans="1:3" x14ac:dyDescent="0.25">
      <c r="A1235" s="211">
        <f t="shared" si="19"/>
        <v>4120771</v>
      </c>
      <c r="B1235" s="213" t="s">
        <v>2053</v>
      </c>
      <c r="C1235" s="213" t="s">
        <v>2054</v>
      </c>
    </row>
    <row r="1236" spans="1:3" x14ac:dyDescent="0.25">
      <c r="A1236" s="211">
        <f t="shared" si="19"/>
        <v>4120772</v>
      </c>
      <c r="B1236" s="213" t="s">
        <v>2055</v>
      </c>
      <c r="C1236" s="213" t="s">
        <v>2056</v>
      </c>
    </row>
    <row r="1237" spans="1:3" x14ac:dyDescent="0.25">
      <c r="A1237" s="211">
        <f t="shared" si="19"/>
        <v>4120773</v>
      </c>
      <c r="B1237" s="213" t="s">
        <v>2057</v>
      </c>
      <c r="C1237" s="213" t="s">
        <v>2058</v>
      </c>
    </row>
    <row r="1238" spans="1:3" x14ac:dyDescent="0.25">
      <c r="A1238" s="211">
        <f t="shared" si="19"/>
        <v>4120778</v>
      </c>
      <c r="B1238" s="213" t="s">
        <v>2059</v>
      </c>
      <c r="C1238" s="213" t="s">
        <v>2060</v>
      </c>
    </row>
    <row r="1239" spans="1:3" x14ac:dyDescent="0.25">
      <c r="A1239" s="211">
        <f t="shared" si="19"/>
        <v>4120790</v>
      </c>
      <c r="B1239" s="213" t="s">
        <v>7506</v>
      </c>
      <c r="C1239" s="213" t="s">
        <v>7507</v>
      </c>
    </row>
    <row r="1240" spans="1:3" x14ac:dyDescent="0.25">
      <c r="A1240" s="211">
        <f t="shared" si="19"/>
        <v>4120791</v>
      </c>
      <c r="B1240" s="213" t="s">
        <v>7508</v>
      </c>
      <c r="C1240" s="213" t="s">
        <v>7509</v>
      </c>
    </row>
    <row r="1241" spans="1:3" x14ac:dyDescent="0.25">
      <c r="A1241" s="211">
        <f t="shared" si="19"/>
        <v>4120792</v>
      </c>
      <c r="B1241" s="213" t="s">
        <v>7510</v>
      </c>
      <c r="C1241" s="213" t="s">
        <v>7511</v>
      </c>
    </row>
    <row r="1242" spans="1:3" x14ac:dyDescent="0.25">
      <c r="A1242" s="211">
        <f t="shared" si="19"/>
        <v>4120800</v>
      </c>
      <c r="B1242" s="213" t="s">
        <v>2061</v>
      </c>
      <c r="C1242" s="213" t="s">
        <v>2062</v>
      </c>
    </row>
    <row r="1243" spans="1:3" x14ac:dyDescent="0.25">
      <c r="A1243" s="211">
        <f t="shared" si="19"/>
        <v>4120813</v>
      </c>
      <c r="B1243" s="213" t="s">
        <v>2063</v>
      </c>
      <c r="C1243" s="213" t="s">
        <v>1620</v>
      </c>
    </row>
    <row r="1244" spans="1:3" x14ac:dyDescent="0.25">
      <c r="A1244" s="211">
        <f t="shared" si="19"/>
        <v>4120846</v>
      </c>
      <c r="B1244" s="213" t="s">
        <v>2064</v>
      </c>
      <c r="C1244" s="213" t="s">
        <v>2065</v>
      </c>
    </row>
    <row r="1245" spans="1:3" x14ac:dyDescent="0.25">
      <c r="A1245" s="211">
        <f t="shared" si="19"/>
        <v>4120850</v>
      </c>
      <c r="B1245" s="213" t="s">
        <v>2066</v>
      </c>
      <c r="C1245" s="213" t="s">
        <v>2067</v>
      </c>
    </row>
    <row r="1246" spans="1:3" x14ac:dyDescent="0.25">
      <c r="A1246" s="211">
        <f t="shared" si="19"/>
        <v>4120851</v>
      </c>
      <c r="B1246" s="213" t="s">
        <v>2068</v>
      </c>
      <c r="C1246" s="213" t="s">
        <v>2069</v>
      </c>
    </row>
    <row r="1247" spans="1:3" x14ac:dyDescent="0.25">
      <c r="A1247" s="211">
        <f t="shared" si="19"/>
        <v>4120852</v>
      </c>
      <c r="B1247" s="213" t="s">
        <v>2070</v>
      </c>
      <c r="C1247" s="213" t="s">
        <v>2071</v>
      </c>
    </row>
    <row r="1248" spans="1:3" x14ac:dyDescent="0.25">
      <c r="A1248" s="211">
        <f t="shared" si="19"/>
        <v>4120853</v>
      </c>
      <c r="B1248" s="213" t="s">
        <v>2072</v>
      </c>
      <c r="C1248" s="213" t="s">
        <v>2073</v>
      </c>
    </row>
    <row r="1249" spans="1:3" x14ac:dyDescent="0.25">
      <c r="A1249" s="211">
        <f t="shared" si="19"/>
        <v>4120854</v>
      </c>
      <c r="B1249" s="213" t="s">
        <v>2074</v>
      </c>
      <c r="C1249" s="213" t="s">
        <v>2075</v>
      </c>
    </row>
    <row r="1250" spans="1:3" x14ac:dyDescent="0.25">
      <c r="A1250" s="211">
        <f t="shared" si="19"/>
        <v>4120855</v>
      </c>
      <c r="B1250" s="213" t="s">
        <v>2076</v>
      </c>
      <c r="C1250" s="213" t="s">
        <v>2077</v>
      </c>
    </row>
    <row r="1251" spans="1:3" x14ac:dyDescent="0.25">
      <c r="A1251" s="211">
        <f t="shared" si="19"/>
        <v>4120857</v>
      </c>
      <c r="B1251" s="213" t="s">
        <v>2078</v>
      </c>
      <c r="C1251" s="213" t="s">
        <v>2079</v>
      </c>
    </row>
    <row r="1252" spans="1:3" x14ac:dyDescent="0.25">
      <c r="A1252" s="211">
        <f t="shared" si="19"/>
        <v>4120860</v>
      </c>
      <c r="B1252" s="213" t="s">
        <v>2080</v>
      </c>
      <c r="C1252" s="213" t="s">
        <v>2081</v>
      </c>
    </row>
    <row r="1253" spans="1:3" x14ac:dyDescent="0.25">
      <c r="A1253" s="211">
        <f t="shared" si="19"/>
        <v>4120870</v>
      </c>
      <c r="B1253" s="213" t="s">
        <v>2082</v>
      </c>
      <c r="C1253" s="213" t="s">
        <v>2083</v>
      </c>
    </row>
    <row r="1254" spans="1:3" x14ac:dyDescent="0.25">
      <c r="A1254" s="211">
        <f t="shared" si="19"/>
        <v>4120880</v>
      </c>
      <c r="B1254" s="213" t="s">
        <v>2084</v>
      </c>
      <c r="C1254" s="213" t="s">
        <v>2085</v>
      </c>
    </row>
    <row r="1255" spans="1:3" x14ac:dyDescent="0.25">
      <c r="A1255" s="211">
        <f t="shared" si="19"/>
        <v>4120881</v>
      </c>
      <c r="B1255" s="213" t="s">
        <v>2086</v>
      </c>
      <c r="C1255" s="213" t="s">
        <v>2087</v>
      </c>
    </row>
    <row r="1256" spans="1:3" x14ac:dyDescent="0.25">
      <c r="A1256" s="211">
        <f t="shared" si="19"/>
        <v>4120890</v>
      </c>
      <c r="B1256" s="213" t="s">
        <v>2088</v>
      </c>
      <c r="C1256" s="213" t="s">
        <v>2089</v>
      </c>
    </row>
    <row r="1257" spans="1:3" x14ac:dyDescent="0.25">
      <c r="A1257" s="211">
        <f t="shared" si="19"/>
        <v>4120900</v>
      </c>
      <c r="B1257" s="213" t="s">
        <v>2090</v>
      </c>
      <c r="C1257" s="213" t="s">
        <v>2091</v>
      </c>
    </row>
    <row r="1258" spans="1:3" x14ac:dyDescent="0.25">
      <c r="A1258" s="211">
        <f t="shared" si="19"/>
        <v>4120901</v>
      </c>
      <c r="B1258" s="213" t="s">
        <v>2092</v>
      </c>
      <c r="C1258" s="213" t="s">
        <v>2093</v>
      </c>
    </row>
    <row r="1259" spans="1:3" x14ac:dyDescent="0.25">
      <c r="A1259" s="211">
        <f t="shared" si="19"/>
        <v>4120902</v>
      </c>
      <c r="B1259" s="213" t="s">
        <v>2094</v>
      </c>
      <c r="C1259" s="213" t="s">
        <v>2095</v>
      </c>
    </row>
    <row r="1260" spans="1:3" x14ac:dyDescent="0.25">
      <c r="A1260" s="211">
        <f t="shared" si="19"/>
        <v>4120903</v>
      </c>
      <c r="B1260" s="213" t="s">
        <v>2096</v>
      </c>
      <c r="C1260" s="213" t="s">
        <v>2097</v>
      </c>
    </row>
    <row r="1261" spans="1:3" x14ac:dyDescent="0.25">
      <c r="A1261" s="211">
        <f t="shared" si="19"/>
        <v>4120905</v>
      </c>
      <c r="B1261" s="213" t="s">
        <v>2098</v>
      </c>
      <c r="C1261" s="213" t="s">
        <v>2099</v>
      </c>
    </row>
    <row r="1262" spans="1:3" x14ac:dyDescent="0.25">
      <c r="A1262" s="211">
        <f t="shared" si="19"/>
        <v>4120906</v>
      </c>
      <c r="B1262" s="213" t="s">
        <v>2100</v>
      </c>
      <c r="C1262" s="213" t="s">
        <v>2101</v>
      </c>
    </row>
    <row r="1263" spans="1:3" x14ac:dyDescent="0.25">
      <c r="A1263" s="211">
        <f t="shared" si="19"/>
        <v>4120910</v>
      </c>
      <c r="B1263" s="213" t="s">
        <v>2102</v>
      </c>
      <c r="C1263" s="213" t="s">
        <v>2103</v>
      </c>
    </row>
    <row r="1264" spans="1:3" x14ac:dyDescent="0.25">
      <c r="A1264" s="211">
        <f t="shared" si="19"/>
        <v>4120911</v>
      </c>
      <c r="B1264" s="213" t="s">
        <v>2104</v>
      </c>
      <c r="C1264" s="213" t="s">
        <v>2105</v>
      </c>
    </row>
    <row r="1265" spans="1:3" x14ac:dyDescent="0.25">
      <c r="A1265" s="211">
        <f t="shared" si="19"/>
        <v>4120912</v>
      </c>
      <c r="B1265" s="213" t="s">
        <v>2106</v>
      </c>
      <c r="C1265" s="213" t="s">
        <v>2107</v>
      </c>
    </row>
    <row r="1266" spans="1:3" x14ac:dyDescent="0.25">
      <c r="A1266" s="211">
        <f t="shared" si="19"/>
        <v>4120913</v>
      </c>
      <c r="B1266" s="213" t="s">
        <v>2108</v>
      </c>
      <c r="C1266" s="213" t="s">
        <v>2109</v>
      </c>
    </row>
    <row r="1267" spans="1:3" x14ac:dyDescent="0.25">
      <c r="A1267" s="211">
        <f t="shared" si="19"/>
        <v>4120914</v>
      </c>
      <c r="B1267" s="213" t="s">
        <v>2110</v>
      </c>
      <c r="C1267" s="213" t="s">
        <v>2111</v>
      </c>
    </row>
    <row r="1268" spans="1:3" x14ac:dyDescent="0.25">
      <c r="A1268" s="211">
        <f t="shared" si="19"/>
        <v>4120915</v>
      </c>
      <c r="B1268" s="213" t="s">
        <v>2112</v>
      </c>
      <c r="C1268" s="213" t="s">
        <v>2113</v>
      </c>
    </row>
    <row r="1269" spans="1:3" x14ac:dyDescent="0.25">
      <c r="A1269" s="211">
        <f t="shared" si="19"/>
        <v>4120916</v>
      </c>
      <c r="B1269" s="213" t="s">
        <v>2114</v>
      </c>
      <c r="C1269" s="213" t="s">
        <v>2115</v>
      </c>
    </row>
    <row r="1270" spans="1:3" x14ac:dyDescent="0.25">
      <c r="A1270" s="211">
        <f t="shared" si="19"/>
        <v>4120917</v>
      </c>
      <c r="B1270" s="213" t="s">
        <v>2116</v>
      </c>
      <c r="C1270" s="213" t="s">
        <v>2117</v>
      </c>
    </row>
    <row r="1271" spans="1:3" x14ac:dyDescent="0.25">
      <c r="A1271" s="211">
        <f t="shared" si="19"/>
        <v>4120950</v>
      </c>
      <c r="B1271" s="213" t="s">
        <v>2118</v>
      </c>
      <c r="C1271" s="213" t="s">
        <v>2119</v>
      </c>
    </row>
    <row r="1272" spans="1:3" x14ac:dyDescent="0.25">
      <c r="A1272" s="211">
        <f t="shared" si="19"/>
        <v>4120951</v>
      </c>
      <c r="B1272" s="213" t="s">
        <v>2120</v>
      </c>
      <c r="C1272" s="213" t="s">
        <v>2121</v>
      </c>
    </row>
    <row r="1273" spans="1:3" x14ac:dyDescent="0.25">
      <c r="A1273" s="211">
        <f t="shared" si="19"/>
        <v>4120952</v>
      </c>
      <c r="B1273" s="213" t="s">
        <v>2122</v>
      </c>
      <c r="C1273" s="213" t="s">
        <v>2123</v>
      </c>
    </row>
    <row r="1274" spans="1:3" x14ac:dyDescent="0.25">
      <c r="A1274" s="211">
        <f t="shared" si="19"/>
        <v>4120953</v>
      </c>
      <c r="B1274" s="213" t="s">
        <v>2124</v>
      </c>
      <c r="C1274" s="213" t="s">
        <v>2125</v>
      </c>
    </row>
    <row r="1275" spans="1:3" x14ac:dyDescent="0.25">
      <c r="A1275" s="211">
        <f t="shared" si="19"/>
        <v>4120954</v>
      </c>
      <c r="B1275" s="213" t="s">
        <v>2126</v>
      </c>
      <c r="C1275" s="213" t="s">
        <v>2127</v>
      </c>
    </row>
    <row r="1276" spans="1:3" x14ac:dyDescent="0.25">
      <c r="A1276" s="211">
        <f t="shared" si="19"/>
        <v>4120963</v>
      </c>
      <c r="B1276" s="213" t="s">
        <v>2128</v>
      </c>
      <c r="C1276" s="213" t="s">
        <v>2129</v>
      </c>
    </row>
    <row r="1277" spans="1:3" x14ac:dyDescent="0.25">
      <c r="A1277" s="211">
        <f t="shared" si="19"/>
        <v>4120982</v>
      </c>
      <c r="B1277" s="213" t="s">
        <v>2130</v>
      </c>
      <c r="C1277" s="213" t="s">
        <v>2131</v>
      </c>
    </row>
    <row r="1278" spans="1:3" x14ac:dyDescent="0.25">
      <c r="A1278" s="211">
        <f t="shared" si="19"/>
        <v>4120987</v>
      </c>
      <c r="B1278" s="213" t="s">
        <v>2132</v>
      </c>
      <c r="C1278" s="213" t="s">
        <v>2133</v>
      </c>
    </row>
    <row r="1279" spans="1:3" x14ac:dyDescent="0.25">
      <c r="A1279" s="211">
        <f t="shared" si="19"/>
        <v>4120988</v>
      </c>
      <c r="B1279" s="213" t="s">
        <v>2134</v>
      </c>
      <c r="C1279" s="213" t="s">
        <v>2135</v>
      </c>
    </row>
    <row r="1280" spans="1:3" x14ac:dyDescent="0.25">
      <c r="A1280" s="211">
        <f t="shared" si="19"/>
        <v>4120989</v>
      </c>
      <c r="B1280" s="213" t="s">
        <v>2136</v>
      </c>
      <c r="C1280" s="213" t="s">
        <v>2137</v>
      </c>
    </row>
    <row r="1281" spans="1:3" x14ac:dyDescent="0.25">
      <c r="A1281" s="211">
        <f t="shared" si="19"/>
        <v>4120999</v>
      </c>
      <c r="B1281" s="213" t="s">
        <v>14039</v>
      </c>
      <c r="C1281" s="213" t="s">
        <v>14040</v>
      </c>
    </row>
    <row r="1282" spans="1:3" x14ac:dyDescent="0.25">
      <c r="A1282" s="211">
        <f t="shared" ref="A1282:A1345" si="20">IFERROR(B1282*1,"")</f>
        <v>4129001</v>
      </c>
      <c r="B1282" s="213" t="s">
        <v>2138</v>
      </c>
      <c r="C1282" s="213" t="s">
        <v>2139</v>
      </c>
    </row>
    <row r="1283" spans="1:3" x14ac:dyDescent="0.25">
      <c r="A1283" s="211">
        <f t="shared" si="20"/>
        <v>4130123</v>
      </c>
      <c r="B1283" s="213" t="s">
        <v>2140</v>
      </c>
      <c r="C1283" s="213" t="s">
        <v>2141</v>
      </c>
    </row>
    <row r="1284" spans="1:3" x14ac:dyDescent="0.25">
      <c r="A1284" s="211">
        <f t="shared" si="20"/>
        <v>4130124</v>
      </c>
      <c r="B1284" s="213" t="s">
        <v>2142</v>
      </c>
      <c r="C1284" s="213" t="s">
        <v>2143</v>
      </c>
    </row>
    <row r="1285" spans="1:3" x14ac:dyDescent="0.25">
      <c r="A1285" s="211">
        <f t="shared" si="20"/>
        <v>4130125</v>
      </c>
      <c r="B1285" s="213" t="s">
        <v>2144</v>
      </c>
      <c r="C1285" s="213" t="s">
        <v>2145</v>
      </c>
    </row>
    <row r="1286" spans="1:3" x14ac:dyDescent="0.25">
      <c r="A1286" s="211">
        <f t="shared" si="20"/>
        <v>4130126</v>
      </c>
      <c r="B1286" s="213" t="s">
        <v>2146</v>
      </c>
      <c r="C1286" s="213" t="s">
        <v>2147</v>
      </c>
    </row>
    <row r="1287" spans="1:3" x14ac:dyDescent="0.25">
      <c r="A1287" s="211">
        <f t="shared" si="20"/>
        <v>4130127</v>
      </c>
      <c r="B1287" s="213" t="s">
        <v>2148</v>
      </c>
      <c r="C1287" s="213" t="s">
        <v>2149</v>
      </c>
    </row>
    <row r="1288" spans="1:3" x14ac:dyDescent="0.25">
      <c r="A1288" s="211">
        <f t="shared" si="20"/>
        <v>4130128</v>
      </c>
      <c r="B1288" s="213" t="s">
        <v>2150</v>
      </c>
      <c r="C1288" s="213" t="s">
        <v>2151</v>
      </c>
    </row>
    <row r="1289" spans="1:3" x14ac:dyDescent="0.25">
      <c r="A1289" s="211">
        <f t="shared" si="20"/>
        <v>4130150</v>
      </c>
      <c r="B1289" s="213" t="s">
        <v>2152</v>
      </c>
      <c r="C1289" s="213" t="s">
        <v>2153</v>
      </c>
    </row>
    <row r="1290" spans="1:3" x14ac:dyDescent="0.25">
      <c r="A1290" s="211">
        <f t="shared" si="20"/>
        <v>4130151</v>
      </c>
      <c r="B1290" s="213" t="s">
        <v>2154</v>
      </c>
      <c r="C1290" s="213" t="s">
        <v>2155</v>
      </c>
    </row>
    <row r="1291" spans="1:3" x14ac:dyDescent="0.25">
      <c r="A1291" s="211">
        <f t="shared" si="20"/>
        <v>4130152</v>
      </c>
      <c r="B1291" s="213" t="s">
        <v>2156</v>
      </c>
      <c r="C1291" s="213" t="s">
        <v>2157</v>
      </c>
    </row>
    <row r="1292" spans="1:3" x14ac:dyDescent="0.25">
      <c r="A1292" s="211">
        <f t="shared" si="20"/>
        <v>4130234</v>
      </c>
      <c r="B1292" s="213" t="s">
        <v>2158</v>
      </c>
      <c r="C1292" s="213" t="s">
        <v>2159</v>
      </c>
    </row>
    <row r="1293" spans="1:3" x14ac:dyDescent="0.25">
      <c r="A1293" s="211">
        <f t="shared" si="20"/>
        <v>4130771</v>
      </c>
      <c r="B1293" s="213" t="s">
        <v>2160</v>
      </c>
      <c r="C1293" s="213" t="s">
        <v>2161</v>
      </c>
    </row>
    <row r="1294" spans="1:3" x14ac:dyDescent="0.25">
      <c r="A1294" s="211">
        <f t="shared" si="20"/>
        <v>4130776</v>
      </c>
      <c r="B1294" s="213" t="s">
        <v>2162</v>
      </c>
      <c r="C1294" s="213" t="s">
        <v>2163</v>
      </c>
    </row>
    <row r="1295" spans="1:3" x14ac:dyDescent="0.25">
      <c r="A1295" s="211">
        <f t="shared" si="20"/>
        <v>4130777</v>
      </c>
      <c r="B1295" s="213" t="s">
        <v>2164</v>
      </c>
      <c r="C1295" s="213" t="s">
        <v>2165</v>
      </c>
    </row>
    <row r="1296" spans="1:3" x14ac:dyDescent="0.25">
      <c r="A1296" s="211">
        <f t="shared" si="20"/>
        <v>4130950</v>
      </c>
      <c r="B1296" s="213" t="s">
        <v>2166</v>
      </c>
      <c r="C1296" s="213" t="s">
        <v>2167</v>
      </c>
    </row>
    <row r="1297" spans="1:3" x14ac:dyDescent="0.25">
      <c r="A1297" s="211">
        <f t="shared" si="20"/>
        <v>4307349</v>
      </c>
      <c r="B1297" s="213" t="s">
        <v>2168</v>
      </c>
      <c r="C1297" s="213" t="s">
        <v>2169</v>
      </c>
    </row>
    <row r="1298" spans="1:3" x14ac:dyDescent="0.25">
      <c r="A1298" s="211">
        <f t="shared" si="20"/>
        <v>4829230</v>
      </c>
      <c r="B1298" s="213" t="s">
        <v>2170</v>
      </c>
      <c r="C1298" s="213" t="s">
        <v>1520</v>
      </c>
    </row>
    <row r="1299" spans="1:3" x14ac:dyDescent="0.25">
      <c r="A1299" s="211" t="str">
        <f t="shared" si="20"/>
        <v/>
      </c>
      <c r="B1299" s="213" t="s">
        <v>13766</v>
      </c>
      <c r="C1299" s="212"/>
    </row>
    <row r="1300" spans="1:3" x14ac:dyDescent="0.25">
      <c r="A1300" s="211">
        <f t="shared" si="20"/>
        <v>5</v>
      </c>
      <c r="B1300" s="213" t="s">
        <v>2171</v>
      </c>
      <c r="C1300" s="213" t="s">
        <v>2172</v>
      </c>
    </row>
    <row r="1301" spans="1:3" x14ac:dyDescent="0.25">
      <c r="A1301" s="211">
        <f t="shared" si="20"/>
        <v>5101001</v>
      </c>
      <c r="B1301" s="213" t="s">
        <v>2173</v>
      </c>
      <c r="C1301" s="213" t="s">
        <v>2174</v>
      </c>
    </row>
    <row r="1302" spans="1:3" x14ac:dyDescent="0.25">
      <c r="A1302" s="211">
        <f t="shared" si="20"/>
        <v>5101002</v>
      </c>
      <c r="B1302" s="213" t="s">
        <v>2175</v>
      </c>
      <c r="C1302" s="213" t="s">
        <v>2176</v>
      </c>
    </row>
    <row r="1303" spans="1:3" x14ac:dyDescent="0.25">
      <c r="A1303" s="211">
        <f t="shared" si="20"/>
        <v>5101003</v>
      </c>
      <c r="B1303" s="213" t="s">
        <v>2177</v>
      </c>
      <c r="C1303" s="213" t="s">
        <v>2178</v>
      </c>
    </row>
    <row r="1304" spans="1:3" x14ac:dyDescent="0.25">
      <c r="A1304" s="211">
        <f t="shared" si="20"/>
        <v>5101004</v>
      </c>
      <c r="B1304" s="213" t="s">
        <v>2179</v>
      </c>
      <c r="C1304" s="213" t="s">
        <v>2180</v>
      </c>
    </row>
    <row r="1305" spans="1:3" x14ac:dyDescent="0.25">
      <c r="A1305" s="211">
        <f t="shared" si="20"/>
        <v>5101005</v>
      </c>
      <c r="B1305" s="213" t="s">
        <v>2181</v>
      </c>
      <c r="C1305" s="213" t="s">
        <v>2182</v>
      </c>
    </row>
    <row r="1306" spans="1:3" x14ac:dyDescent="0.25">
      <c r="A1306" s="211">
        <f t="shared" si="20"/>
        <v>5101006</v>
      </c>
      <c r="B1306" s="213" t="s">
        <v>2183</v>
      </c>
      <c r="C1306" s="213" t="s">
        <v>2184</v>
      </c>
    </row>
    <row r="1307" spans="1:3" x14ac:dyDescent="0.25">
      <c r="A1307" s="211">
        <f t="shared" si="20"/>
        <v>5101007</v>
      </c>
      <c r="B1307" s="213" t="s">
        <v>2185</v>
      </c>
      <c r="C1307" s="213" t="s">
        <v>2186</v>
      </c>
    </row>
    <row r="1308" spans="1:3" x14ac:dyDescent="0.25">
      <c r="A1308" s="211">
        <f t="shared" si="20"/>
        <v>5101008</v>
      </c>
      <c r="B1308" s="213" t="s">
        <v>7512</v>
      </c>
      <c r="C1308" s="213" t="s">
        <v>13310</v>
      </c>
    </row>
    <row r="1309" spans="1:3" x14ac:dyDescent="0.25">
      <c r="A1309" s="211">
        <f t="shared" si="20"/>
        <v>5101009</v>
      </c>
      <c r="B1309" s="213" t="s">
        <v>2187</v>
      </c>
      <c r="C1309" s="213" t="s">
        <v>2188</v>
      </c>
    </row>
    <row r="1310" spans="1:3" x14ac:dyDescent="0.25">
      <c r="A1310" s="211">
        <f t="shared" si="20"/>
        <v>5101010</v>
      </c>
      <c r="B1310" s="213" t="s">
        <v>2189</v>
      </c>
      <c r="C1310" s="213" t="s">
        <v>2190</v>
      </c>
    </row>
    <row r="1311" spans="1:3" x14ac:dyDescent="0.25">
      <c r="A1311" s="211">
        <f t="shared" si="20"/>
        <v>5101011</v>
      </c>
      <c r="B1311" s="213" t="s">
        <v>2191</v>
      </c>
      <c r="C1311" s="213" t="s">
        <v>2192</v>
      </c>
    </row>
    <row r="1312" spans="1:3" x14ac:dyDescent="0.25">
      <c r="A1312" s="211">
        <f t="shared" si="20"/>
        <v>5101012</v>
      </c>
      <c r="B1312" s="213" t="s">
        <v>13311</v>
      </c>
      <c r="C1312" s="213" t="s">
        <v>13312</v>
      </c>
    </row>
    <row r="1313" spans="1:3" x14ac:dyDescent="0.25">
      <c r="A1313" s="211">
        <f t="shared" si="20"/>
        <v>5101013</v>
      </c>
      <c r="B1313" s="213" t="s">
        <v>2193</v>
      </c>
      <c r="C1313" s="213" t="s">
        <v>2194</v>
      </c>
    </row>
    <row r="1314" spans="1:3" x14ac:dyDescent="0.25">
      <c r="A1314" s="211">
        <f t="shared" si="20"/>
        <v>5101014</v>
      </c>
      <c r="B1314" s="213" t="s">
        <v>2195</v>
      </c>
      <c r="C1314" s="213" t="s">
        <v>2196</v>
      </c>
    </row>
    <row r="1315" spans="1:3" x14ac:dyDescent="0.25">
      <c r="A1315" s="211">
        <f t="shared" si="20"/>
        <v>5101015</v>
      </c>
      <c r="B1315" s="213" t="s">
        <v>2197</v>
      </c>
      <c r="C1315" s="213" t="s">
        <v>2198</v>
      </c>
    </row>
    <row r="1316" spans="1:3" x14ac:dyDescent="0.25">
      <c r="A1316" s="211">
        <f t="shared" si="20"/>
        <v>5101016</v>
      </c>
      <c r="B1316" s="213" t="s">
        <v>2199</v>
      </c>
      <c r="C1316" s="213" t="s">
        <v>2200</v>
      </c>
    </row>
    <row r="1317" spans="1:3" x14ac:dyDescent="0.25">
      <c r="A1317" s="211">
        <f t="shared" si="20"/>
        <v>5101017</v>
      </c>
      <c r="B1317" s="213" t="s">
        <v>2201</v>
      </c>
      <c r="C1317" s="213" t="s">
        <v>2202</v>
      </c>
    </row>
    <row r="1318" spans="1:3" x14ac:dyDescent="0.25">
      <c r="A1318" s="211" t="str">
        <f t="shared" si="20"/>
        <v/>
      </c>
      <c r="B1318" s="213" t="s">
        <v>13767</v>
      </c>
      <c r="C1318" s="212"/>
    </row>
    <row r="1319" spans="1:3" x14ac:dyDescent="0.25">
      <c r="A1319" s="211">
        <f t="shared" si="20"/>
        <v>5101018</v>
      </c>
      <c r="B1319" s="213" t="s">
        <v>2203</v>
      </c>
      <c r="C1319" s="213" t="s">
        <v>2204</v>
      </c>
    </row>
    <row r="1320" spans="1:3" x14ac:dyDescent="0.25">
      <c r="A1320" s="211">
        <f t="shared" si="20"/>
        <v>5101021</v>
      </c>
      <c r="B1320" s="213" t="s">
        <v>13445</v>
      </c>
      <c r="C1320" s="213" t="s">
        <v>13446</v>
      </c>
    </row>
    <row r="1321" spans="1:3" x14ac:dyDescent="0.25">
      <c r="A1321" s="211">
        <f t="shared" si="20"/>
        <v>5101022</v>
      </c>
      <c r="B1321" s="213" t="s">
        <v>2205</v>
      </c>
      <c r="C1321" s="213" t="s">
        <v>2206</v>
      </c>
    </row>
    <row r="1322" spans="1:3" x14ac:dyDescent="0.25">
      <c r="A1322" s="211">
        <f t="shared" si="20"/>
        <v>5101026</v>
      </c>
      <c r="B1322" s="213" t="s">
        <v>2207</v>
      </c>
      <c r="C1322" s="213" t="s">
        <v>2208</v>
      </c>
    </row>
    <row r="1323" spans="1:3" x14ac:dyDescent="0.25">
      <c r="A1323" s="211">
        <f t="shared" si="20"/>
        <v>5101027</v>
      </c>
      <c r="B1323" s="213" t="s">
        <v>2209</v>
      </c>
      <c r="C1323" s="213" t="s">
        <v>2210</v>
      </c>
    </row>
    <row r="1324" spans="1:3" x14ac:dyDescent="0.25">
      <c r="A1324" s="211">
        <f t="shared" si="20"/>
        <v>5101028</v>
      </c>
      <c r="B1324" s="213" t="s">
        <v>2211</v>
      </c>
      <c r="C1324" s="213" t="s">
        <v>2212</v>
      </c>
    </row>
    <row r="1325" spans="1:3" x14ac:dyDescent="0.25">
      <c r="A1325" s="211">
        <f t="shared" si="20"/>
        <v>5101029</v>
      </c>
      <c r="B1325" s="213" t="s">
        <v>2213</v>
      </c>
      <c r="C1325" s="213" t="s">
        <v>2214</v>
      </c>
    </row>
    <row r="1326" spans="1:3" x14ac:dyDescent="0.25">
      <c r="A1326" s="211">
        <f t="shared" si="20"/>
        <v>5101030</v>
      </c>
      <c r="B1326" s="213" t="s">
        <v>2215</v>
      </c>
      <c r="C1326" s="213" t="s">
        <v>2216</v>
      </c>
    </row>
    <row r="1327" spans="1:3" x14ac:dyDescent="0.25">
      <c r="A1327" s="211">
        <f t="shared" si="20"/>
        <v>5101031</v>
      </c>
      <c r="B1327" s="213" t="s">
        <v>2217</v>
      </c>
      <c r="C1327" s="213" t="s">
        <v>2218</v>
      </c>
    </row>
    <row r="1328" spans="1:3" x14ac:dyDescent="0.25">
      <c r="A1328" s="211">
        <f t="shared" si="20"/>
        <v>5101032</v>
      </c>
      <c r="B1328" s="213" t="s">
        <v>2219</v>
      </c>
      <c r="C1328" s="213" t="s">
        <v>2220</v>
      </c>
    </row>
    <row r="1329" spans="1:3" x14ac:dyDescent="0.25">
      <c r="A1329" s="211">
        <f t="shared" si="20"/>
        <v>5101033</v>
      </c>
      <c r="B1329" s="213" t="s">
        <v>2221</v>
      </c>
      <c r="C1329" s="213" t="s">
        <v>2222</v>
      </c>
    </row>
    <row r="1330" spans="1:3" x14ac:dyDescent="0.25">
      <c r="A1330" s="211">
        <f t="shared" si="20"/>
        <v>5101034</v>
      </c>
      <c r="B1330" s="213" t="s">
        <v>2223</v>
      </c>
      <c r="C1330" s="213" t="s">
        <v>2224</v>
      </c>
    </row>
    <row r="1331" spans="1:3" x14ac:dyDescent="0.25">
      <c r="A1331" s="211">
        <f t="shared" si="20"/>
        <v>5101035</v>
      </c>
      <c r="B1331" s="213" t="s">
        <v>2225</v>
      </c>
      <c r="C1331" s="213" t="s">
        <v>2226</v>
      </c>
    </row>
    <row r="1332" spans="1:3" x14ac:dyDescent="0.25">
      <c r="A1332" s="211">
        <f t="shared" si="20"/>
        <v>5101036</v>
      </c>
      <c r="B1332" s="213" t="s">
        <v>2227</v>
      </c>
      <c r="C1332" s="213" t="s">
        <v>2228</v>
      </c>
    </row>
    <row r="1333" spans="1:3" x14ac:dyDescent="0.25">
      <c r="A1333" s="211">
        <f t="shared" si="20"/>
        <v>5101037</v>
      </c>
      <c r="B1333" s="213" t="s">
        <v>2229</v>
      </c>
      <c r="C1333" s="213" t="s">
        <v>2230</v>
      </c>
    </row>
    <row r="1334" spans="1:3" x14ac:dyDescent="0.25">
      <c r="A1334" s="211">
        <f t="shared" si="20"/>
        <v>5101038</v>
      </c>
      <c r="B1334" s="213" t="s">
        <v>2231</v>
      </c>
      <c r="C1334" s="213" t="s">
        <v>2232</v>
      </c>
    </row>
    <row r="1335" spans="1:3" x14ac:dyDescent="0.25">
      <c r="A1335" s="211">
        <f t="shared" si="20"/>
        <v>5101040</v>
      </c>
      <c r="B1335" s="213" t="s">
        <v>2233</v>
      </c>
      <c r="C1335" s="213" t="s">
        <v>2234</v>
      </c>
    </row>
    <row r="1336" spans="1:3" x14ac:dyDescent="0.25">
      <c r="A1336" s="211">
        <f t="shared" si="20"/>
        <v>5101041</v>
      </c>
      <c r="B1336" s="213" t="s">
        <v>2235</v>
      </c>
      <c r="C1336" s="213" t="s">
        <v>2236</v>
      </c>
    </row>
    <row r="1337" spans="1:3" x14ac:dyDescent="0.25">
      <c r="A1337" s="211">
        <f t="shared" si="20"/>
        <v>5101042</v>
      </c>
      <c r="B1337" s="213" t="s">
        <v>2237</v>
      </c>
      <c r="C1337" s="213" t="s">
        <v>2238</v>
      </c>
    </row>
    <row r="1338" spans="1:3" x14ac:dyDescent="0.25">
      <c r="A1338" s="211">
        <f t="shared" si="20"/>
        <v>5101044</v>
      </c>
      <c r="B1338" s="213" t="s">
        <v>2239</v>
      </c>
      <c r="C1338" s="213" t="s">
        <v>2240</v>
      </c>
    </row>
    <row r="1339" spans="1:3" x14ac:dyDescent="0.25">
      <c r="A1339" s="211">
        <f t="shared" si="20"/>
        <v>5101046</v>
      </c>
      <c r="B1339" s="213" t="s">
        <v>2241</v>
      </c>
      <c r="C1339" s="213" t="s">
        <v>2242</v>
      </c>
    </row>
    <row r="1340" spans="1:3" x14ac:dyDescent="0.25">
      <c r="A1340" s="211">
        <f t="shared" si="20"/>
        <v>5101047</v>
      </c>
      <c r="B1340" s="213" t="s">
        <v>2243</v>
      </c>
      <c r="C1340" s="213" t="s">
        <v>2244</v>
      </c>
    </row>
    <row r="1341" spans="1:3" x14ac:dyDescent="0.25">
      <c r="A1341" s="211">
        <f t="shared" si="20"/>
        <v>5101048</v>
      </c>
      <c r="B1341" s="213" t="s">
        <v>2245</v>
      </c>
      <c r="C1341" s="213" t="s">
        <v>2246</v>
      </c>
    </row>
    <row r="1342" spans="1:3" x14ac:dyDescent="0.25">
      <c r="A1342" s="211">
        <f t="shared" si="20"/>
        <v>5101049</v>
      </c>
      <c r="B1342" s="213" t="s">
        <v>2247</v>
      </c>
      <c r="C1342" s="213" t="s">
        <v>2248</v>
      </c>
    </row>
    <row r="1343" spans="1:3" x14ac:dyDescent="0.25">
      <c r="A1343" s="211">
        <f t="shared" si="20"/>
        <v>5101050</v>
      </c>
      <c r="B1343" s="213" t="s">
        <v>2249</v>
      </c>
      <c r="C1343" s="213" t="s">
        <v>2250</v>
      </c>
    </row>
    <row r="1344" spans="1:3" x14ac:dyDescent="0.25">
      <c r="A1344" s="211">
        <f t="shared" si="20"/>
        <v>5101051</v>
      </c>
      <c r="B1344" s="213" t="s">
        <v>2251</v>
      </c>
      <c r="C1344" s="213" t="s">
        <v>2252</v>
      </c>
    </row>
    <row r="1345" spans="1:3" x14ac:dyDescent="0.25">
      <c r="A1345" s="211">
        <f t="shared" si="20"/>
        <v>5101052</v>
      </c>
      <c r="B1345" s="213" t="s">
        <v>2253</v>
      </c>
      <c r="C1345" s="213" t="s">
        <v>2254</v>
      </c>
    </row>
    <row r="1346" spans="1:3" x14ac:dyDescent="0.25">
      <c r="A1346" s="211">
        <f t="shared" ref="A1346:A1409" si="21">IFERROR(B1346*1,"")</f>
        <v>5101053</v>
      </c>
      <c r="B1346" s="213" t="s">
        <v>2255</v>
      </c>
      <c r="C1346" s="213" t="s">
        <v>7513</v>
      </c>
    </row>
    <row r="1347" spans="1:3" x14ac:dyDescent="0.25">
      <c r="A1347" s="211">
        <f t="shared" si="21"/>
        <v>5101083</v>
      </c>
      <c r="B1347" s="213" t="s">
        <v>2256</v>
      </c>
      <c r="C1347" s="213" t="s">
        <v>2257</v>
      </c>
    </row>
    <row r="1348" spans="1:3" x14ac:dyDescent="0.25">
      <c r="A1348" s="211">
        <f t="shared" si="21"/>
        <v>5101087</v>
      </c>
      <c r="B1348" s="213" t="s">
        <v>2258</v>
      </c>
      <c r="C1348" s="213" t="s">
        <v>2259</v>
      </c>
    </row>
    <row r="1349" spans="1:3" x14ac:dyDescent="0.25">
      <c r="A1349" s="211">
        <f t="shared" si="21"/>
        <v>5101088</v>
      </c>
      <c r="B1349" s="213" t="s">
        <v>2260</v>
      </c>
      <c r="C1349" s="213" t="s">
        <v>2261</v>
      </c>
    </row>
    <row r="1350" spans="1:3" x14ac:dyDescent="0.25">
      <c r="A1350" s="211">
        <f t="shared" si="21"/>
        <v>5101090</v>
      </c>
      <c r="B1350" s="213" t="s">
        <v>2262</v>
      </c>
      <c r="C1350" s="213" t="s">
        <v>2263</v>
      </c>
    </row>
    <row r="1351" spans="1:3" x14ac:dyDescent="0.25">
      <c r="A1351" s="211">
        <f t="shared" si="21"/>
        <v>5101091</v>
      </c>
      <c r="B1351" s="213" t="s">
        <v>2264</v>
      </c>
      <c r="C1351" s="213" t="s">
        <v>2265</v>
      </c>
    </row>
    <row r="1352" spans="1:3" x14ac:dyDescent="0.25">
      <c r="A1352" s="211">
        <f t="shared" si="21"/>
        <v>5101092</v>
      </c>
      <c r="B1352" s="213" t="s">
        <v>13768</v>
      </c>
      <c r="C1352" s="213" t="s">
        <v>13769</v>
      </c>
    </row>
    <row r="1353" spans="1:3" x14ac:dyDescent="0.25">
      <c r="A1353" s="211">
        <f t="shared" si="21"/>
        <v>5101093</v>
      </c>
      <c r="B1353" s="213" t="s">
        <v>2266</v>
      </c>
      <c r="C1353" s="213" t="s">
        <v>2267</v>
      </c>
    </row>
    <row r="1354" spans="1:3" x14ac:dyDescent="0.25">
      <c r="A1354" s="211">
        <f t="shared" si="21"/>
        <v>5101094</v>
      </c>
      <c r="B1354" s="213" t="s">
        <v>2268</v>
      </c>
      <c r="C1354" s="213" t="s">
        <v>2269</v>
      </c>
    </row>
    <row r="1355" spans="1:3" x14ac:dyDescent="0.25">
      <c r="A1355" s="211">
        <f t="shared" si="21"/>
        <v>5101100</v>
      </c>
      <c r="B1355" s="213" t="s">
        <v>2270</v>
      </c>
      <c r="C1355" s="213" t="s">
        <v>2271</v>
      </c>
    </row>
    <row r="1356" spans="1:3" x14ac:dyDescent="0.25">
      <c r="A1356" s="211">
        <f t="shared" si="21"/>
        <v>5101101</v>
      </c>
      <c r="B1356" s="213" t="s">
        <v>2272</v>
      </c>
      <c r="C1356" s="213" t="s">
        <v>2273</v>
      </c>
    </row>
    <row r="1357" spans="1:3" x14ac:dyDescent="0.25">
      <c r="A1357" s="211">
        <f t="shared" si="21"/>
        <v>5101102</v>
      </c>
      <c r="B1357" s="213" t="s">
        <v>2274</v>
      </c>
      <c r="C1357" s="213" t="s">
        <v>2275</v>
      </c>
    </row>
    <row r="1358" spans="1:3" x14ac:dyDescent="0.25">
      <c r="A1358" s="211">
        <f t="shared" si="21"/>
        <v>5101104</v>
      </c>
      <c r="B1358" s="213" t="s">
        <v>2276</v>
      </c>
      <c r="C1358" s="213" t="s">
        <v>2277</v>
      </c>
    </row>
    <row r="1359" spans="1:3" x14ac:dyDescent="0.25">
      <c r="A1359" s="211">
        <f t="shared" si="21"/>
        <v>5101105</v>
      </c>
      <c r="B1359" s="213" t="s">
        <v>2278</v>
      </c>
      <c r="C1359" s="213" t="s">
        <v>2279</v>
      </c>
    </row>
    <row r="1360" spans="1:3" x14ac:dyDescent="0.25">
      <c r="A1360" s="211">
        <f t="shared" si="21"/>
        <v>5101106</v>
      </c>
      <c r="B1360" s="213" t="s">
        <v>2280</v>
      </c>
      <c r="C1360" s="213" t="s">
        <v>2281</v>
      </c>
    </row>
    <row r="1361" spans="1:3" x14ac:dyDescent="0.25">
      <c r="A1361" s="211">
        <f t="shared" si="21"/>
        <v>5101108</v>
      </c>
      <c r="B1361" s="213" t="s">
        <v>2282</v>
      </c>
      <c r="C1361" s="213" t="s">
        <v>2283</v>
      </c>
    </row>
    <row r="1362" spans="1:3" x14ac:dyDescent="0.25">
      <c r="A1362" s="211">
        <f t="shared" si="21"/>
        <v>5101109</v>
      </c>
      <c r="B1362" s="213" t="s">
        <v>2284</v>
      </c>
      <c r="C1362" s="213" t="s">
        <v>2285</v>
      </c>
    </row>
    <row r="1363" spans="1:3" x14ac:dyDescent="0.25">
      <c r="A1363" s="211">
        <f t="shared" si="21"/>
        <v>5101112</v>
      </c>
      <c r="B1363" s="213" t="s">
        <v>2286</v>
      </c>
      <c r="C1363" s="213" t="s">
        <v>2287</v>
      </c>
    </row>
    <row r="1364" spans="1:3" x14ac:dyDescent="0.25">
      <c r="A1364" s="211">
        <f t="shared" si="21"/>
        <v>5101113</v>
      </c>
      <c r="B1364" s="213" t="s">
        <v>2288</v>
      </c>
      <c r="C1364" s="213" t="s">
        <v>2289</v>
      </c>
    </row>
    <row r="1365" spans="1:3" x14ac:dyDescent="0.25">
      <c r="A1365" s="211">
        <f t="shared" si="21"/>
        <v>5101114</v>
      </c>
      <c r="B1365" s="213" t="s">
        <v>2290</v>
      </c>
      <c r="C1365" s="213" t="s">
        <v>2291</v>
      </c>
    </row>
    <row r="1366" spans="1:3" x14ac:dyDescent="0.25">
      <c r="A1366" s="211">
        <f t="shared" si="21"/>
        <v>5101115</v>
      </c>
      <c r="B1366" s="213" t="s">
        <v>2292</v>
      </c>
      <c r="C1366" s="213" t="s">
        <v>2293</v>
      </c>
    </row>
    <row r="1367" spans="1:3" x14ac:dyDescent="0.25">
      <c r="A1367" s="211">
        <f t="shared" si="21"/>
        <v>5101116</v>
      </c>
      <c r="B1367" s="213" t="s">
        <v>2294</v>
      </c>
      <c r="C1367" s="213" t="s">
        <v>2295</v>
      </c>
    </row>
    <row r="1368" spans="1:3" x14ac:dyDescent="0.25">
      <c r="A1368" s="211">
        <f t="shared" si="21"/>
        <v>5101118</v>
      </c>
      <c r="B1368" s="213" t="s">
        <v>2296</v>
      </c>
      <c r="C1368" s="213" t="s">
        <v>2297</v>
      </c>
    </row>
    <row r="1369" spans="1:3" x14ac:dyDescent="0.25">
      <c r="A1369" s="211">
        <f t="shared" si="21"/>
        <v>5101119</v>
      </c>
      <c r="B1369" s="213" t="s">
        <v>2298</v>
      </c>
      <c r="C1369" s="213" t="s">
        <v>2299</v>
      </c>
    </row>
    <row r="1370" spans="1:3" x14ac:dyDescent="0.25">
      <c r="A1370" s="211">
        <f t="shared" si="21"/>
        <v>5101125</v>
      </c>
      <c r="B1370" s="213" t="s">
        <v>2300</v>
      </c>
      <c r="C1370" s="213" t="s">
        <v>2301</v>
      </c>
    </row>
    <row r="1371" spans="1:3" x14ac:dyDescent="0.25">
      <c r="A1371" s="211">
        <f t="shared" si="21"/>
        <v>5101132</v>
      </c>
      <c r="B1371" s="213" t="s">
        <v>2302</v>
      </c>
      <c r="C1371" s="213" t="s">
        <v>2303</v>
      </c>
    </row>
    <row r="1372" spans="1:3" x14ac:dyDescent="0.25">
      <c r="A1372" s="211">
        <f t="shared" si="21"/>
        <v>5101133</v>
      </c>
      <c r="B1372" s="213" t="s">
        <v>2304</v>
      </c>
      <c r="C1372" s="213" t="s">
        <v>2305</v>
      </c>
    </row>
    <row r="1373" spans="1:3" x14ac:dyDescent="0.25">
      <c r="A1373" s="211">
        <f t="shared" si="21"/>
        <v>5101135</v>
      </c>
      <c r="B1373" s="213" t="s">
        <v>2306</v>
      </c>
      <c r="C1373" s="213" t="s">
        <v>2307</v>
      </c>
    </row>
    <row r="1374" spans="1:3" x14ac:dyDescent="0.25">
      <c r="A1374" s="211">
        <f t="shared" si="21"/>
        <v>5101136</v>
      </c>
      <c r="B1374" s="213" t="s">
        <v>2308</v>
      </c>
      <c r="C1374" s="213" t="s">
        <v>2309</v>
      </c>
    </row>
    <row r="1375" spans="1:3" x14ac:dyDescent="0.25">
      <c r="A1375" s="211">
        <f t="shared" si="21"/>
        <v>5101138</v>
      </c>
      <c r="B1375" s="213" t="s">
        <v>2310</v>
      </c>
      <c r="C1375" s="213" t="s">
        <v>2311</v>
      </c>
    </row>
    <row r="1376" spans="1:3" x14ac:dyDescent="0.25">
      <c r="A1376" s="211">
        <f t="shared" si="21"/>
        <v>5101140</v>
      </c>
      <c r="B1376" s="213" t="s">
        <v>2312</v>
      </c>
      <c r="C1376" s="213" t="s">
        <v>2313</v>
      </c>
    </row>
    <row r="1377" spans="1:3" x14ac:dyDescent="0.25">
      <c r="A1377" s="211">
        <f t="shared" si="21"/>
        <v>5101141</v>
      </c>
      <c r="B1377" s="213" t="s">
        <v>2314</v>
      </c>
      <c r="C1377" s="213" t="s">
        <v>2315</v>
      </c>
    </row>
    <row r="1378" spans="1:3" x14ac:dyDescent="0.25">
      <c r="A1378" s="211">
        <f t="shared" si="21"/>
        <v>5101142</v>
      </c>
      <c r="B1378" s="213" t="s">
        <v>2316</v>
      </c>
      <c r="C1378" s="213" t="s">
        <v>2317</v>
      </c>
    </row>
    <row r="1379" spans="1:3" x14ac:dyDescent="0.25">
      <c r="A1379" s="211">
        <f t="shared" si="21"/>
        <v>5101145</v>
      </c>
      <c r="B1379" s="213" t="s">
        <v>2318</v>
      </c>
      <c r="C1379" s="213" t="s">
        <v>2319</v>
      </c>
    </row>
    <row r="1380" spans="1:3" x14ac:dyDescent="0.25">
      <c r="A1380" s="211">
        <f t="shared" si="21"/>
        <v>5101146</v>
      </c>
      <c r="B1380" s="213" t="s">
        <v>2320</v>
      </c>
      <c r="C1380" s="213" t="s">
        <v>2321</v>
      </c>
    </row>
    <row r="1381" spans="1:3" x14ac:dyDescent="0.25">
      <c r="A1381" s="211">
        <f t="shared" si="21"/>
        <v>5101147</v>
      </c>
      <c r="B1381" s="213" t="s">
        <v>2322</v>
      </c>
      <c r="C1381" s="213" t="s">
        <v>2323</v>
      </c>
    </row>
    <row r="1382" spans="1:3" x14ac:dyDescent="0.25">
      <c r="A1382" s="211">
        <f t="shared" si="21"/>
        <v>5101148</v>
      </c>
      <c r="B1382" s="213" t="s">
        <v>2324</v>
      </c>
      <c r="C1382" s="213" t="s">
        <v>2325</v>
      </c>
    </row>
    <row r="1383" spans="1:3" x14ac:dyDescent="0.25">
      <c r="A1383" s="211">
        <f t="shared" si="21"/>
        <v>5101149</v>
      </c>
      <c r="B1383" s="213" t="s">
        <v>2326</v>
      </c>
      <c r="C1383" s="213" t="s">
        <v>13313</v>
      </c>
    </row>
    <row r="1384" spans="1:3" x14ac:dyDescent="0.25">
      <c r="A1384" s="211">
        <f t="shared" si="21"/>
        <v>5101150</v>
      </c>
      <c r="B1384" s="213" t="s">
        <v>2327</v>
      </c>
      <c r="C1384" s="213" t="s">
        <v>13447</v>
      </c>
    </row>
    <row r="1385" spans="1:3" x14ac:dyDescent="0.25">
      <c r="A1385" s="211">
        <f t="shared" si="21"/>
        <v>5101151</v>
      </c>
      <c r="B1385" s="213" t="s">
        <v>14041</v>
      </c>
      <c r="C1385" s="213" t="s">
        <v>14042</v>
      </c>
    </row>
    <row r="1386" spans="1:3" x14ac:dyDescent="0.25">
      <c r="A1386" s="211">
        <f t="shared" si="21"/>
        <v>5101158</v>
      </c>
      <c r="B1386" s="213" t="s">
        <v>2328</v>
      </c>
      <c r="C1386" s="213" t="s">
        <v>2329</v>
      </c>
    </row>
    <row r="1387" spans="1:3" x14ac:dyDescent="0.25">
      <c r="A1387" s="211">
        <f t="shared" si="21"/>
        <v>5101159</v>
      </c>
      <c r="B1387" s="213" t="s">
        <v>2330</v>
      </c>
      <c r="C1387" s="213" t="s">
        <v>2331</v>
      </c>
    </row>
    <row r="1388" spans="1:3" x14ac:dyDescent="0.25">
      <c r="A1388" s="211">
        <f t="shared" si="21"/>
        <v>5101165</v>
      </c>
      <c r="B1388" s="213" t="s">
        <v>2332</v>
      </c>
      <c r="C1388" s="213" t="s">
        <v>2333</v>
      </c>
    </row>
    <row r="1389" spans="1:3" x14ac:dyDescent="0.25">
      <c r="A1389" s="211">
        <f t="shared" si="21"/>
        <v>5101166</v>
      </c>
      <c r="B1389" s="213" t="s">
        <v>2334</v>
      </c>
      <c r="C1389" s="213" t="s">
        <v>2335</v>
      </c>
    </row>
    <row r="1390" spans="1:3" x14ac:dyDescent="0.25">
      <c r="A1390" s="211">
        <f t="shared" si="21"/>
        <v>5101170</v>
      </c>
      <c r="B1390" s="213" t="s">
        <v>2336</v>
      </c>
      <c r="C1390" s="213" t="s">
        <v>2337</v>
      </c>
    </row>
    <row r="1391" spans="1:3" x14ac:dyDescent="0.25">
      <c r="A1391" s="211">
        <f t="shared" si="21"/>
        <v>5101171</v>
      </c>
      <c r="B1391" s="213" t="s">
        <v>2338</v>
      </c>
      <c r="C1391" s="213" t="s">
        <v>2339</v>
      </c>
    </row>
    <row r="1392" spans="1:3" x14ac:dyDescent="0.25">
      <c r="A1392" s="211">
        <f t="shared" si="21"/>
        <v>510117100</v>
      </c>
      <c r="B1392" s="213" t="s">
        <v>2340</v>
      </c>
      <c r="C1392" s="213" t="s">
        <v>2341</v>
      </c>
    </row>
    <row r="1393" spans="1:3" x14ac:dyDescent="0.25">
      <c r="A1393" s="211">
        <f t="shared" si="21"/>
        <v>5101172</v>
      </c>
      <c r="B1393" s="213" t="s">
        <v>2342</v>
      </c>
      <c r="C1393" s="213" t="s">
        <v>2343</v>
      </c>
    </row>
    <row r="1394" spans="1:3" x14ac:dyDescent="0.25">
      <c r="A1394" s="211">
        <f t="shared" si="21"/>
        <v>5101185</v>
      </c>
      <c r="B1394" s="213" t="s">
        <v>2344</v>
      </c>
      <c r="C1394" s="213" t="s">
        <v>2345</v>
      </c>
    </row>
    <row r="1395" spans="1:3" x14ac:dyDescent="0.25">
      <c r="A1395" s="211">
        <f t="shared" si="21"/>
        <v>5101186</v>
      </c>
      <c r="B1395" s="213" t="s">
        <v>2346</v>
      </c>
      <c r="C1395" s="213" t="s">
        <v>2347</v>
      </c>
    </row>
    <row r="1396" spans="1:3" x14ac:dyDescent="0.25">
      <c r="A1396" s="211">
        <f t="shared" si="21"/>
        <v>5101187</v>
      </c>
      <c r="B1396" s="213" t="s">
        <v>2348</v>
      </c>
      <c r="C1396" s="213" t="s">
        <v>2349</v>
      </c>
    </row>
    <row r="1397" spans="1:3" x14ac:dyDescent="0.25">
      <c r="A1397" s="211">
        <f t="shared" si="21"/>
        <v>5101188</v>
      </c>
      <c r="B1397" s="213" t="s">
        <v>2350</v>
      </c>
      <c r="C1397" s="213" t="s">
        <v>2351</v>
      </c>
    </row>
    <row r="1398" spans="1:3" x14ac:dyDescent="0.25">
      <c r="A1398" s="211">
        <f t="shared" si="21"/>
        <v>5101189</v>
      </c>
      <c r="B1398" s="213" t="s">
        <v>13448</v>
      </c>
      <c r="C1398" s="213" t="s">
        <v>13449</v>
      </c>
    </row>
    <row r="1399" spans="1:3" x14ac:dyDescent="0.25">
      <c r="A1399" s="211">
        <f t="shared" si="21"/>
        <v>5101190</v>
      </c>
      <c r="B1399" s="213" t="s">
        <v>2352</v>
      </c>
      <c r="C1399" s="213" t="s">
        <v>2353</v>
      </c>
    </row>
    <row r="1400" spans="1:3" x14ac:dyDescent="0.25">
      <c r="A1400" s="211">
        <f t="shared" si="21"/>
        <v>5101191</v>
      </c>
      <c r="B1400" s="213" t="s">
        <v>2354</v>
      </c>
      <c r="C1400" s="213" t="s">
        <v>2355</v>
      </c>
    </row>
    <row r="1401" spans="1:3" x14ac:dyDescent="0.25">
      <c r="A1401" s="211">
        <f t="shared" si="21"/>
        <v>5101192</v>
      </c>
      <c r="B1401" s="213" t="s">
        <v>2356</v>
      </c>
      <c r="C1401" s="213" t="s">
        <v>2357</v>
      </c>
    </row>
    <row r="1402" spans="1:3" x14ac:dyDescent="0.25">
      <c r="A1402" s="211">
        <f t="shared" si="21"/>
        <v>5101193</v>
      </c>
      <c r="B1402" s="213" t="s">
        <v>2358</v>
      </c>
      <c r="C1402" s="213" t="s">
        <v>2359</v>
      </c>
    </row>
    <row r="1403" spans="1:3" x14ac:dyDescent="0.25">
      <c r="A1403" s="211">
        <f t="shared" si="21"/>
        <v>5101195</v>
      </c>
      <c r="B1403" s="213" t="s">
        <v>2360</v>
      </c>
      <c r="C1403" s="213" t="s">
        <v>2361</v>
      </c>
    </row>
    <row r="1404" spans="1:3" x14ac:dyDescent="0.25">
      <c r="A1404" s="211">
        <f t="shared" si="21"/>
        <v>5101196</v>
      </c>
      <c r="B1404" s="213" t="s">
        <v>2362</v>
      </c>
      <c r="C1404" s="213" t="s">
        <v>2363</v>
      </c>
    </row>
    <row r="1405" spans="1:3" x14ac:dyDescent="0.25">
      <c r="A1405" s="211">
        <f t="shared" si="21"/>
        <v>5101200</v>
      </c>
      <c r="B1405" s="213" t="s">
        <v>2364</v>
      </c>
      <c r="C1405" s="213" t="s">
        <v>2365</v>
      </c>
    </row>
    <row r="1406" spans="1:3" x14ac:dyDescent="0.25">
      <c r="A1406" s="211">
        <f t="shared" si="21"/>
        <v>5101201</v>
      </c>
      <c r="B1406" s="213" t="s">
        <v>2366</v>
      </c>
      <c r="C1406" s="213" t="s">
        <v>2367</v>
      </c>
    </row>
    <row r="1407" spans="1:3" x14ac:dyDescent="0.25">
      <c r="A1407" s="211">
        <f t="shared" si="21"/>
        <v>5101202</v>
      </c>
      <c r="B1407" s="213" t="s">
        <v>2368</v>
      </c>
      <c r="C1407" s="213" t="s">
        <v>2369</v>
      </c>
    </row>
    <row r="1408" spans="1:3" x14ac:dyDescent="0.25">
      <c r="A1408" s="211">
        <f t="shared" si="21"/>
        <v>5101203</v>
      </c>
      <c r="B1408" s="213" t="s">
        <v>2370</v>
      </c>
      <c r="C1408" s="213" t="s">
        <v>2371</v>
      </c>
    </row>
    <row r="1409" spans="1:3" x14ac:dyDescent="0.25">
      <c r="A1409" s="211">
        <f t="shared" si="21"/>
        <v>5101204</v>
      </c>
      <c r="B1409" s="213" t="s">
        <v>2372</v>
      </c>
      <c r="C1409" s="213" t="s">
        <v>2373</v>
      </c>
    </row>
    <row r="1410" spans="1:3" x14ac:dyDescent="0.25">
      <c r="A1410" s="211">
        <f t="shared" ref="A1410:A1473" si="22">IFERROR(B1410*1,"")</f>
        <v>5101205</v>
      </c>
      <c r="B1410" s="213" t="s">
        <v>2374</v>
      </c>
      <c r="C1410" s="213" t="s">
        <v>2375</v>
      </c>
    </row>
    <row r="1411" spans="1:3" x14ac:dyDescent="0.25">
      <c r="A1411" s="211">
        <f t="shared" si="22"/>
        <v>5101206</v>
      </c>
      <c r="B1411" s="213" t="s">
        <v>2376</v>
      </c>
      <c r="C1411" s="213" t="s">
        <v>2377</v>
      </c>
    </row>
    <row r="1412" spans="1:3" x14ac:dyDescent="0.25">
      <c r="A1412" s="211">
        <f t="shared" si="22"/>
        <v>5101210</v>
      </c>
      <c r="B1412" s="213" t="s">
        <v>2378</v>
      </c>
      <c r="C1412" s="213" t="s">
        <v>13450</v>
      </c>
    </row>
    <row r="1413" spans="1:3" x14ac:dyDescent="0.25">
      <c r="A1413" s="211">
        <f t="shared" si="22"/>
        <v>5101211</v>
      </c>
      <c r="B1413" s="213" t="s">
        <v>2379</v>
      </c>
      <c r="C1413" s="213" t="s">
        <v>13451</v>
      </c>
    </row>
    <row r="1414" spans="1:3" x14ac:dyDescent="0.25">
      <c r="A1414" s="211">
        <f t="shared" si="22"/>
        <v>5101212</v>
      </c>
      <c r="B1414" s="213" t="s">
        <v>2380</v>
      </c>
      <c r="C1414" s="213" t="s">
        <v>2381</v>
      </c>
    </row>
    <row r="1415" spans="1:3" x14ac:dyDescent="0.25">
      <c r="A1415" s="211">
        <f t="shared" si="22"/>
        <v>5101220</v>
      </c>
      <c r="B1415" s="213" t="s">
        <v>2382</v>
      </c>
      <c r="C1415" s="213" t="s">
        <v>13452</v>
      </c>
    </row>
    <row r="1416" spans="1:3" x14ac:dyDescent="0.25">
      <c r="A1416" s="211">
        <f t="shared" si="22"/>
        <v>5101221</v>
      </c>
      <c r="B1416" s="213" t="s">
        <v>2383</v>
      </c>
      <c r="C1416" s="213" t="s">
        <v>2384</v>
      </c>
    </row>
    <row r="1417" spans="1:3" x14ac:dyDescent="0.25">
      <c r="A1417" s="211">
        <f t="shared" si="22"/>
        <v>5101223</v>
      </c>
      <c r="B1417" s="213" t="s">
        <v>2385</v>
      </c>
      <c r="C1417" s="213" t="s">
        <v>2386</v>
      </c>
    </row>
    <row r="1418" spans="1:3" x14ac:dyDescent="0.25">
      <c r="A1418" s="211">
        <f t="shared" si="22"/>
        <v>5101230</v>
      </c>
      <c r="B1418" s="213" t="s">
        <v>2387</v>
      </c>
      <c r="C1418" s="213" t="s">
        <v>2388</v>
      </c>
    </row>
    <row r="1419" spans="1:3" x14ac:dyDescent="0.25">
      <c r="A1419" s="211">
        <f t="shared" si="22"/>
        <v>5101231</v>
      </c>
      <c r="B1419" s="213" t="s">
        <v>2389</v>
      </c>
      <c r="C1419" s="213" t="s">
        <v>2390</v>
      </c>
    </row>
    <row r="1420" spans="1:3" x14ac:dyDescent="0.25">
      <c r="A1420" s="211">
        <f t="shared" si="22"/>
        <v>5101234</v>
      </c>
      <c r="B1420" s="213" t="s">
        <v>2391</v>
      </c>
      <c r="C1420" s="213" t="s">
        <v>2392</v>
      </c>
    </row>
    <row r="1421" spans="1:3" x14ac:dyDescent="0.25">
      <c r="A1421" s="211">
        <f t="shared" si="22"/>
        <v>5101235</v>
      </c>
      <c r="B1421" s="213" t="s">
        <v>2393</v>
      </c>
      <c r="C1421" s="213" t="s">
        <v>13453</v>
      </c>
    </row>
    <row r="1422" spans="1:3" x14ac:dyDescent="0.25">
      <c r="A1422" s="211">
        <f t="shared" si="22"/>
        <v>5101239</v>
      </c>
      <c r="B1422" s="213" t="s">
        <v>2394</v>
      </c>
      <c r="C1422" s="213" t="s">
        <v>2395</v>
      </c>
    </row>
    <row r="1423" spans="1:3" x14ac:dyDescent="0.25">
      <c r="A1423" s="211">
        <f t="shared" si="22"/>
        <v>5101240</v>
      </c>
      <c r="B1423" s="213" t="s">
        <v>2396</v>
      </c>
      <c r="C1423" s="213" t="s">
        <v>2397</v>
      </c>
    </row>
    <row r="1424" spans="1:3" x14ac:dyDescent="0.25">
      <c r="A1424" s="211">
        <f t="shared" si="22"/>
        <v>5101241</v>
      </c>
      <c r="B1424" s="213" t="s">
        <v>2398</v>
      </c>
      <c r="C1424" s="213" t="s">
        <v>2399</v>
      </c>
    </row>
    <row r="1425" spans="1:3" x14ac:dyDescent="0.25">
      <c r="A1425" s="211">
        <f t="shared" si="22"/>
        <v>5101252</v>
      </c>
      <c r="B1425" s="213" t="s">
        <v>2400</v>
      </c>
      <c r="C1425" s="213" t="s">
        <v>2401</v>
      </c>
    </row>
    <row r="1426" spans="1:3" x14ac:dyDescent="0.25">
      <c r="A1426" s="211">
        <f t="shared" si="22"/>
        <v>5101300</v>
      </c>
      <c r="B1426" s="213" t="s">
        <v>2402</v>
      </c>
      <c r="C1426" s="213" t="s">
        <v>2403</v>
      </c>
    </row>
    <row r="1427" spans="1:3" x14ac:dyDescent="0.25">
      <c r="A1427" s="211">
        <f t="shared" si="22"/>
        <v>5101301</v>
      </c>
      <c r="B1427" s="213" t="s">
        <v>2404</v>
      </c>
      <c r="C1427" s="213" t="s">
        <v>2405</v>
      </c>
    </row>
    <row r="1428" spans="1:3" x14ac:dyDescent="0.25">
      <c r="A1428" s="211">
        <f t="shared" si="22"/>
        <v>5101310</v>
      </c>
      <c r="B1428" s="213" t="s">
        <v>2406</v>
      </c>
      <c r="C1428" s="213" t="s">
        <v>13454</v>
      </c>
    </row>
    <row r="1429" spans="1:3" x14ac:dyDescent="0.25">
      <c r="A1429" s="211">
        <f t="shared" si="22"/>
        <v>5101311</v>
      </c>
      <c r="B1429" s="213" t="s">
        <v>2407</v>
      </c>
      <c r="C1429" s="213" t="s">
        <v>2408</v>
      </c>
    </row>
    <row r="1430" spans="1:3" x14ac:dyDescent="0.25">
      <c r="A1430" s="211">
        <f t="shared" si="22"/>
        <v>5101320</v>
      </c>
      <c r="B1430" s="213" t="s">
        <v>2409</v>
      </c>
      <c r="C1430" s="213" t="s">
        <v>2410</v>
      </c>
    </row>
    <row r="1431" spans="1:3" x14ac:dyDescent="0.25">
      <c r="A1431" s="211">
        <f t="shared" si="22"/>
        <v>5101325</v>
      </c>
      <c r="B1431" s="213" t="s">
        <v>2411</v>
      </c>
      <c r="C1431" s="213" t="s">
        <v>2412</v>
      </c>
    </row>
    <row r="1432" spans="1:3" x14ac:dyDescent="0.25">
      <c r="A1432" s="211">
        <f t="shared" si="22"/>
        <v>5101329</v>
      </c>
      <c r="B1432" s="213" t="s">
        <v>2413</v>
      </c>
      <c r="C1432" s="213" t="s">
        <v>2414</v>
      </c>
    </row>
    <row r="1433" spans="1:3" x14ac:dyDescent="0.25">
      <c r="A1433" s="211">
        <f t="shared" si="22"/>
        <v>5101330</v>
      </c>
      <c r="B1433" s="213" t="s">
        <v>2415</v>
      </c>
      <c r="C1433" s="213" t="s">
        <v>2416</v>
      </c>
    </row>
    <row r="1434" spans="1:3" x14ac:dyDescent="0.25">
      <c r="A1434" s="211">
        <f t="shared" si="22"/>
        <v>5101338</v>
      </c>
      <c r="B1434" s="213" t="s">
        <v>2417</v>
      </c>
      <c r="C1434" s="213" t="s">
        <v>2418</v>
      </c>
    </row>
    <row r="1435" spans="1:3" x14ac:dyDescent="0.25">
      <c r="A1435" s="211">
        <f t="shared" si="22"/>
        <v>5101340</v>
      </c>
      <c r="B1435" s="213" t="s">
        <v>2419</v>
      </c>
      <c r="C1435" s="213" t="s">
        <v>13455</v>
      </c>
    </row>
    <row r="1436" spans="1:3" x14ac:dyDescent="0.25">
      <c r="A1436" s="211">
        <f t="shared" si="22"/>
        <v>5101341</v>
      </c>
      <c r="B1436" s="213" t="s">
        <v>2420</v>
      </c>
      <c r="C1436" s="213" t="s">
        <v>2421</v>
      </c>
    </row>
    <row r="1437" spans="1:3" x14ac:dyDescent="0.25">
      <c r="A1437" s="211">
        <f t="shared" si="22"/>
        <v>5101342</v>
      </c>
      <c r="B1437" s="213" t="s">
        <v>2422</v>
      </c>
      <c r="C1437" s="213" t="s">
        <v>2423</v>
      </c>
    </row>
    <row r="1438" spans="1:3" x14ac:dyDescent="0.25">
      <c r="A1438" s="211">
        <f t="shared" si="22"/>
        <v>5101350</v>
      </c>
      <c r="B1438" s="213" t="s">
        <v>2424</v>
      </c>
      <c r="C1438" s="213" t="s">
        <v>2425</v>
      </c>
    </row>
    <row r="1439" spans="1:3" x14ac:dyDescent="0.25">
      <c r="A1439" s="211">
        <f t="shared" si="22"/>
        <v>5101370</v>
      </c>
      <c r="B1439" s="213" t="s">
        <v>2426</v>
      </c>
      <c r="C1439" s="213" t="s">
        <v>2427</v>
      </c>
    </row>
    <row r="1440" spans="1:3" x14ac:dyDescent="0.25">
      <c r="A1440" s="211">
        <f t="shared" si="22"/>
        <v>5101380</v>
      </c>
      <c r="B1440" s="213" t="s">
        <v>2428</v>
      </c>
      <c r="C1440" s="213" t="s">
        <v>2429</v>
      </c>
    </row>
    <row r="1441" spans="1:3" x14ac:dyDescent="0.25">
      <c r="A1441" s="211">
        <f t="shared" si="22"/>
        <v>5101381</v>
      </c>
      <c r="B1441" s="213" t="s">
        <v>2430</v>
      </c>
      <c r="C1441" s="213" t="s">
        <v>2431</v>
      </c>
    </row>
    <row r="1442" spans="1:3" x14ac:dyDescent="0.25">
      <c r="A1442" s="211">
        <f t="shared" si="22"/>
        <v>5101382</v>
      </c>
      <c r="B1442" s="213" t="s">
        <v>2432</v>
      </c>
      <c r="C1442" s="213" t="s">
        <v>2433</v>
      </c>
    </row>
    <row r="1443" spans="1:3" x14ac:dyDescent="0.25">
      <c r="A1443" s="211">
        <f t="shared" si="22"/>
        <v>5101390</v>
      </c>
      <c r="B1443" s="213" t="s">
        <v>2434</v>
      </c>
      <c r="C1443" s="213" t="s">
        <v>13456</v>
      </c>
    </row>
    <row r="1444" spans="1:3" x14ac:dyDescent="0.25">
      <c r="A1444" s="211">
        <f t="shared" si="22"/>
        <v>5101391</v>
      </c>
      <c r="B1444" s="213" t="s">
        <v>2435</v>
      </c>
      <c r="C1444" s="213" t="s">
        <v>13457</v>
      </c>
    </row>
    <row r="1445" spans="1:3" x14ac:dyDescent="0.25">
      <c r="A1445" s="211">
        <f t="shared" si="22"/>
        <v>5101392</v>
      </c>
      <c r="B1445" s="213" t="s">
        <v>2436</v>
      </c>
      <c r="C1445" s="213" t="s">
        <v>2437</v>
      </c>
    </row>
    <row r="1446" spans="1:3" x14ac:dyDescent="0.25">
      <c r="A1446" s="211">
        <f t="shared" si="22"/>
        <v>5101400</v>
      </c>
      <c r="B1446" s="213" t="s">
        <v>14043</v>
      </c>
      <c r="C1446" s="213" t="s">
        <v>14044</v>
      </c>
    </row>
    <row r="1447" spans="1:3" x14ac:dyDescent="0.25">
      <c r="A1447" s="211">
        <f t="shared" si="22"/>
        <v>5101410</v>
      </c>
      <c r="B1447" s="213" t="s">
        <v>2438</v>
      </c>
      <c r="C1447" s="213" t="s">
        <v>2439</v>
      </c>
    </row>
    <row r="1448" spans="1:3" x14ac:dyDescent="0.25">
      <c r="A1448" s="211">
        <f t="shared" si="22"/>
        <v>5101411</v>
      </c>
      <c r="B1448" s="213" t="s">
        <v>2440</v>
      </c>
      <c r="C1448" s="213" t="s">
        <v>2441</v>
      </c>
    </row>
    <row r="1449" spans="1:3" x14ac:dyDescent="0.25">
      <c r="A1449" s="211">
        <f t="shared" si="22"/>
        <v>5101437</v>
      </c>
      <c r="B1449" s="213" t="s">
        <v>2442</v>
      </c>
      <c r="C1449" s="213" t="s">
        <v>2443</v>
      </c>
    </row>
    <row r="1450" spans="1:3" x14ac:dyDescent="0.25">
      <c r="A1450" s="211">
        <f t="shared" si="22"/>
        <v>5101438</v>
      </c>
      <c r="B1450" s="213" t="s">
        <v>2444</v>
      </c>
      <c r="C1450" s="213" t="s">
        <v>2445</v>
      </c>
    </row>
    <row r="1451" spans="1:3" x14ac:dyDescent="0.25">
      <c r="A1451" s="211">
        <f t="shared" si="22"/>
        <v>5101439</v>
      </c>
      <c r="B1451" s="213" t="s">
        <v>2446</v>
      </c>
      <c r="C1451" s="213" t="s">
        <v>2447</v>
      </c>
    </row>
    <row r="1452" spans="1:3" x14ac:dyDescent="0.25">
      <c r="A1452" s="211">
        <f t="shared" si="22"/>
        <v>5101440</v>
      </c>
      <c r="B1452" s="213" t="s">
        <v>2448</v>
      </c>
      <c r="C1452" s="213" t="s">
        <v>2449</v>
      </c>
    </row>
    <row r="1453" spans="1:3" x14ac:dyDescent="0.25">
      <c r="A1453" s="211">
        <f t="shared" si="22"/>
        <v>5101443</v>
      </c>
      <c r="B1453" s="213" t="s">
        <v>2450</v>
      </c>
      <c r="C1453" s="213" t="s">
        <v>2451</v>
      </c>
    </row>
    <row r="1454" spans="1:3" x14ac:dyDescent="0.25">
      <c r="A1454" s="211">
        <f t="shared" si="22"/>
        <v>5101445</v>
      </c>
      <c r="B1454" s="213" t="s">
        <v>2452</v>
      </c>
      <c r="C1454" s="213" t="s">
        <v>13458</v>
      </c>
    </row>
    <row r="1455" spans="1:3" x14ac:dyDescent="0.25">
      <c r="A1455" s="211">
        <f t="shared" si="22"/>
        <v>5101446</v>
      </c>
      <c r="B1455" s="213" t="s">
        <v>2453</v>
      </c>
      <c r="C1455" s="213" t="s">
        <v>2454</v>
      </c>
    </row>
    <row r="1456" spans="1:3" x14ac:dyDescent="0.25">
      <c r="A1456" s="211">
        <f t="shared" si="22"/>
        <v>5101447</v>
      </c>
      <c r="B1456" s="213" t="s">
        <v>2455</v>
      </c>
      <c r="C1456" s="213" t="s">
        <v>2456</v>
      </c>
    </row>
    <row r="1457" spans="1:3" x14ac:dyDescent="0.25">
      <c r="A1457" s="211">
        <f t="shared" si="22"/>
        <v>5101448</v>
      </c>
      <c r="B1457" s="213" t="s">
        <v>2457</v>
      </c>
      <c r="C1457" s="213" t="s">
        <v>2458</v>
      </c>
    </row>
    <row r="1458" spans="1:3" x14ac:dyDescent="0.25">
      <c r="A1458" s="211">
        <f t="shared" si="22"/>
        <v>5101456</v>
      </c>
      <c r="B1458" s="213" t="s">
        <v>2459</v>
      </c>
      <c r="C1458" s="213" t="s">
        <v>2460</v>
      </c>
    </row>
    <row r="1459" spans="1:3" x14ac:dyDescent="0.25">
      <c r="A1459" s="211">
        <f t="shared" si="22"/>
        <v>5101457</v>
      </c>
      <c r="B1459" s="213" t="s">
        <v>2461</v>
      </c>
      <c r="C1459" s="213" t="s">
        <v>2462</v>
      </c>
    </row>
    <row r="1460" spans="1:3" x14ac:dyDescent="0.25">
      <c r="A1460" s="211">
        <f t="shared" si="22"/>
        <v>5101458</v>
      </c>
      <c r="B1460" s="213" t="s">
        <v>2463</v>
      </c>
      <c r="C1460" s="213" t="s">
        <v>2464</v>
      </c>
    </row>
    <row r="1461" spans="1:3" x14ac:dyDescent="0.25">
      <c r="A1461" s="211">
        <f t="shared" si="22"/>
        <v>5101495</v>
      </c>
      <c r="B1461" s="213" t="s">
        <v>2465</v>
      </c>
      <c r="C1461" s="213" t="s">
        <v>2466</v>
      </c>
    </row>
    <row r="1462" spans="1:3" x14ac:dyDescent="0.25">
      <c r="A1462" s="211">
        <f t="shared" si="22"/>
        <v>5101496</v>
      </c>
      <c r="B1462" s="213" t="s">
        <v>2467</v>
      </c>
      <c r="C1462" s="213" t="s">
        <v>2468</v>
      </c>
    </row>
    <row r="1463" spans="1:3" x14ac:dyDescent="0.25">
      <c r="A1463" s="211">
        <f t="shared" si="22"/>
        <v>5101500</v>
      </c>
      <c r="B1463" s="213" t="s">
        <v>2469</v>
      </c>
      <c r="C1463" s="213" t="s">
        <v>2470</v>
      </c>
    </row>
    <row r="1464" spans="1:3" x14ac:dyDescent="0.25">
      <c r="A1464" s="211">
        <f t="shared" si="22"/>
        <v>5101501</v>
      </c>
      <c r="B1464" s="213" t="s">
        <v>2471</v>
      </c>
      <c r="C1464" s="213" t="s">
        <v>2472</v>
      </c>
    </row>
    <row r="1465" spans="1:3" x14ac:dyDescent="0.25">
      <c r="A1465" s="211">
        <f t="shared" si="22"/>
        <v>5101502</v>
      </c>
      <c r="B1465" s="213" t="s">
        <v>2473</v>
      </c>
      <c r="C1465" s="213" t="s">
        <v>2474</v>
      </c>
    </row>
    <row r="1466" spans="1:3" x14ac:dyDescent="0.25">
      <c r="A1466" s="211">
        <f t="shared" si="22"/>
        <v>5101503</v>
      </c>
      <c r="B1466" s="213" t="s">
        <v>2475</v>
      </c>
      <c r="C1466" s="213" t="s">
        <v>2476</v>
      </c>
    </row>
    <row r="1467" spans="1:3" x14ac:dyDescent="0.25">
      <c r="A1467" s="211">
        <f t="shared" si="22"/>
        <v>5101504</v>
      </c>
      <c r="B1467" s="213" t="s">
        <v>2477</v>
      </c>
      <c r="C1467" s="213" t="s">
        <v>2478</v>
      </c>
    </row>
    <row r="1468" spans="1:3" x14ac:dyDescent="0.25">
      <c r="A1468" s="211">
        <f t="shared" si="22"/>
        <v>5101505</v>
      </c>
      <c r="B1468" s="213" t="s">
        <v>2479</v>
      </c>
      <c r="C1468" s="213" t="s">
        <v>2480</v>
      </c>
    </row>
    <row r="1469" spans="1:3" x14ac:dyDescent="0.25">
      <c r="A1469" s="211">
        <f t="shared" si="22"/>
        <v>5101506</v>
      </c>
      <c r="B1469" s="213" t="s">
        <v>2481</v>
      </c>
      <c r="C1469" s="213" t="s">
        <v>2482</v>
      </c>
    </row>
    <row r="1470" spans="1:3" x14ac:dyDescent="0.25">
      <c r="A1470" s="211">
        <f t="shared" si="22"/>
        <v>5101507</v>
      </c>
      <c r="B1470" s="213" t="s">
        <v>2483</v>
      </c>
      <c r="C1470" s="213" t="s">
        <v>2484</v>
      </c>
    </row>
    <row r="1471" spans="1:3" x14ac:dyDescent="0.25">
      <c r="A1471" s="211">
        <f t="shared" si="22"/>
        <v>5101508</v>
      </c>
      <c r="B1471" s="213" t="s">
        <v>2485</v>
      </c>
      <c r="C1471" s="213" t="s">
        <v>2486</v>
      </c>
    </row>
    <row r="1472" spans="1:3" x14ac:dyDescent="0.25">
      <c r="A1472" s="211">
        <f t="shared" si="22"/>
        <v>5101509</v>
      </c>
      <c r="B1472" s="213" t="s">
        <v>2487</v>
      </c>
      <c r="C1472" s="213" t="s">
        <v>2488</v>
      </c>
    </row>
    <row r="1473" spans="1:3" x14ac:dyDescent="0.25">
      <c r="A1473" s="211">
        <f t="shared" si="22"/>
        <v>5101510</v>
      </c>
      <c r="B1473" s="213" t="s">
        <v>2489</v>
      </c>
      <c r="C1473" s="213" t="s">
        <v>2490</v>
      </c>
    </row>
    <row r="1474" spans="1:3" x14ac:dyDescent="0.25">
      <c r="A1474" s="211">
        <f t="shared" ref="A1474:A1537" si="23">IFERROR(B1474*1,"")</f>
        <v>5101511</v>
      </c>
      <c r="B1474" s="213" t="s">
        <v>2491</v>
      </c>
      <c r="C1474" s="213" t="s">
        <v>2492</v>
      </c>
    </row>
    <row r="1475" spans="1:3" x14ac:dyDescent="0.25">
      <c r="A1475" s="211">
        <f t="shared" si="23"/>
        <v>5101555</v>
      </c>
      <c r="B1475" s="213" t="s">
        <v>2493</v>
      </c>
      <c r="C1475" s="213" t="s">
        <v>7514</v>
      </c>
    </row>
    <row r="1476" spans="1:3" x14ac:dyDescent="0.25">
      <c r="A1476" s="211">
        <f t="shared" si="23"/>
        <v>5101556</v>
      </c>
      <c r="B1476" s="213" t="s">
        <v>2494</v>
      </c>
      <c r="C1476" s="213" t="s">
        <v>7515</v>
      </c>
    </row>
    <row r="1477" spans="1:3" x14ac:dyDescent="0.25">
      <c r="A1477" s="211">
        <f t="shared" si="23"/>
        <v>5101557</v>
      </c>
      <c r="B1477" s="213" t="s">
        <v>2495</v>
      </c>
      <c r="C1477" s="213" t="s">
        <v>2496</v>
      </c>
    </row>
    <row r="1478" spans="1:3" x14ac:dyDescent="0.25">
      <c r="A1478" s="211">
        <f t="shared" si="23"/>
        <v>5101558</v>
      </c>
      <c r="B1478" s="213" t="s">
        <v>2497</v>
      </c>
      <c r="C1478" s="213" t="s">
        <v>2498</v>
      </c>
    </row>
    <row r="1479" spans="1:3" x14ac:dyDescent="0.25">
      <c r="A1479" s="211">
        <f t="shared" si="23"/>
        <v>5101559</v>
      </c>
      <c r="B1479" s="213" t="s">
        <v>2499</v>
      </c>
      <c r="C1479" s="213" t="s">
        <v>7516</v>
      </c>
    </row>
    <row r="1480" spans="1:3" x14ac:dyDescent="0.25">
      <c r="A1480" s="211">
        <f t="shared" si="23"/>
        <v>5101560</v>
      </c>
      <c r="B1480" s="213" t="s">
        <v>2500</v>
      </c>
      <c r="C1480" s="213" t="s">
        <v>7517</v>
      </c>
    </row>
    <row r="1481" spans="1:3" x14ac:dyDescent="0.25">
      <c r="A1481" s="211">
        <f t="shared" si="23"/>
        <v>5101561</v>
      </c>
      <c r="B1481" s="213" t="s">
        <v>2501</v>
      </c>
      <c r="C1481" s="213" t="s">
        <v>7518</v>
      </c>
    </row>
    <row r="1482" spans="1:3" x14ac:dyDescent="0.25">
      <c r="A1482" s="211">
        <f t="shared" si="23"/>
        <v>5101562</v>
      </c>
      <c r="B1482" s="213" t="s">
        <v>2502</v>
      </c>
      <c r="C1482" s="213" t="s">
        <v>2503</v>
      </c>
    </row>
    <row r="1483" spans="1:3" x14ac:dyDescent="0.25">
      <c r="A1483" s="211">
        <f t="shared" si="23"/>
        <v>5101563</v>
      </c>
      <c r="B1483" s="213" t="s">
        <v>2504</v>
      </c>
      <c r="C1483" s="213" t="s">
        <v>2505</v>
      </c>
    </row>
    <row r="1484" spans="1:3" x14ac:dyDescent="0.25">
      <c r="A1484" s="211">
        <f t="shared" si="23"/>
        <v>5101564</v>
      </c>
      <c r="B1484" s="213" t="s">
        <v>2506</v>
      </c>
      <c r="C1484" s="213" t="s">
        <v>2507</v>
      </c>
    </row>
    <row r="1485" spans="1:3" x14ac:dyDescent="0.25">
      <c r="A1485" s="211">
        <f t="shared" si="23"/>
        <v>5101565</v>
      </c>
      <c r="B1485" s="213" t="s">
        <v>2508</v>
      </c>
      <c r="C1485" s="213" t="s">
        <v>2509</v>
      </c>
    </row>
    <row r="1486" spans="1:3" x14ac:dyDescent="0.25">
      <c r="A1486" s="211">
        <f t="shared" si="23"/>
        <v>5101566</v>
      </c>
      <c r="B1486" s="213" t="s">
        <v>2510</v>
      </c>
      <c r="C1486" s="213" t="s">
        <v>2511</v>
      </c>
    </row>
    <row r="1487" spans="1:3" x14ac:dyDescent="0.25">
      <c r="A1487" s="211">
        <f t="shared" si="23"/>
        <v>5101567</v>
      </c>
      <c r="B1487" s="213" t="s">
        <v>2512</v>
      </c>
      <c r="C1487" s="213" t="s">
        <v>2513</v>
      </c>
    </row>
    <row r="1488" spans="1:3" x14ac:dyDescent="0.25">
      <c r="A1488" s="211">
        <f t="shared" si="23"/>
        <v>5101568</v>
      </c>
      <c r="B1488" s="213" t="s">
        <v>2514</v>
      </c>
      <c r="C1488" s="213" t="s">
        <v>2515</v>
      </c>
    </row>
    <row r="1489" spans="1:3" x14ac:dyDescent="0.25">
      <c r="A1489" s="211">
        <f t="shared" si="23"/>
        <v>5101569</v>
      </c>
      <c r="B1489" s="213" t="s">
        <v>2516</v>
      </c>
      <c r="C1489" s="213" t="s">
        <v>2517</v>
      </c>
    </row>
    <row r="1490" spans="1:3" x14ac:dyDescent="0.25">
      <c r="A1490" s="211">
        <f t="shared" si="23"/>
        <v>5101570</v>
      </c>
      <c r="B1490" s="213" t="s">
        <v>2518</v>
      </c>
      <c r="C1490" s="213" t="s">
        <v>2519</v>
      </c>
    </row>
    <row r="1491" spans="1:3" x14ac:dyDescent="0.25">
      <c r="A1491" s="211">
        <f t="shared" si="23"/>
        <v>5101571</v>
      </c>
      <c r="B1491" s="213" t="s">
        <v>13314</v>
      </c>
      <c r="C1491" s="213" t="s">
        <v>13315</v>
      </c>
    </row>
    <row r="1492" spans="1:3" x14ac:dyDescent="0.25">
      <c r="A1492" s="211">
        <f t="shared" si="23"/>
        <v>5101600</v>
      </c>
      <c r="B1492" s="213" t="s">
        <v>2520</v>
      </c>
      <c r="C1492" s="213" t="s">
        <v>2521</v>
      </c>
    </row>
    <row r="1493" spans="1:3" x14ac:dyDescent="0.25">
      <c r="A1493" s="211">
        <f t="shared" si="23"/>
        <v>5101601</v>
      </c>
      <c r="B1493" s="213" t="s">
        <v>2522</v>
      </c>
      <c r="C1493" s="213" t="s">
        <v>14045</v>
      </c>
    </row>
    <row r="1494" spans="1:3" x14ac:dyDescent="0.25">
      <c r="A1494" s="211">
        <f t="shared" si="23"/>
        <v>5101625</v>
      </c>
      <c r="B1494" s="213" t="s">
        <v>2523</v>
      </c>
      <c r="C1494" s="213" t="s">
        <v>2524</v>
      </c>
    </row>
    <row r="1495" spans="1:3" x14ac:dyDescent="0.25">
      <c r="A1495" s="211">
        <f t="shared" si="23"/>
        <v>5101626</v>
      </c>
      <c r="B1495" s="213" t="s">
        <v>2525</v>
      </c>
      <c r="C1495" s="213" t="s">
        <v>2526</v>
      </c>
    </row>
    <row r="1496" spans="1:3" x14ac:dyDescent="0.25">
      <c r="A1496" s="211">
        <f t="shared" si="23"/>
        <v>5101650</v>
      </c>
      <c r="B1496" s="213" t="s">
        <v>13459</v>
      </c>
      <c r="C1496" s="213" t="s">
        <v>13460</v>
      </c>
    </row>
    <row r="1497" spans="1:3" x14ac:dyDescent="0.25">
      <c r="A1497" s="211">
        <f t="shared" si="23"/>
        <v>5101654</v>
      </c>
      <c r="B1497" s="213" t="s">
        <v>2527</v>
      </c>
      <c r="C1497" s="213" t="s">
        <v>2528</v>
      </c>
    </row>
    <row r="1498" spans="1:3" x14ac:dyDescent="0.25">
      <c r="A1498" s="211">
        <f t="shared" si="23"/>
        <v>5101655</v>
      </c>
      <c r="B1498" s="213" t="s">
        <v>2529</v>
      </c>
      <c r="C1498" s="213" t="s">
        <v>2530</v>
      </c>
    </row>
    <row r="1499" spans="1:3" x14ac:dyDescent="0.25">
      <c r="A1499" s="211">
        <f t="shared" si="23"/>
        <v>5101666</v>
      </c>
      <c r="B1499" s="213" t="s">
        <v>2531</v>
      </c>
      <c r="C1499" s="213" t="s">
        <v>2532</v>
      </c>
    </row>
    <row r="1500" spans="1:3" x14ac:dyDescent="0.25">
      <c r="A1500" s="211">
        <f t="shared" si="23"/>
        <v>5101680</v>
      </c>
      <c r="B1500" s="213" t="s">
        <v>2533</v>
      </c>
      <c r="C1500" s="213" t="s">
        <v>2534</v>
      </c>
    </row>
    <row r="1501" spans="1:3" x14ac:dyDescent="0.25">
      <c r="A1501" s="211">
        <f t="shared" si="23"/>
        <v>5101681</v>
      </c>
      <c r="B1501" s="213" t="s">
        <v>2535</v>
      </c>
      <c r="C1501" s="213" t="s">
        <v>2536</v>
      </c>
    </row>
    <row r="1502" spans="1:3" x14ac:dyDescent="0.25">
      <c r="A1502" s="211">
        <f t="shared" si="23"/>
        <v>5101750</v>
      </c>
      <c r="B1502" s="213" t="s">
        <v>2537</v>
      </c>
      <c r="C1502" s="213" t="s">
        <v>2538</v>
      </c>
    </row>
    <row r="1503" spans="1:3" x14ac:dyDescent="0.25">
      <c r="A1503" s="211">
        <f t="shared" si="23"/>
        <v>5101751</v>
      </c>
      <c r="B1503" s="213" t="s">
        <v>7519</v>
      </c>
      <c r="C1503" s="213" t="s">
        <v>7520</v>
      </c>
    </row>
    <row r="1504" spans="1:3" x14ac:dyDescent="0.25">
      <c r="A1504" s="211">
        <f t="shared" si="23"/>
        <v>5101752</v>
      </c>
      <c r="B1504" s="213" t="s">
        <v>7521</v>
      </c>
      <c r="C1504" s="213" t="s">
        <v>7522</v>
      </c>
    </row>
    <row r="1505" spans="1:3" x14ac:dyDescent="0.25">
      <c r="A1505" s="211">
        <f t="shared" si="23"/>
        <v>5101753</v>
      </c>
      <c r="B1505" s="213" t="s">
        <v>2539</v>
      </c>
      <c r="C1505" s="213" t="s">
        <v>2540</v>
      </c>
    </row>
    <row r="1506" spans="1:3" x14ac:dyDescent="0.25">
      <c r="A1506" s="211">
        <f t="shared" si="23"/>
        <v>5101754</v>
      </c>
      <c r="B1506" s="213" t="s">
        <v>2541</v>
      </c>
      <c r="C1506" s="213" t="s">
        <v>2542</v>
      </c>
    </row>
    <row r="1507" spans="1:3" x14ac:dyDescent="0.25">
      <c r="A1507" s="211">
        <f t="shared" si="23"/>
        <v>5101775</v>
      </c>
      <c r="B1507" s="213" t="s">
        <v>13461</v>
      </c>
      <c r="C1507" s="213" t="s">
        <v>13462</v>
      </c>
    </row>
    <row r="1508" spans="1:3" x14ac:dyDescent="0.25">
      <c r="A1508" s="211">
        <f t="shared" si="23"/>
        <v>5101776</v>
      </c>
      <c r="B1508" s="213" t="s">
        <v>13463</v>
      </c>
      <c r="C1508" s="213" t="s">
        <v>13464</v>
      </c>
    </row>
    <row r="1509" spans="1:3" x14ac:dyDescent="0.25">
      <c r="A1509" s="211">
        <f t="shared" si="23"/>
        <v>5101777</v>
      </c>
      <c r="B1509" s="213" t="s">
        <v>2543</v>
      </c>
      <c r="C1509" s="213" t="s">
        <v>2544</v>
      </c>
    </row>
    <row r="1510" spans="1:3" x14ac:dyDescent="0.25">
      <c r="A1510" s="211">
        <f t="shared" si="23"/>
        <v>510177707</v>
      </c>
      <c r="B1510" s="213" t="s">
        <v>2545</v>
      </c>
      <c r="C1510" s="213" t="s">
        <v>2546</v>
      </c>
    </row>
    <row r="1511" spans="1:3" x14ac:dyDescent="0.25">
      <c r="A1511" s="211">
        <f t="shared" si="23"/>
        <v>5101778</v>
      </c>
      <c r="B1511" s="213" t="s">
        <v>2547</v>
      </c>
      <c r="C1511" s="213" t="s">
        <v>2548</v>
      </c>
    </row>
    <row r="1512" spans="1:3" x14ac:dyDescent="0.25">
      <c r="A1512" s="211">
        <f t="shared" si="23"/>
        <v>5101799</v>
      </c>
      <c r="B1512" s="213" t="s">
        <v>2549</v>
      </c>
      <c r="C1512" s="213" t="s">
        <v>2550</v>
      </c>
    </row>
    <row r="1513" spans="1:3" x14ac:dyDescent="0.25">
      <c r="A1513" s="211">
        <f t="shared" si="23"/>
        <v>5101802</v>
      </c>
      <c r="B1513" s="213" t="s">
        <v>2551</v>
      </c>
      <c r="C1513" s="213" t="s">
        <v>2552</v>
      </c>
    </row>
    <row r="1514" spans="1:3" x14ac:dyDescent="0.25">
      <c r="A1514" s="211">
        <f t="shared" si="23"/>
        <v>5101845</v>
      </c>
      <c r="B1514" s="213" t="s">
        <v>2553</v>
      </c>
      <c r="C1514" s="213" t="s">
        <v>2554</v>
      </c>
    </row>
    <row r="1515" spans="1:3" x14ac:dyDescent="0.25">
      <c r="A1515" s="211">
        <f t="shared" si="23"/>
        <v>5101846</v>
      </c>
      <c r="B1515" s="213" t="s">
        <v>2555</v>
      </c>
      <c r="C1515" s="213" t="s">
        <v>2556</v>
      </c>
    </row>
    <row r="1516" spans="1:3" x14ac:dyDescent="0.25">
      <c r="A1516" s="211">
        <f t="shared" si="23"/>
        <v>5101850</v>
      </c>
      <c r="B1516" s="213" t="s">
        <v>2557</v>
      </c>
      <c r="C1516" s="213" t="s">
        <v>2558</v>
      </c>
    </row>
    <row r="1517" spans="1:3" x14ac:dyDescent="0.25">
      <c r="A1517" s="211">
        <f t="shared" si="23"/>
        <v>5101852</v>
      </c>
      <c r="B1517" s="213" t="s">
        <v>2559</v>
      </c>
      <c r="C1517" s="213" t="s">
        <v>2560</v>
      </c>
    </row>
    <row r="1518" spans="1:3" x14ac:dyDescent="0.25">
      <c r="A1518" s="211">
        <f t="shared" si="23"/>
        <v>5101853</v>
      </c>
      <c r="B1518" s="213" t="s">
        <v>2561</v>
      </c>
      <c r="C1518" s="213" t="s">
        <v>2562</v>
      </c>
    </row>
    <row r="1519" spans="1:3" x14ac:dyDescent="0.25">
      <c r="A1519" s="211">
        <f t="shared" si="23"/>
        <v>5101854</v>
      </c>
      <c r="B1519" s="213" t="s">
        <v>13465</v>
      </c>
      <c r="C1519" s="213" t="s">
        <v>13466</v>
      </c>
    </row>
    <row r="1520" spans="1:3" x14ac:dyDescent="0.25">
      <c r="A1520" s="211">
        <f t="shared" si="23"/>
        <v>5101855</v>
      </c>
      <c r="B1520" s="213" t="s">
        <v>2563</v>
      </c>
      <c r="C1520" s="213" t="s">
        <v>2564</v>
      </c>
    </row>
    <row r="1521" spans="1:3" x14ac:dyDescent="0.25">
      <c r="A1521" s="211">
        <f t="shared" si="23"/>
        <v>5101856</v>
      </c>
      <c r="B1521" s="213" t="s">
        <v>2565</v>
      </c>
      <c r="C1521" s="213" t="s">
        <v>2566</v>
      </c>
    </row>
    <row r="1522" spans="1:3" x14ac:dyDescent="0.25">
      <c r="A1522" s="211">
        <f t="shared" si="23"/>
        <v>5101863</v>
      </c>
      <c r="B1522" s="213" t="s">
        <v>2567</v>
      </c>
      <c r="C1522" s="213" t="s">
        <v>2568</v>
      </c>
    </row>
    <row r="1523" spans="1:3" x14ac:dyDescent="0.25">
      <c r="A1523" s="211">
        <f t="shared" si="23"/>
        <v>5101864</v>
      </c>
      <c r="B1523" s="213" t="s">
        <v>2569</v>
      </c>
      <c r="C1523" s="213" t="s">
        <v>2570</v>
      </c>
    </row>
    <row r="1524" spans="1:3" x14ac:dyDescent="0.25">
      <c r="A1524" s="211">
        <f t="shared" si="23"/>
        <v>5101870</v>
      </c>
      <c r="B1524" s="213" t="s">
        <v>2571</v>
      </c>
      <c r="C1524" s="213" t="s">
        <v>2572</v>
      </c>
    </row>
    <row r="1525" spans="1:3" x14ac:dyDescent="0.25">
      <c r="A1525" s="211">
        <f t="shared" si="23"/>
        <v>5101871</v>
      </c>
      <c r="B1525" s="213" t="s">
        <v>2573</v>
      </c>
      <c r="C1525" s="213" t="s">
        <v>2574</v>
      </c>
    </row>
    <row r="1526" spans="1:3" x14ac:dyDescent="0.25">
      <c r="A1526" s="211">
        <f t="shared" si="23"/>
        <v>5101873</v>
      </c>
      <c r="B1526" s="213" t="s">
        <v>2575</v>
      </c>
      <c r="C1526" s="213" t="s">
        <v>2576</v>
      </c>
    </row>
    <row r="1527" spans="1:3" x14ac:dyDescent="0.25">
      <c r="A1527" s="211">
        <f t="shared" si="23"/>
        <v>5101874</v>
      </c>
      <c r="B1527" s="213" t="s">
        <v>2577</v>
      </c>
      <c r="C1527" s="213" t="s">
        <v>2578</v>
      </c>
    </row>
    <row r="1528" spans="1:3" x14ac:dyDescent="0.25">
      <c r="A1528" s="211">
        <f t="shared" si="23"/>
        <v>5101875</v>
      </c>
      <c r="B1528" s="213" t="s">
        <v>2579</v>
      </c>
      <c r="C1528" s="213" t="s">
        <v>2580</v>
      </c>
    </row>
    <row r="1529" spans="1:3" x14ac:dyDescent="0.25">
      <c r="A1529" s="211">
        <f t="shared" si="23"/>
        <v>5101876</v>
      </c>
      <c r="B1529" s="213" t="s">
        <v>2581</v>
      </c>
      <c r="C1529" s="213" t="s">
        <v>2582</v>
      </c>
    </row>
    <row r="1530" spans="1:3" x14ac:dyDescent="0.25">
      <c r="A1530" s="211">
        <f t="shared" si="23"/>
        <v>5101877</v>
      </c>
      <c r="B1530" s="213" t="s">
        <v>2583</v>
      </c>
      <c r="C1530" s="213" t="s">
        <v>2584</v>
      </c>
    </row>
    <row r="1531" spans="1:3" x14ac:dyDescent="0.25">
      <c r="A1531" s="211">
        <f t="shared" si="23"/>
        <v>5101878</v>
      </c>
      <c r="B1531" s="213" t="s">
        <v>2585</v>
      </c>
      <c r="C1531" s="213" t="s">
        <v>2586</v>
      </c>
    </row>
    <row r="1532" spans="1:3" x14ac:dyDescent="0.25">
      <c r="A1532" s="211">
        <f t="shared" si="23"/>
        <v>5101879</v>
      </c>
      <c r="B1532" s="213" t="s">
        <v>2587</v>
      </c>
      <c r="C1532" s="213" t="s">
        <v>2588</v>
      </c>
    </row>
    <row r="1533" spans="1:3" x14ac:dyDescent="0.25">
      <c r="A1533" s="211">
        <f t="shared" si="23"/>
        <v>5101880</v>
      </c>
      <c r="B1533" s="213" t="s">
        <v>2589</v>
      </c>
      <c r="C1533" s="213" t="s">
        <v>2590</v>
      </c>
    </row>
    <row r="1534" spans="1:3" x14ac:dyDescent="0.25">
      <c r="A1534" s="211">
        <f t="shared" si="23"/>
        <v>5101881</v>
      </c>
      <c r="B1534" s="213" t="s">
        <v>2591</v>
      </c>
      <c r="C1534" s="213" t="s">
        <v>2592</v>
      </c>
    </row>
    <row r="1535" spans="1:3" x14ac:dyDescent="0.25">
      <c r="A1535" s="211">
        <f t="shared" si="23"/>
        <v>5101882</v>
      </c>
      <c r="B1535" s="213" t="s">
        <v>2593</v>
      </c>
      <c r="C1535" s="213" t="s">
        <v>2594</v>
      </c>
    </row>
    <row r="1536" spans="1:3" x14ac:dyDescent="0.25">
      <c r="A1536" s="211">
        <f t="shared" si="23"/>
        <v>5101883</v>
      </c>
      <c r="B1536" s="213" t="s">
        <v>2595</v>
      </c>
      <c r="C1536" s="213" t="s">
        <v>2596</v>
      </c>
    </row>
    <row r="1537" spans="1:3" x14ac:dyDescent="0.25">
      <c r="A1537" s="211">
        <f t="shared" si="23"/>
        <v>5101884</v>
      </c>
      <c r="B1537" s="213" t="s">
        <v>2597</v>
      </c>
      <c r="C1537" s="213" t="s">
        <v>2598</v>
      </c>
    </row>
    <row r="1538" spans="1:3" x14ac:dyDescent="0.25">
      <c r="A1538" s="211">
        <f t="shared" ref="A1538:A1601" si="24">IFERROR(B1538*1,"")</f>
        <v>5101885</v>
      </c>
      <c r="B1538" s="213" t="s">
        <v>2599</v>
      </c>
      <c r="C1538" s="213" t="s">
        <v>2600</v>
      </c>
    </row>
    <row r="1539" spans="1:3" x14ac:dyDescent="0.25">
      <c r="A1539" s="211">
        <f t="shared" si="24"/>
        <v>5101886</v>
      </c>
      <c r="B1539" s="213" t="s">
        <v>2601</v>
      </c>
      <c r="C1539" s="213" t="s">
        <v>2602</v>
      </c>
    </row>
    <row r="1540" spans="1:3" x14ac:dyDescent="0.25">
      <c r="A1540" s="211">
        <f t="shared" si="24"/>
        <v>5101887</v>
      </c>
      <c r="B1540" s="213" t="s">
        <v>2603</v>
      </c>
      <c r="C1540" s="213" t="s">
        <v>2604</v>
      </c>
    </row>
    <row r="1541" spans="1:3" x14ac:dyDescent="0.25">
      <c r="A1541" s="211">
        <f t="shared" si="24"/>
        <v>5101888</v>
      </c>
      <c r="B1541" s="213" t="s">
        <v>2605</v>
      </c>
      <c r="C1541" s="213" t="s">
        <v>2606</v>
      </c>
    </row>
    <row r="1542" spans="1:3" x14ac:dyDescent="0.25">
      <c r="A1542" s="211">
        <f t="shared" si="24"/>
        <v>5101889</v>
      </c>
      <c r="B1542" s="213" t="s">
        <v>2607</v>
      </c>
      <c r="C1542" s="213" t="s">
        <v>2608</v>
      </c>
    </row>
    <row r="1543" spans="1:3" x14ac:dyDescent="0.25">
      <c r="A1543" s="211">
        <f t="shared" si="24"/>
        <v>5101900</v>
      </c>
      <c r="B1543" s="213" t="s">
        <v>2609</v>
      </c>
      <c r="C1543" s="213" t="s">
        <v>2610</v>
      </c>
    </row>
    <row r="1544" spans="1:3" x14ac:dyDescent="0.25">
      <c r="A1544" s="211">
        <f t="shared" si="24"/>
        <v>5101901</v>
      </c>
      <c r="B1544" s="213" t="s">
        <v>2611</v>
      </c>
      <c r="C1544" s="213" t="s">
        <v>2612</v>
      </c>
    </row>
    <row r="1545" spans="1:3" x14ac:dyDescent="0.25">
      <c r="A1545" s="211">
        <f t="shared" si="24"/>
        <v>5101902</v>
      </c>
      <c r="B1545" s="213" t="s">
        <v>2613</v>
      </c>
      <c r="C1545" s="213" t="s">
        <v>2614</v>
      </c>
    </row>
    <row r="1546" spans="1:3" x14ac:dyDescent="0.25">
      <c r="A1546" s="211">
        <f t="shared" si="24"/>
        <v>5101903</v>
      </c>
      <c r="B1546" s="213" t="s">
        <v>14046</v>
      </c>
      <c r="C1546" s="213" t="s">
        <v>14047</v>
      </c>
    </row>
    <row r="1547" spans="1:3" x14ac:dyDescent="0.25">
      <c r="A1547" s="211">
        <f t="shared" si="24"/>
        <v>5101906</v>
      </c>
      <c r="B1547" s="213" t="s">
        <v>2615</v>
      </c>
      <c r="C1547" s="213" t="s">
        <v>2616</v>
      </c>
    </row>
    <row r="1548" spans="1:3" x14ac:dyDescent="0.25">
      <c r="A1548" s="211">
        <f t="shared" si="24"/>
        <v>5101907</v>
      </c>
      <c r="B1548" s="213" t="s">
        <v>2617</v>
      </c>
      <c r="C1548" s="213" t="s">
        <v>2618</v>
      </c>
    </row>
    <row r="1549" spans="1:3" x14ac:dyDescent="0.25">
      <c r="A1549" s="211">
        <f t="shared" si="24"/>
        <v>5101911</v>
      </c>
      <c r="B1549" s="213" t="s">
        <v>2619</v>
      </c>
      <c r="C1549" s="213" t="s">
        <v>2620</v>
      </c>
    </row>
    <row r="1550" spans="1:3" x14ac:dyDescent="0.25">
      <c r="A1550" s="211">
        <f t="shared" si="24"/>
        <v>5101912</v>
      </c>
      <c r="B1550" s="213" t="s">
        <v>2621</v>
      </c>
      <c r="C1550" s="213" t="s">
        <v>2622</v>
      </c>
    </row>
    <row r="1551" spans="1:3" x14ac:dyDescent="0.25">
      <c r="A1551" s="211">
        <f t="shared" si="24"/>
        <v>5101913</v>
      </c>
      <c r="B1551" s="213" t="s">
        <v>2623</v>
      </c>
      <c r="C1551" s="213" t="s">
        <v>2624</v>
      </c>
    </row>
    <row r="1552" spans="1:3" x14ac:dyDescent="0.25">
      <c r="A1552" s="211">
        <f t="shared" si="24"/>
        <v>5101914</v>
      </c>
      <c r="B1552" s="213" t="s">
        <v>2625</v>
      </c>
      <c r="C1552" s="213" t="s">
        <v>2626</v>
      </c>
    </row>
    <row r="1553" spans="1:3" x14ac:dyDescent="0.25">
      <c r="A1553" s="211">
        <f t="shared" si="24"/>
        <v>5101915</v>
      </c>
      <c r="B1553" s="213" t="s">
        <v>2627</v>
      </c>
      <c r="C1553" s="213" t="s">
        <v>2628</v>
      </c>
    </row>
    <row r="1554" spans="1:3" x14ac:dyDescent="0.25">
      <c r="A1554" s="211">
        <f t="shared" si="24"/>
        <v>5101916</v>
      </c>
      <c r="B1554" s="213" t="s">
        <v>2629</v>
      </c>
      <c r="C1554" s="213" t="s">
        <v>2630</v>
      </c>
    </row>
    <row r="1555" spans="1:3" x14ac:dyDescent="0.25">
      <c r="A1555" s="211">
        <f t="shared" si="24"/>
        <v>5101917</v>
      </c>
      <c r="B1555" s="213" t="s">
        <v>2631</v>
      </c>
      <c r="C1555" s="213" t="s">
        <v>2632</v>
      </c>
    </row>
    <row r="1556" spans="1:3" x14ac:dyDescent="0.25">
      <c r="A1556" s="211">
        <f t="shared" si="24"/>
        <v>5101918</v>
      </c>
      <c r="B1556" s="213" t="s">
        <v>2633</v>
      </c>
      <c r="C1556" s="213" t="s">
        <v>2634</v>
      </c>
    </row>
    <row r="1557" spans="1:3" x14ac:dyDescent="0.25">
      <c r="A1557" s="211">
        <f t="shared" si="24"/>
        <v>5101919</v>
      </c>
      <c r="B1557" s="213" t="s">
        <v>2635</v>
      </c>
      <c r="C1557" s="213" t="s">
        <v>2636</v>
      </c>
    </row>
    <row r="1558" spans="1:3" x14ac:dyDescent="0.25">
      <c r="A1558" s="211">
        <f t="shared" si="24"/>
        <v>5101920</v>
      </c>
      <c r="B1558" s="213" t="s">
        <v>2637</v>
      </c>
      <c r="C1558" s="213" t="s">
        <v>2638</v>
      </c>
    </row>
    <row r="1559" spans="1:3" x14ac:dyDescent="0.25">
      <c r="A1559" s="211">
        <f t="shared" si="24"/>
        <v>5101921</v>
      </c>
      <c r="B1559" s="213" t="s">
        <v>2639</v>
      </c>
      <c r="C1559" s="213" t="s">
        <v>2640</v>
      </c>
    </row>
    <row r="1560" spans="1:3" x14ac:dyDescent="0.25">
      <c r="A1560" s="211">
        <f t="shared" si="24"/>
        <v>5101922</v>
      </c>
      <c r="B1560" s="213" t="s">
        <v>2641</v>
      </c>
      <c r="C1560" s="213" t="s">
        <v>2642</v>
      </c>
    </row>
    <row r="1561" spans="1:3" x14ac:dyDescent="0.25">
      <c r="A1561" s="211">
        <f t="shared" si="24"/>
        <v>5101923</v>
      </c>
      <c r="B1561" s="213" t="s">
        <v>2643</v>
      </c>
      <c r="C1561" s="213" t="s">
        <v>2644</v>
      </c>
    </row>
    <row r="1562" spans="1:3" x14ac:dyDescent="0.25">
      <c r="A1562" s="211">
        <f t="shared" si="24"/>
        <v>5101924</v>
      </c>
      <c r="B1562" s="213" t="s">
        <v>2645</v>
      </c>
      <c r="C1562" s="213" t="s">
        <v>2646</v>
      </c>
    </row>
    <row r="1563" spans="1:3" x14ac:dyDescent="0.25">
      <c r="A1563" s="211">
        <f t="shared" si="24"/>
        <v>5101925</v>
      </c>
      <c r="B1563" s="213" t="s">
        <v>2647</v>
      </c>
      <c r="C1563" s="213" t="s">
        <v>2648</v>
      </c>
    </row>
    <row r="1564" spans="1:3" x14ac:dyDescent="0.25">
      <c r="A1564" s="211">
        <f t="shared" si="24"/>
        <v>5101929</v>
      </c>
      <c r="B1564" s="213" t="s">
        <v>2649</v>
      </c>
      <c r="C1564" s="213" t="s">
        <v>2650</v>
      </c>
    </row>
    <row r="1565" spans="1:3" x14ac:dyDescent="0.25">
      <c r="A1565" s="211">
        <f t="shared" si="24"/>
        <v>5101951</v>
      </c>
      <c r="B1565" s="213" t="s">
        <v>2651</v>
      </c>
      <c r="C1565" s="213" t="s">
        <v>2652</v>
      </c>
    </row>
    <row r="1566" spans="1:3" x14ac:dyDescent="0.25">
      <c r="A1566" s="211">
        <f t="shared" si="24"/>
        <v>5101952</v>
      </c>
      <c r="B1566" s="213" t="s">
        <v>2653</v>
      </c>
      <c r="C1566" s="213" t="s">
        <v>2654</v>
      </c>
    </row>
    <row r="1567" spans="1:3" x14ac:dyDescent="0.25">
      <c r="A1567" s="211">
        <f t="shared" si="24"/>
        <v>5101954</v>
      </c>
      <c r="B1567" s="213" t="s">
        <v>2655</v>
      </c>
      <c r="C1567" s="213" t="s">
        <v>2656</v>
      </c>
    </row>
    <row r="1568" spans="1:3" x14ac:dyDescent="0.25">
      <c r="A1568" s="211">
        <f t="shared" si="24"/>
        <v>5101955</v>
      </c>
      <c r="B1568" s="213" t="s">
        <v>2657</v>
      </c>
      <c r="C1568" s="213" t="s">
        <v>2658</v>
      </c>
    </row>
    <row r="1569" spans="1:3" x14ac:dyDescent="0.25">
      <c r="A1569" s="211">
        <f t="shared" si="24"/>
        <v>5101969</v>
      </c>
      <c r="B1569" s="213" t="s">
        <v>2659</v>
      </c>
      <c r="C1569" s="213" t="s">
        <v>2660</v>
      </c>
    </row>
    <row r="1570" spans="1:3" x14ac:dyDescent="0.25">
      <c r="A1570" s="211">
        <f t="shared" si="24"/>
        <v>5101979</v>
      </c>
      <c r="B1570" s="213" t="s">
        <v>2661</v>
      </c>
      <c r="C1570" s="213" t="s">
        <v>7523</v>
      </c>
    </row>
    <row r="1571" spans="1:3" x14ac:dyDescent="0.25">
      <c r="A1571" s="211">
        <f t="shared" si="24"/>
        <v>5101980</v>
      </c>
      <c r="B1571" s="213" t="s">
        <v>7524</v>
      </c>
      <c r="C1571" s="213" t="s">
        <v>7525</v>
      </c>
    </row>
    <row r="1572" spans="1:3" x14ac:dyDescent="0.25">
      <c r="A1572" s="211">
        <f t="shared" si="24"/>
        <v>5101985</v>
      </c>
      <c r="B1572" s="213" t="s">
        <v>2662</v>
      </c>
      <c r="C1572" s="213" t="s">
        <v>2663</v>
      </c>
    </row>
    <row r="1573" spans="1:3" x14ac:dyDescent="0.25">
      <c r="A1573" s="211">
        <f t="shared" si="24"/>
        <v>5101986</v>
      </c>
      <c r="B1573" s="213" t="s">
        <v>2664</v>
      </c>
      <c r="C1573" s="213" t="s">
        <v>2665</v>
      </c>
    </row>
    <row r="1574" spans="1:3" x14ac:dyDescent="0.25">
      <c r="A1574" s="211">
        <f t="shared" si="24"/>
        <v>5101987</v>
      </c>
      <c r="B1574" s="213" t="s">
        <v>7526</v>
      </c>
      <c r="C1574" s="213" t="s">
        <v>7527</v>
      </c>
    </row>
    <row r="1575" spans="1:3" x14ac:dyDescent="0.25">
      <c r="A1575" s="211">
        <f t="shared" si="24"/>
        <v>5101989</v>
      </c>
      <c r="B1575" s="213" t="s">
        <v>2666</v>
      </c>
      <c r="C1575" s="213" t="s">
        <v>2667</v>
      </c>
    </row>
    <row r="1576" spans="1:3" x14ac:dyDescent="0.25">
      <c r="A1576" s="211">
        <f t="shared" si="24"/>
        <v>5101990</v>
      </c>
      <c r="B1576" s="213" t="s">
        <v>2668</v>
      </c>
      <c r="C1576" s="213" t="s">
        <v>7528</v>
      </c>
    </row>
    <row r="1577" spans="1:3" x14ac:dyDescent="0.25">
      <c r="A1577" s="211">
        <f t="shared" si="24"/>
        <v>5101998</v>
      </c>
      <c r="B1577" s="213" t="s">
        <v>2669</v>
      </c>
      <c r="C1577" s="213" t="s">
        <v>2670</v>
      </c>
    </row>
    <row r="1578" spans="1:3" x14ac:dyDescent="0.25">
      <c r="A1578" s="211">
        <f t="shared" si="24"/>
        <v>5101999</v>
      </c>
      <c r="B1578" s="213" t="s">
        <v>2671</v>
      </c>
      <c r="C1578" s="213" t="s">
        <v>2672</v>
      </c>
    </row>
    <row r="1579" spans="1:3" x14ac:dyDescent="0.25">
      <c r="A1579" s="211">
        <f t="shared" si="24"/>
        <v>5102000</v>
      </c>
      <c r="B1579" s="213" t="s">
        <v>7529</v>
      </c>
      <c r="C1579" s="213" t="s">
        <v>7530</v>
      </c>
    </row>
    <row r="1580" spans="1:3" x14ac:dyDescent="0.25">
      <c r="A1580" s="211">
        <f t="shared" si="24"/>
        <v>5102001</v>
      </c>
      <c r="B1580" s="213" t="s">
        <v>2673</v>
      </c>
      <c r="C1580" s="213" t="s">
        <v>2674</v>
      </c>
    </row>
    <row r="1581" spans="1:3" x14ac:dyDescent="0.25">
      <c r="A1581" s="211">
        <f t="shared" si="24"/>
        <v>5102247</v>
      </c>
      <c r="B1581" s="213" t="s">
        <v>2675</v>
      </c>
      <c r="C1581" s="213" t="s">
        <v>2676</v>
      </c>
    </row>
    <row r="1582" spans="1:3" x14ac:dyDescent="0.25">
      <c r="A1582" s="211">
        <f t="shared" si="24"/>
        <v>5102248</v>
      </c>
      <c r="B1582" s="213" t="s">
        <v>2677</v>
      </c>
      <c r="C1582" s="213" t="s">
        <v>2678</v>
      </c>
    </row>
    <row r="1583" spans="1:3" x14ac:dyDescent="0.25">
      <c r="A1583" s="211">
        <f t="shared" si="24"/>
        <v>5102249</v>
      </c>
      <c r="B1583" s="213" t="s">
        <v>2679</v>
      </c>
      <c r="C1583" s="213" t="s">
        <v>2680</v>
      </c>
    </row>
    <row r="1584" spans="1:3" x14ac:dyDescent="0.25">
      <c r="A1584" s="211">
        <f t="shared" si="24"/>
        <v>5103444</v>
      </c>
      <c r="B1584" s="213" t="s">
        <v>2681</v>
      </c>
      <c r="C1584" s="213" t="s">
        <v>2682</v>
      </c>
    </row>
    <row r="1585" spans="1:3" x14ac:dyDescent="0.25">
      <c r="A1585" s="211">
        <f t="shared" si="24"/>
        <v>5103555</v>
      </c>
      <c r="B1585" s="213" t="s">
        <v>2683</v>
      </c>
      <c r="C1585" s="213" t="s">
        <v>2684</v>
      </c>
    </row>
    <row r="1586" spans="1:3" x14ac:dyDescent="0.25">
      <c r="A1586" s="211">
        <f t="shared" si="24"/>
        <v>5103777</v>
      </c>
      <c r="B1586" s="213" t="s">
        <v>14048</v>
      </c>
      <c r="C1586" s="213" t="s">
        <v>14049</v>
      </c>
    </row>
    <row r="1587" spans="1:3" x14ac:dyDescent="0.25">
      <c r="A1587" s="211">
        <f t="shared" si="24"/>
        <v>5320000</v>
      </c>
      <c r="B1587" s="213" t="s">
        <v>2685</v>
      </c>
      <c r="C1587" s="213" t="s">
        <v>2686</v>
      </c>
    </row>
    <row r="1588" spans="1:3" x14ac:dyDescent="0.25">
      <c r="A1588" s="211">
        <f t="shared" si="24"/>
        <v>5320027</v>
      </c>
      <c r="B1588" s="213" t="s">
        <v>2687</v>
      </c>
      <c r="C1588" s="213" t="s">
        <v>2688</v>
      </c>
    </row>
    <row r="1589" spans="1:3" x14ac:dyDescent="0.25">
      <c r="A1589" s="211">
        <f t="shared" si="24"/>
        <v>5320151</v>
      </c>
      <c r="B1589" s="213" t="s">
        <v>2689</v>
      </c>
      <c r="C1589" s="213" t="s">
        <v>2690</v>
      </c>
    </row>
    <row r="1590" spans="1:3" x14ac:dyDescent="0.25">
      <c r="A1590" s="211">
        <f t="shared" si="24"/>
        <v>5320152</v>
      </c>
      <c r="B1590" s="213" t="s">
        <v>14050</v>
      </c>
      <c r="C1590" s="213" t="s">
        <v>14051</v>
      </c>
    </row>
    <row r="1591" spans="1:3" x14ac:dyDescent="0.25">
      <c r="A1591" s="211">
        <f t="shared" si="24"/>
        <v>5320787</v>
      </c>
      <c r="B1591" s="213" t="s">
        <v>2691</v>
      </c>
      <c r="C1591" s="213" t="s">
        <v>2692</v>
      </c>
    </row>
    <row r="1592" spans="1:3" x14ac:dyDescent="0.25">
      <c r="A1592" s="211">
        <f t="shared" si="24"/>
        <v>5320788</v>
      </c>
      <c r="B1592" s="213" t="s">
        <v>14052</v>
      </c>
      <c r="C1592" s="213" t="s">
        <v>14053</v>
      </c>
    </row>
    <row r="1593" spans="1:3" x14ac:dyDescent="0.25">
      <c r="A1593" s="211">
        <f t="shared" si="24"/>
        <v>5330000</v>
      </c>
      <c r="B1593" s="213" t="s">
        <v>2693</v>
      </c>
      <c r="C1593" s="213" t="s">
        <v>2694</v>
      </c>
    </row>
    <row r="1594" spans="1:3" x14ac:dyDescent="0.25">
      <c r="A1594" s="211">
        <f t="shared" si="24"/>
        <v>5610102</v>
      </c>
      <c r="B1594" s="213" t="s">
        <v>2695</v>
      </c>
      <c r="C1594" s="213" t="s">
        <v>2696</v>
      </c>
    </row>
    <row r="1595" spans="1:3" x14ac:dyDescent="0.25">
      <c r="A1595" s="211">
        <f t="shared" si="24"/>
        <v>5610201</v>
      </c>
      <c r="B1595" s="213" t="s">
        <v>2697</v>
      </c>
      <c r="C1595" s="213" t="s">
        <v>2698</v>
      </c>
    </row>
    <row r="1596" spans="1:3" x14ac:dyDescent="0.25">
      <c r="A1596" s="211">
        <f t="shared" si="24"/>
        <v>5919025</v>
      </c>
      <c r="B1596" s="213" t="s">
        <v>2699</v>
      </c>
      <c r="C1596" s="213" t="s">
        <v>2700</v>
      </c>
    </row>
    <row r="1597" spans="1:3" x14ac:dyDescent="0.25">
      <c r="A1597" s="211">
        <f t="shared" si="24"/>
        <v>5919026</v>
      </c>
      <c r="B1597" s="213" t="s">
        <v>2701</v>
      </c>
      <c r="C1597" s="213" t="s">
        <v>2702</v>
      </c>
    </row>
    <row r="1598" spans="1:3" x14ac:dyDescent="0.25">
      <c r="A1598" s="211" t="str">
        <f t="shared" si="24"/>
        <v/>
      </c>
      <c r="B1598" s="213" t="s">
        <v>13770</v>
      </c>
      <c r="C1598" s="212"/>
    </row>
    <row r="1599" spans="1:3" x14ac:dyDescent="0.25">
      <c r="A1599" s="211">
        <f t="shared" si="24"/>
        <v>5919165</v>
      </c>
      <c r="B1599" s="213" t="s">
        <v>2703</v>
      </c>
      <c r="C1599" s="213" t="s">
        <v>2704</v>
      </c>
    </row>
    <row r="1600" spans="1:3" x14ac:dyDescent="0.25">
      <c r="A1600" s="211">
        <f t="shared" si="24"/>
        <v>5919222</v>
      </c>
      <c r="B1600" s="213" t="s">
        <v>2705</v>
      </c>
      <c r="C1600" s="213" t="s">
        <v>2706</v>
      </c>
    </row>
    <row r="1601" spans="1:3" x14ac:dyDescent="0.25">
      <c r="A1601" s="211">
        <f t="shared" si="24"/>
        <v>5919223</v>
      </c>
      <c r="B1601" s="213" t="s">
        <v>2707</v>
      </c>
      <c r="C1601" s="213" t="s">
        <v>2708</v>
      </c>
    </row>
    <row r="1602" spans="1:3" x14ac:dyDescent="0.25">
      <c r="A1602" s="211">
        <f t="shared" ref="A1602:A1665" si="25">IFERROR(B1602*1,"")</f>
        <v>5919321</v>
      </c>
      <c r="B1602" s="213" t="s">
        <v>2709</v>
      </c>
      <c r="C1602" s="213" t="s">
        <v>2710</v>
      </c>
    </row>
    <row r="1603" spans="1:3" x14ac:dyDescent="0.25">
      <c r="A1603" s="211">
        <f t="shared" si="25"/>
        <v>5919325</v>
      </c>
      <c r="B1603" s="213" t="s">
        <v>2711</v>
      </c>
      <c r="C1603" s="213" t="s">
        <v>2712</v>
      </c>
    </row>
    <row r="1604" spans="1:3" x14ac:dyDescent="0.25">
      <c r="A1604" s="211">
        <f t="shared" si="25"/>
        <v>6000003</v>
      </c>
      <c r="B1604" s="213" t="s">
        <v>2713</v>
      </c>
      <c r="C1604" s="213" t="s">
        <v>2714</v>
      </c>
    </row>
    <row r="1605" spans="1:3" x14ac:dyDescent="0.25">
      <c r="A1605" s="211">
        <f t="shared" si="25"/>
        <v>6000004</v>
      </c>
      <c r="B1605" s="213" t="s">
        <v>2715</v>
      </c>
      <c r="C1605" s="213" t="s">
        <v>2716</v>
      </c>
    </row>
    <row r="1606" spans="1:3" x14ac:dyDescent="0.25">
      <c r="A1606" s="211">
        <f t="shared" si="25"/>
        <v>6000005</v>
      </c>
      <c r="B1606" s="213" t="s">
        <v>2717</v>
      </c>
      <c r="C1606" s="213" t="s">
        <v>2718</v>
      </c>
    </row>
    <row r="1607" spans="1:3" x14ac:dyDescent="0.25">
      <c r="A1607" s="211">
        <f t="shared" si="25"/>
        <v>6000006</v>
      </c>
      <c r="B1607" s="213" t="s">
        <v>2719</v>
      </c>
      <c r="C1607" s="213" t="s">
        <v>7531</v>
      </c>
    </row>
    <row r="1608" spans="1:3" x14ac:dyDescent="0.25">
      <c r="A1608" s="211">
        <f t="shared" si="25"/>
        <v>6000007</v>
      </c>
      <c r="B1608" s="213" t="s">
        <v>2720</v>
      </c>
      <c r="C1608" s="213" t="s">
        <v>7532</v>
      </c>
    </row>
    <row r="1609" spans="1:3" x14ac:dyDescent="0.25">
      <c r="A1609" s="211">
        <f t="shared" si="25"/>
        <v>6000008</v>
      </c>
      <c r="B1609" s="213" t="s">
        <v>2721</v>
      </c>
      <c r="C1609" s="213" t="s">
        <v>7533</v>
      </c>
    </row>
    <row r="1610" spans="1:3" x14ac:dyDescent="0.25">
      <c r="A1610" s="211">
        <f t="shared" si="25"/>
        <v>6000009</v>
      </c>
      <c r="B1610" s="213" t="s">
        <v>2722</v>
      </c>
      <c r="C1610" s="213" t="s">
        <v>7534</v>
      </c>
    </row>
    <row r="1611" spans="1:3" x14ac:dyDescent="0.25">
      <c r="A1611" s="211">
        <f t="shared" si="25"/>
        <v>6000010</v>
      </c>
      <c r="B1611" s="213" t="s">
        <v>2723</v>
      </c>
      <c r="C1611" s="213" t="s">
        <v>7535</v>
      </c>
    </row>
    <row r="1612" spans="1:3" x14ac:dyDescent="0.25">
      <c r="A1612" s="211">
        <f t="shared" si="25"/>
        <v>6000011</v>
      </c>
      <c r="B1612" s="213" t="s">
        <v>2724</v>
      </c>
      <c r="C1612" s="213" t="s">
        <v>7536</v>
      </c>
    </row>
    <row r="1613" spans="1:3" x14ac:dyDescent="0.25">
      <c r="A1613" s="211">
        <f t="shared" si="25"/>
        <v>6000012</v>
      </c>
      <c r="B1613" s="213" t="s">
        <v>2725</v>
      </c>
      <c r="C1613" s="213" t="s">
        <v>7537</v>
      </c>
    </row>
    <row r="1614" spans="1:3" x14ac:dyDescent="0.25">
      <c r="A1614" s="211">
        <f t="shared" si="25"/>
        <v>6000013</v>
      </c>
      <c r="B1614" s="213" t="s">
        <v>2726</v>
      </c>
      <c r="C1614" s="213" t="s">
        <v>7538</v>
      </c>
    </row>
    <row r="1615" spans="1:3" x14ac:dyDescent="0.25">
      <c r="A1615" s="211">
        <f t="shared" si="25"/>
        <v>6000014</v>
      </c>
      <c r="B1615" s="213" t="s">
        <v>2727</v>
      </c>
      <c r="C1615" s="213" t="s">
        <v>7539</v>
      </c>
    </row>
    <row r="1616" spans="1:3" x14ac:dyDescent="0.25">
      <c r="A1616" s="211">
        <f t="shared" si="25"/>
        <v>6000015</v>
      </c>
      <c r="B1616" s="213" t="s">
        <v>2728</v>
      </c>
      <c r="C1616" s="213" t="s">
        <v>7540</v>
      </c>
    </row>
    <row r="1617" spans="1:3" x14ac:dyDescent="0.25">
      <c r="A1617" s="211">
        <f t="shared" si="25"/>
        <v>6000016</v>
      </c>
      <c r="B1617" s="213" t="s">
        <v>2729</v>
      </c>
      <c r="C1617" s="213" t="s">
        <v>7541</v>
      </c>
    </row>
    <row r="1618" spans="1:3" x14ac:dyDescent="0.25">
      <c r="A1618" s="211">
        <f t="shared" si="25"/>
        <v>6000017</v>
      </c>
      <c r="B1618" s="213" t="s">
        <v>2730</v>
      </c>
      <c r="C1618" s="213" t="s">
        <v>2731</v>
      </c>
    </row>
    <row r="1619" spans="1:3" x14ac:dyDescent="0.25">
      <c r="A1619" s="211">
        <f t="shared" si="25"/>
        <v>6000018</v>
      </c>
      <c r="B1619" s="213" t="s">
        <v>2732</v>
      </c>
      <c r="C1619" s="213" t="s">
        <v>2733</v>
      </c>
    </row>
    <row r="1620" spans="1:3" x14ac:dyDescent="0.25">
      <c r="A1620" s="211">
        <f t="shared" si="25"/>
        <v>6000019</v>
      </c>
      <c r="B1620" s="213" t="s">
        <v>7542</v>
      </c>
      <c r="C1620" s="213" t="s">
        <v>7543</v>
      </c>
    </row>
    <row r="1621" spans="1:3" x14ac:dyDescent="0.25">
      <c r="A1621" s="211">
        <f t="shared" si="25"/>
        <v>6000020</v>
      </c>
      <c r="B1621" s="213" t="s">
        <v>7544</v>
      </c>
      <c r="C1621" s="213" t="s">
        <v>7545</v>
      </c>
    </row>
    <row r="1622" spans="1:3" x14ac:dyDescent="0.25">
      <c r="A1622" s="211">
        <f t="shared" si="25"/>
        <v>6000021</v>
      </c>
      <c r="B1622" s="213" t="s">
        <v>7546</v>
      </c>
      <c r="C1622" s="213" t="s">
        <v>7545</v>
      </c>
    </row>
    <row r="1623" spans="1:3" x14ac:dyDescent="0.25">
      <c r="A1623" s="211">
        <f t="shared" si="25"/>
        <v>6000022</v>
      </c>
      <c r="B1623" s="213" t="s">
        <v>7547</v>
      </c>
      <c r="C1623" s="213" t="s">
        <v>7548</v>
      </c>
    </row>
    <row r="1624" spans="1:3" x14ac:dyDescent="0.25">
      <c r="A1624" s="211">
        <f t="shared" si="25"/>
        <v>6000023</v>
      </c>
      <c r="B1624" s="213" t="s">
        <v>7549</v>
      </c>
      <c r="C1624" s="213" t="s">
        <v>7550</v>
      </c>
    </row>
    <row r="1625" spans="1:3" x14ac:dyDescent="0.25">
      <c r="A1625" s="211">
        <f t="shared" si="25"/>
        <v>6000024</v>
      </c>
      <c r="B1625" s="213" t="s">
        <v>7551</v>
      </c>
      <c r="C1625" s="213" t="s">
        <v>7552</v>
      </c>
    </row>
    <row r="1626" spans="1:3" x14ac:dyDescent="0.25">
      <c r="A1626" s="211">
        <f t="shared" si="25"/>
        <v>6000025</v>
      </c>
      <c r="B1626" s="213" t="s">
        <v>7553</v>
      </c>
      <c r="C1626" s="213" t="s">
        <v>7554</v>
      </c>
    </row>
    <row r="1627" spans="1:3" x14ac:dyDescent="0.25">
      <c r="A1627" s="211">
        <f t="shared" si="25"/>
        <v>6000026</v>
      </c>
      <c r="B1627" s="213" t="s">
        <v>7555</v>
      </c>
      <c r="C1627" s="213" t="s">
        <v>7556</v>
      </c>
    </row>
    <row r="1628" spans="1:3" x14ac:dyDescent="0.25">
      <c r="A1628" s="211">
        <f t="shared" si="25"/>
        <v>6000027</v>
      </c>
      <c r="B1628" s="213" t="s">
        <v>7557</v>
      </c>
      <c r="C1628" s="213" t="s">
        <v>7558</v>
      </c>
    </row>
    <row r="1629" spans="1:3" x14ac:dyDescent="0.25">
      <c r="A1629" s="211">
        <f t="shared" si="25"/>
        <v>6000028</v>
      </c>
      <c r="B1629" s="213" t="s">
        <v>7559</v>
      </c>
      <c r="C1629" s="213" t="s">
        <v>7556</v>
      </c>
    </row>
    <row r="1630" spans="1:3" x14ac:dyDescent="0.25">
      <c r="A1630" s="211">
        <f t="shared" si="25"/>
        <v>6000029</v>
      </c>
      <c r="B1630" s="213" t="s">
        <v>7560</v>
      </c>
      <c r="C1630" s="213" t="s">
        <v>7561</v>
      </c>
    </row>
    <row r="1631" spans="1:3" x14ac:dyDescent="0.25">
      <c r="A1631" s="211">
        <f t="shared" si="25"/>
        <v>6000030</v>
      </c>
      <c r="B1631" s="213" t="s">
        <v>7562</v>
      </c>
      <c r="C1631" s="213" t="s">
        <v>7563</v>
      </c>
    </row>
    <row r="1632" spans="1:3" x14ac:dyDescent="0.25">
      <c r="A1632" s="211">
        <f t="shared" si="25"/>
        <v>6000067</v>
      </c>
      <c r="B1632" s="213" t="s">
        <v>2734</v>
      </c>
      <c r="C1632" s="213" t="s">
        <v>2735</v>
      </c>
    </row>
    <row r="1633" spans="1:3" x14ac:dyDescent="0.25">
      <c r="A1633" s="211">
        <f t="shared" si="25"/>
        <v>6000100</v>
      </c>
      <c r="B1633" s="213" t="s">
        <v>2736</v>
      </c>
      <c r="C1633" s="213" t="s">
        <v>2737</v>
      </c>
    </row>
    <row r="1634" spans="1:3" x14ac:dyDescent="0.25">
      <c r="A1634" s="211">
        <f t="shared" si="25"/>
        <v>6000129</v>
      </c>
      <c r="B1634" s="213" t="s">
        <v>2738</v>
      </c>
      <c r="C1634" s="213" t="s">
        <v>2739</v>
      </c>
    </row>
    <row r="1635" spans="1:3" x14ac:dyDescent="0.25">
      <c r="A1635" s="211">
        <f t="shared" si="25"/>
        <v>6000130</v>
      </c>
      <c r="B1635" s="213" t="s">
        <v>2740</v>
      </c>
      <c r="C1635" s="213" t="s">
        <v>2741</v>
      </c>
    </row>
    <row r="1636" spans="1:3" x14ac:dyDescent="0.25">
      <c r="A1636" s="211">
        <f t="shared" si="25"/>
        <v>6000301</v>
      </c>
      <c r="B1636" s="213" t="s">
        <v>2742</v>
      </c>
      <c r="C1636" s="213" t="s">
        <v>2743</v>
      </c>
    </row>
    <row r="1637" spans="1:3" x14ac:dyDescent="0.25">
      <c r="A1637" s="211">
        <f t="shared" si="25"/>
        <v>6000551</v>
      </c>
      <c r="B1637" s="213" t="s">
        <v>2744</v>
      </c>
      <c r="C1637" s="213" t="s">
        <v>2745</v>
      </c>
    </row>
    <row r="1638" spans="1:3" x14ac:dyDescent="0.25">
      <c r="A1638" s="211">
        <f t="shared" si="25"/>
        <v>6000552</v>
      </c>
      <c r="B1638" s="213" t="s">
        <v>2746</v>
      </c>
      <c r="C1638" s="213" t="s">
        <v>2747</v>
      </c>
    </row>
    <row r="1639" spans="1:3" x14ac:dyDescent="0.25">
      <c r="A1639" s="211">
        <f t="shared" si="25"/>
        <v>6000852</v>
      </c>
      <c r="B1639" s="213" t="s">
        <v>2748</v>
      </c>
      <c r="C1639" s="213" t="s">
        <v>2749</v>
      </c>
    </row>
    <row r="1640" spans="1:3" x14ac:dyDescent="0.25">
      <c r="A1640" s="211">
        <f t="shared" si="25"/>
        <v>6000853</v>
      </c>
      <c r="B1640" s="213" t="s">
        <v>2750</v>
      </c>
      <c r="C1640" s="213" t="s">
        <v>2751</v>
      </c>
    </row>
    <row r="1641" spans="1:3" x14ac:dyDescent="0.25">
      <c r="A1641" s="211">
        <f t="shared" si="25"/>
        <v>6000855</v>
      </c>
      <c r="B1641" s="213" t="s">
        <v>2752</v>
      </c>
      <c r="C1641" s="213" t="s">
        <v>7564</v>
      </c>
    </row>
    <row r="1642" spans="1:3" x14ac:dyDescent="0.25">
      <c r="A1642" s="211">
        <f t="shared" si="25"/>
        <v>6000856</v>
      </c>
      <c r="B1642" s="213" t="s">
        <v>2753</v>
      </c>
      <c r="C1642" s="213" t="s">
        <v>2754</v>
      </c>
    </row>
    <row r="1643" spans="1:3" x14ac:dyDescent="0.25">
      <c r="A1643" s="211">
        <f t="shared" si="25"/>
        <v>6000863</v>
      </c>
      <c r="B1643" s="213" t="s">
        <v>2755</v>
      </c>
      <c r="C1643" s="213" t="s">
        <v>2756</v>
      </c>
    </row>
    <row r="1644" spans="1:3" x14ac:dyDescent="0.25">
      <c r="A1644" s="211">
        <f t="shared" si="25"/>
        <v>6000864</v>
      </c>
      <c r="B1644" s="213" t="s">
        <v>2757</v>
      </c>
      <c r="C1644" s="213" t="s">
        <v>2758</v>
      </c>
    </row>
    <row r="1645" spans="1:3" x14ac:dyDescent="0.25">
      <c r="A1645" s="211">
        <f t="shared" si="25"/>
        <v>6000999</v>
      </c>
      <c r="B1645" s="213" t="s">
        <v>2759</v>
      </c>
      <c r="C1645" s="213" t="s">
        <v>2760</v>
      </c>
    </row>
    <row r="1646" spans="1:3" x14ac:dyDescent="0.25">
      <c r="A1646" s="211">
        <f t="shared" si="25"/>
        <v>6001001</v>
      </c>
      <c r="B1646" s="213" t="s">
        <v>2761</v>
      </c>
      <c r="C1646" s="213" t="s">
        <v>2762</v>
      </c>
    </row>
    <row r="1647" spans="1:3" x14ac:dyDescent="0.25">
      <c r="A1647" s="211">
        <f t="shared" si="25"/>
        <v>6001004</v>
      </c>
      <c r="B1647" s="213" t="s">
        <v>2763</v>
      </c>
      <c r="C1647" s="213" t="s">
        <v>2764</v>
      </c>
    </row>
    <row r="1648" spans="1:3" x14ac:dyDescent="0.25">
      <c r="A1648" s="211">
        <f t="shared" si="25"/>
        <v>6001005</v>
      </c>
      <c r="B1648" s="213" t="s">
        <v>2765</v>
      </c>
      <c r="C1648" s="213" t="s">
        <v>2766</v>
      </c>
    </row>
    <row r="1649" spans="1:3" x14ac:dyDescent="0.25">
      <c r="A1649" s="211">
        <f t="shared" si="25"/>
        <v>6001006</v>
      </c>
      <c r="B1649" s="213" t="s">
        <v>2767</v>
      </c>
      <c r="C1649" s="213" t="s">
        <v>7565</v>
      </c>
    </row>
    <row r="1650" spans="1:3" x14ac:dyDescent="0.25">
      <c r="A1650" s="211">
        <f t="shared" si="25"/>
        <v>6001007</v>
      </c>
      <c r="B1650" s="213" t="s">
        <v>2768</v>
      </c>
      <c r="C1650" s="213" t="s">
        <v>7566</v>
      </c>
    </row>
    <row r="1651" spans="1:3" x14ac:dyDescent="0.25">
      <c r="A1651" s="211">
        <f t="shared" si="25"/>
        <v>6001008</v>
      </c>
      <c r="B1651" s="213" t="s">
        <v>7567</v>
      </c>
      <c r="C1651" s="213" t="s">
        <v>7568</v>
      </c>
    </row>
    <row r="1652" spans="1:3" x14ac:dyDescent="0.25">
      <c r="A1652" s="211">
        <f t="shared" si="25"/>
        <v>6001265</v>
      </c>
      <c r="B1652" s="213" t="s">
        <v>2769</v>
      </c>
      <c r="C1652" s="213" t="s">
        <v>2770</v>
      </c>
    </row>
    <row r="1653" spans="1:3" x14ac:dyDescent="0.25">
      <c r="A1653" s="211">
        <f t="shared" si="25"/>
        <v>6001266</v>
      </c>
      <c r="B1653" s="213" t="s">
        <v>2771</v>
      </c>
      <c r="C1653" s="213" t="s">
        <v>2772</v>
      </c>
    </row>
    <row r="1654" spans="1:3" x14ac:dyDescent="0.25">
      <c r="A1654" s="211">
        <f t="shared" si="25"/>
        <v>6001941</v>
      </c>
      <c r="B1654" s="213" t="s">
        <v>2773</v>
      </c>
      <c r="C1654" s="213" t="s">
        <v>2774</v>
      </c>
    </row>
    <row r="1655" spans="1:3" x14ac:dyDescent="0.25">
      <c r="A1655" s="211">
        <f t="shared" si="25"/>
        <v>6001942</v>
      </c>
      <c r="B1655" s="213" t="s">
        <v>2775</v>
      </c>
      <c r="C1655" s="213" t="s">
        <v>2776</v>
      </c>
    </row>
    <row r="1656" spans="1:3" x14ac:dyDescent="0.25">
      <c r="A1656" s="211">
        <f t="shared" si="25"/>
        <v>6001946</v>
      </c>
      <c r="B1656" s="213" t="s">
        <v>2777</v>
      </c>
      <c r="C1656" s="213" t="s">
        <v>2778</v>
      </c>
    </row>
    <row r="1657" spans="1:3" x14ac:dyDescent="0.25">
      <c r="A1657" s="211">
        <f t="shared" si="25"/>
        <v>6001947</v>
      </c>
      <c r="B1657" s="213" t="s">
        <v>2779</v>
      </c>
      <c r="C1657" s="213" t="s">
        <v>2780</v>
      </c>
    </row>
    <row r="1658" spans="1:3" x14ac:dyDescent="0.25">
      <c r="A1658" s="211">
        <f t="shared" si="25"/>
        <v>6001948</v>
      </c>
      <c r="B1658" s="213" t="s">
        <v>13467</v>
      </c>
      <c r="C1658" s="213" t="s">
        <v>13468</v>
      </c>
    </row>
    <row r="1659" spans="1:3" x14ac:dyDescent="0.25">
      <c r="A1659" s="211">
        <f t="shared" si="25"/>
        <v>6401001</v>
      </c>
      <c r="B1659" s="213" t="s">
        <v>2781</v>
      </c>
      <c r="C1659" s="213" t="s">
        <v>2782</v>
      </c>
    </row>
    <row r="1660" spans="1:3" x14ac:dyDescent="0.25">
      <c r="A1660" s="211">
        <f t="shared" si="25"/>
        <v>6401002</v>
      </c>
      <c r="B1660" s="213" t="s">
        <v>2783</v>
      </c>
      <c r="C1660" s="213" t="s">
        <v>2784</v>
      </c>
    </row>
    <row r="1661" spans="1:3" x14ac:dyDescent="0.25">
      <c r="A1661" s="211">
        <f t="shared" si="25"/>
        <v>6401003</v>
      </c>
      <c r="B1661" s="213" t="s">
        <v>2785</v>
      </c>
      <c r="C1661" s="213" t="s">
        <v>2786</v>
      </c>
    </row>
    <row r="1662" spans="1:3" x14ac:dyDescent="0.25">
      <c r="A1662" s="211">
        <f t="shared" si="25"/>
        <v>6401247</v>
      </c>
      <c r="B1662" s="213" t="s">
        <v>2787</v>
      </c>
      <c r="C1662" s="213" t="s">
        <v>2788</v>
      </c>
    </row>
    <row r="1663" spans="1:3" x14ac:dyDescent="0.25">
      <c r="A1663" s="211">
        <f t="shared" si="25"/>
        <v>6401900</v>
      </c>
      <c r="B1663" s="213" t="s">
        <v>2789</v>
      </c>
      <c r="C1663" s="213" t="s">
        <v>2790</v>
      </c>
    </row>
    <row r="1664" spans="1:3" x14ac:dyDescent="0.25">
      <c r="A1664" s="211">
        <f t="shared" si="25"/>
        <v>6401901</v>
      </c>
      <c r="B1664" s="213" t="s">
        <v>2791</v>
      </c>
      <c r="C1664" s="213" t="s">
        <v>2792</v>
      </c>
    </row>
    <row r="1665" spans="1:3" x14ac:dyDescent="0.25">
      <c r="A1665" s="211">
        <f t="shared" si="25"/>
        <v>6401902</v>
      </c>
      <c r="B1665" s="213" t="s">
        <v>2793</v>
      </c>
      <c r="C1665" s="213" t="s">
        <v>2794</v>
      </c>
    </row>
    <row r="1666" spans="1:3" x14ac:dyDescent="0.25">
      <c r="A1666" s="211">
        <f t="shared" ref="A1666:A1729" si="26">IFERROR(B1666*1,"")</f>
        <v>6402000</v>
      </c>
      <c r="B1666" s="213" t="s">
        <v>2795</v>
      </c>
      <c r="C1666" s="213" t="s">
        <v>2796</v>
      </c>
    </row>
    <row r="1667" spans="1:3" x14ac:dyDescent="0.25">
      <c r="A1667" s="211" t="str">
        <f t="shared" si="26"/>
        <v/>
      </c>
      <c r="B1667" s="213" t="s">
        <v>13771</v>
      </c>
      <c r="C1667" s="212"/>
    </row>
    <row r="1668" spans="1:3" x14ac:dyDescent="0.25">
      <c r="A1668" s="211">
        <f t="shared" si="26"/>
        <v>7203001</v>
      </c>
      <c r="B1668" s="213" t="s">
        <v>2797</v>
      </c>
      <c r="C1668" s="213" t="s">
        <v>2798</v>
      </c>
    </row>
    <row r="1669" spans="1:3" x14ac:dyDescent="0.25">
      <c r="A1669" s="211">
        <f t="shared" si="26"/>
        <v>7203002</v>
      </c>
      <c r="B1669" s="213" t="s">
        <v>2799</v>
      </c>
      <c r="C1669" s="213" t="s">
        <v>2800</v>
      </c>
    </row>
    <row r="1670" spans="1:3" x14ac:dyDescent="0.25">
      <c r="A1670" s="211">
        <f t="shared" si="26"/>
        <v>7700022</v>
      </c>
      <c r="B1670" s="213" t="s">
        <v>2801</v>
      </c>
      <c r="C1670" s="213" t="s">
        <v>2802</v>
      </c>
    </row>
    <row r="1671" spans="1:3" x14ac:dyDescent="0.25">
      <c r="A1671" s="211">
        <f t="shared" si="26"/>
        <v>7700090</v>
      </c>
      <c r="B1671" s="213" t="s">
        <v>2803</v>
      </c>
      <c r="C1671" s="213" t="s">
        <v>2804</v>
      </c>
    </row>
    <row r="1672" spans="1:3" x14ac:dyDescent="0.25">
      <c r="A1672" s="211">
        <f t="shared" si="26"/>
        <v>7700091</v>
      </c>
      <c r="B1672" s="213" t="s">
        <v>2805</v>
      </c>
      <c r="C1672" s="213" t="s">
        <v>2806</v>
      </c>
    </row>
    <row r="1673" spans="1:3" x14ac:dyDescent="0.25">
      <c r="A1673" s="211">
        <f t="shared" si="26"/>
        <v>7700092</v>
      </c>
      <c r="B1673" s="213" t="s">
        <v>2807</v>
      </c>
      <c r="C1673" s="213" t="s">
        <v>2808</v>
      </c>
    </row>
    <row r="1674" spans="1:3" x14ac:dyDescent="0.25">
      <c r="A1674" s="211">
        <f t="shared" si="26"/>
        <v>7700093</v>
      </c>
      <c r="B1674" s="213" t="s">
        <v>2809</v>
      </c>
      <c r="C1674" s="213" t="s">
        <v>2810</v>
      </c>
    </row>
    <row r="1675" spans="1:3" x14ac:dyDescent="0.25">
      <c r="A1675" s="211">
        <f t="shared" si="26"/>
        <v>7700094</v>
      </c>
      <c r="B1675" s="213" t="s">
        <v>2811</v>
      </c>
      <c r="C1675" s="213" t="s">
        <v>2812</v>
      </c>
    </row>
    <row r="1676" spans="1:3" x14ac:dyDescent="0.25">
      <c r="A1676" s="211">
        <f t="shared" si="26"/>
        <v>7700095</v>
      </c>
      <c r="B1676" s="213" t="s">
        <v>2813</v>
      </c>
      <c r="C1676" s="213" t="s">
        <v>2814</v>
      </c>
    </row>
    <row r="1677" spans="1:3" x14ac:dyDescent="0.25">
      <c r="A1677" s="211">
        <f t="shared" si="26"/>
        <v>7700096</v>
      </c>
      <c r="B1677" s="213" t="s">
        <v>2815</v>
      </c>
      <c r="C1677" s="213" t="s">
        <v>2816</v>
      </c>
    </row>
    <row r="1678" spans="1:3" x14ac:dyDescent="0.25">
      <c r="A1678" s="211">
        <f t="shared" si="26"/>
        <v>7700100</v>
      </c>
      <c r="B1678" s="213" t="s">
        <v>2817</v>
      </c>
      <c r="C1678" s="213" t="s">
        <v>2818</v>
      </c>
    </row>
    <row r="1679" spans="1:3" x14ac:dyDescent="0.25">
      <c r="A1679" s="211">
        <f t="shared" si="26"/>
        <v>7700101</v>
      </c>
      <c r="B1679" s="213" t="s">
        <v>2819</v>
      </c>
      <c r="C1679" s="213" t="s">
        <v>2820</v>
      </c>
    </row>
    <row r="1680" spans="1:3" x14ac:dyDescent="0.25">
      <c r="A1680" s="211">
        <f t="shared" si="26"/>
        <v>7700103</v>
      </c>
      <c r="B1680" s="213" t="s">
        <v>2821</v>
      </c>
      <c r="C1680" s="213" t="s">
        <v>2822</v>
      </c>
    </row>
    <row r="1681" spans="1:3" x14ac:dyDescent="0.25">
      <c r="A1681" s="211">
        <f t="shared" si="26"/>
        <v>7700104</v>
      </c>
      <c r="B1681" s="213" t="s">
        <v>2823</v>
      </c>
      <c r="C1681" s="213" t="s">
        <v>2824</v>
      </c>
    </row>
    <row r="1682" spans="1:3" x14ac:dyDescent="0.25">
      <c r="A1682" s="211">
        <f t="shared" si="26"/>
        <v>7700105</v>
      </c>
      <c r="B1682" s="213" t="s">
        <v>2825</v>
      </c>
      <c r="C1682" s="213" t="s">
        <v>2826</v>
      </c>
    </row>
    <row r="1683" spans="1:3" x14ac:dyDescent="0.25">
      <c r="A1683" s="211">
        <f t="shared" si="26"/>
        <v>7700106</v>
      </c>
      <c r="B1683" s="213" t="s">
        <v>2827</v>
      </c>
      <c r="C1683" s="213" t="s">
        <v>2828</v>
      </c>
    </row>
    <row r="1684" spans="1:3" x14ac:dyDescent="0.25">
      <c r="A1684" s="211">
        <f t="shared" si="26"/>
        <v>7700107</v>
      </c>
      <c r="B1684" s="213" t="s">
        <v>2829</v>
      </c>
      <c r="C1684" s="213" t="s">
        <v>2830</v>
      </c>
    </row>
    <row r="1685" spans="1:3" x14ac:dyDescent="0.25">
      <c r="A1685" s="211">
        <f t="shared" si="26"/>
        <v>7700200</v>
      </c>
      <c r="B1685" s="213" t="s">
        <v>2831</v>
      </c>
      <c r="C1685" s="213" t="s">
        <v>2832</v>
      </c>
    </row>
    <row r="1686" spans="1:3" x14ac:dyDescent="0.25">
      <c r="A1686" s="211">
        <f t="shared" si="26"/>
        <v>7700202</v>
      </c>
      <c r="B1686" s="213" t="s">
        <v>2833</v>
      </c>
      <c r="C1686" s="213" t="s">
        <v>2834</v>
      </c>
    </row>
    <row r="1687" spans="1:3" x14ac:dyDescent="0.25">
      <c r="A1687" s="211">
        <f t="shared" si="26"/>
        <v>7700203</v>
      </c>
      <c r="B1687" s="213" t="s">
        <v>2835</v>
      </c>
      <c r="C1687" s="213" t="s">
        <v>2836</v>
      </c>
    </row>
    <row r="1688" spans="1:3" x14ac:dyDescent="0.25">
      <c r="A1688" s="211">
        <f t="shared" si="26"/>
        <v>7700204</v>
      </c>
      <c r="B1688" s="213" t="s">
        <v>2837</v>
      </c>
      <c r="C1688" s="213" t="s">
        <v>2838</v>
      </c>
    </row>
    <row r="1689" spans="1:3" x14ac:dyDescent="0.25">
      <c r="A1689" s="211">
        <f t="shared" si="26"/>
        <v>7700205</v>
      </c>
      <c r="B1689" s="213" t="s">
        <v>2839</v>
      </c>
      <c r="C1689" s="213" t="s">
        <v>2840</v>
      </c>
    </row>
    <row r="1690" spans="1:3" x14ac:dyDescent="0.25">
      <c r="A1690" s="211">
        <f t="shared" si="26"/>
        <v>7700206</v>
      </c>
      <c r="B1690" s="213" t="s">
        <v>2841</v>
      </c>
      <c r="C1690" s="213" t="s">
        <v>2842</v>
      </c>
    </row>
    <row r="1691" spans="1:3" x14ac:dyDescent="0.25">
      <c r="A1691" s="211">
        <f t="shared" si="26"/>
        <v>7700207</v>
      </c>
      <c r="B1691" s="213" t="s">
        <v>2843</v>
      </c>
      <c r="C1691" s="213" t="s">
        <v>2844</v>
      </c>
    </row>
    <row r="1692" spans="1:3" x14ac:dyDescent="0.25">
      <c r="A1692" s="211">
        <f t="shared" si="26"/>
        <v>7700220</v>
      </c>
      <c r="B1692" s="213" t="s">
        <v>2845</v>
      </c>
      <c r="C1692" s="213" t="s">
        <v>2846</v>
      </c>
    </row>
    <row r="1693" spans="1:3" x14ac:dyDescent="0.25">
      <c r="A1693" s="211">
        <f t="shared" si="26"/>
        <v>7700302</v>
      </c>
      <c r="B1693" s="213" t="s">
        <v>2847</v>
      </c>
      <c r="C1693" s="213" t="s">
        <v>2848</v>
      </c>
    </row>
    <row r="1694" spans="1:3" x14ac:dyDescent="0.25">
      <c r="A1694" s="211" t="str">
        <f t="shared" si="26"/>
        <v/>
      </c>
      <c r="B1694" s="213" t="s">
        <v>13772</v>
      </c>
      <c r="C1694" s="212"/>
    </row>
    <row r="1695" spans="1:3" x14ac:dyDescent="0.25">
      <c r="A1695" s="211">
        <f t="shared" si="26"/>
        <v>7700303</v>
      </c>
      <c r="B1695" s="213" t="s">
        <v>2849</v>
      </c>
      <c r="C1695" s="213" t="s">
        <v>2850</v>
      </c>
    </row>
    <row r="1696" spans="1:3" x14ac:dyDescent="0.25">
      <c r="A1696" s="211">
        <f t="shared" si="26"/>
        <v>7700450</v>
      </c>
      <c r="B1696" s="213" t="s">
        <v>2851</v>
      </c>
      <c r="C1696" s="213" t="s">
        <v>2852</v>
      </c>
    </row>
    <row r="1697" spans="1:3" x14ac:dyDescent="0.25">
      <c r="A1697" s="211">
        <f t="shared" si="26"/>
        <v>7700451</v>
      </c>
      <c r="B1697" s="213" t="s">
        <v>2853</v>
      </c>
      <c r="C1697" s="213" t="s">
        <v>2854</v>
      </c>
    </row>
    <row r="1698" spans="1:3" x14ac:dyDescent="0.25">
      <c r="A1698" s="211">
        <f t="shared" si="26"/>
        <v>7700452</v>
      </c>
      <c r="B1698" s="213" t="s">
        <v>2855</v>
      </c>
      <c r="C1698" s="213" t="s">
        <v>2856</v>
      </c>
    </row>
    <row r="1699" spans="1:3" x14ac:dyDescent="0.25">
      <c r="A1699" s="211">
        <f t="shared" si="26"/>
        <v>7700453</v>
      </c>
      <c r="B1699" s="213" t="s">
        <v>2857</v>
      </c>
      <c r="C1699" s="213" t="s">
        <v>2858</v>
      </c>
    </row>
    <row r="1700" spans="1:3" x14ac:dyDescent="0.25">
      <c r="A1700" s="211">
        <f t="shared" si="26"/>
        <v>7700454</v>
      </c>
      <c r="B1700" s="213" t="s">
        <v>2859</v>
      </c>
      <c r="C1700" s="213" t="s">
        <v>2860</v>
      </c>
    </row>
    <row r="1701" spans="1:3" x14ac:dyDescent="0.25">
      <c r="A1701" s="211">
        <f t="shared" si="26"/>
        <v>7700455</v>
      </c>
      <c r="B1701" s="213" t="s">
        <v>2861</v>
      </c>
      <c r="C1701" s="213" t="s">
        <v>2862</v>
      </c>
    </row>
    <row r="1702" spans="1:3" x14ac:dyDescent="0.25">
      <c r="A1702" s="211">
        <f t="shared" si="26"/>
        <v>7700456</v>
      </c>
      <c r="B1702" s="213" t="s">
        <v>2863</v>
      </c>
      <c r="C1702" s="213" t="s">
        <v>2864</v>
      </c>
    </row>
    <row r="1703" spans="1:3" x14ac:dyDescent="0.25">
      <c r="A1703" s="211">
        <f t="shared" si="26"/>
        <v>7700459</v>
      </c>
      <c r="B1703" s="213" t="s">
        <v>2865</v>
      </c>
      <c r="C1703" s="213" t="s">
        <v>7569</v>
      </c>
    </row>
    <row r="1704" spans="1:3" x14ac:dyDescent="0.25">
      <c r="A1704" s="211">
        <f t="shared" si="26"/>
        <v>7700460</v>
      </c>
      <c r="B1704" s="213" t="s">
        <v>2866</v>
      </c>
      <c r="C1704" s="213" t="s">
        <v>7570</v>
      </c>
    </row>
    <row r="1705" spans="1:3" x14ac:dyDescent="0.25">
      <c r="A1705" s="211">
        <f t="shared" si="26"/>
        <v>7700461</v>
      </c>
      <c r="B1705" s="213" t="s">
        <v>2867</v>
      </c>
      <c r="C1705" s="213" t="s">
        <v>2868</v>
      </c>
    </row>
    <row r="1706" spans="1:3" x14ac:dyDescent="0.25">
      <c r="A1706" s="211">
        <f t="shared" si="26"/>
        <v>7700462</v>
      </c>
      <c r="B1706" s="213" t="s">
        <v>2869</v>
      </c>
      <c r="C1706" s="213" t="s">
        <v>2870</v>
      </c>
    </row>
    <row r="1707" spans="1:3" x14ac:dyDescent="0.25">
      <c r="A1707" s="211">
        <f t="shared" si="26"/>
        <v>7700463</v>
      </c>
      <c r="B1707" s="213" t="s">
        <v>2871</v>
      </c>
      <c r="C1707" s="213" t="s">
        <v>2872</v>
      </c>
    </row>
    <row r="1708" spans="1:3" x14ac:dyDescent="0.25">
      <c r="A1708" s="211">
        <f t="shared" si="26"/>
        <v>7700464</v>
      </c>
      <c r="B1708" s="213" t="s">
        <v>2873</v>
      </c>
      <c r="C1708" s="213" t="s">
        <v>2874</v>
      </c>
    </row>
    <row r="1709" spans="1:3" x14ac:dyDescent="0.25">
      <c r="A1709" s="211">
        <f t="shared" si="26"/>
        <v>7700465</v>
      </c>
      <c r="B1709" s="213" t="s">
        <v>2875</v>
      </c>
      <c r="C1709" s="213" t="s">
        <v>2876</v>
      </c>
    </row>
    <row r="1710" spans="1:3" x14ac:dyDescent="0.25">
      <c r="A1710" s="211">
        <f t="shared" si="26"/>
        <v>7700500</v>
      </c>
      <c r="B1710" s="213" t="s">
        <v>2877</v>
      </c>
      <c r="C1710" s="213" t="s">
        <v>2878</v>
      </c>
    </row>
    <row r="1711" spans="1:3" x14ac:dyDescent="0.25">
      <c r="A1711" s="211">
        <f t="shared" si="26"/>
        <v>7700501</v>
      </c>
      <c r="B1711" s="213" t="s">
        <v>2879</v>
      </c>
      <c r="C1711" s="213" t="s">
        <v>2880</v>
      </c>
    </row>
    <row r="1712" spans="1:3" x14ac:dyDescent="0.25">
      <c r="A1712" s="211">
        <f t="shared" si="26"/>
        <v>7700502</v>
      </c>
      <c r="B1712" s="213" t="s">
        <v>2881</v>
      </c>
      <c r="C1712" s="213" t="s">
        <v>2882</v>
      </c>
    </row>
    <row r="1713" spans="1:3" x14ac:dyDescent="0.25">
      <c r="A1713" s="211">
        <f t="shared" si="26"/>
        <v>7700503</v>
      </c>
      <c r="B1713" s="213" t="s">
        <v>2883</v>
      </c>
      <c r="C1713" s="213" t="s">
        <v>2884</v>
      </c>
    </row>
    <row r="1714" spans="1:3" x14ac:dyDescent="0.25">
      <c r="A1714" s="211">
        <f t="shared" si="26"/>
        <v>7700504</v>
      </c>
      <c r="B1714" s="213" t="s">
        <v>2885</v>
      </c>
      <c r="C1714" s="213" t="s">
        <v>2886</v>
      </c>
    </row>
    <row r="1715" spans="1:3" x14ac:dyDescent="0.25">
      <c r="A1715" s="211">
        <f t="shared" si="26"/>
        <v>7700505</v>
      </c>
      <c r="B1715" s="213" t="s">
        <v>2887</v>
      </c>
      <c r="C1715" s="213" t="s">
        <v>2888</v>
      </c>
    </row>
    <row r="1716" spans="1:3" x14ac:dyDescent="0.25">
      <c r="A1716" s="211">
        <f t="shared" si="26"/>
        <v>7700506</v>
      </c>
      <c r="B1716" s="213" t="s">
        <v>2889</v>
      </c>
      <c r="C1716" s="213" t="s">
        <v>2890</v>
      </c>
    </row>
    <row r="1717" spans="1:3" x14ac:dyDescent="0.25">
      <c r="A1717" s="211">
        <f t="shared" si="26"/>
        <v>7700507</v>
      </c>
      <c r="B1717" s="213" t="s">
        <v>2891</v>
      </c>
      <c r="C1717" s="213" t="s">
        <v>2892</v>
      </c>
    </row>
    <row r="1718" spans="1:3" x14ac:dyDescent="0.25">
      <c r="A1718" s="211">
        <f t="shared" si="26"/>
        <v>7700508</v>
      </c>
      <c r="B1718" s="213" t="s">
        <v>2893</v>
      </c>
      <c r="C1718" s="213" t="s">
        <v>2894</v>
      </c>
    </row>
    <row r="1719" spans="1:3" x14ac:dyDescent="0.25">
      <c r="A1719" s="211">
        <f t="shared" si="26"/>
        <v>7700509</v>
      </c>
      <c r="B1719" s="213" t="s">
        <v>2895</v>
      </c>
      <c r="C1719" s="213" t="s">
        <v>2896</v>
      </c>
    </row>
    <row r="1720" spans="1:3" x14ac:dyDescent="0.25">
      <c r="A1720" s="211">
        <f t="shared" si="26"/>
        <v>7700510</v>
      </c>
      <c r="B1720" s="213" t="s">
        <v>7571</v>
      </c>
      <c r="C1720" s="213" t="s">
        <v>7572</v>
      </c>
    </row>
    <row r="1721" spans="1:3" x14ac:dyDescent="0.25">
      <c r="A1721" s="211">
        <f t="shared" si="26"/>
        <v>7700511</v>
      </c>
      <c r="B1721" s="213" t="s">
        <v>7573</v>
      </c>
      <c r="C1721" s="213" t="s">
        <v>7574</v>
      </c>
    </row>
    <row r="1722" spans="1:3" x14ac:dyDescent="0.25">
      <c r="A1722" s="211">
        <f t="shared" si="26"/>
        <v>7700512</v>
      </c>
      <c r="B1722" s="213" t="s">
        <v>7575</v>
      </c>
      <c r="C1722" s="213" t="s">
        <v>7576</v>
      </c>
    </row>
    <row r="1723" spans="1:3" x14ac:dyDescent="0.25">
      <c r="A1723" s="211">
        <f t="shared" si="26"/>
        <v>7700515</v>
      </c>
      <c r="B1723" s="213" t="s">
        <v>7577</v>
      </c>
      <c r="C1723" s="213" t="s">
        <v>7578</v>
      </c>
    </row>
    <row r="1724" spans="1:3" x14ac:dyDescent="0.25">
      <c r="A1724" s="211">
        <f t="shared" si="26"/>
        <v>7700601</v>
      </c>
      <c r="B1724" s="213" t="s">
        <v>2897</v>
      </c>
      <c r="C1724" s="213" t="s">
        <v>2898</v>
      </c>
    </row>
    <row r="1725" spans="1:3" x14ac:dyDescent="0.25">
      <c r="A1725" s="211">
        <f t="shared" si="26"/>
        <v>7700602</v>
      </c>
      <c r="B1725" s="213" t="s">
        <v>2899</v>
      </c>
      <c r="C1725" s="213" t="s">
        <v>2900</v>
      </c>
    </row>
    <row r="1726" spans="1:3" x14ac:dyDescent="0.25">
      <c r="A1726" s="211">
        <f t="shared" si="26"/>
        <v>7700603</v>
      </c>
      <c r="B1726" s="213" t="s">
        <v>2901</v>
      </c>
      <c r="C1726" s="213" t="s">
        <v>2902</v>
      </c>
    </row>
    <row r="1727" spans="1:3" x14ac:dyDescent="0.25">
      <c r="A1727" s="211">
        <f t="shared" si="26"/>
        <v>7700604</v>
      </c>
      <c r="B1727" s="213" t="s">
        <v>2903</v>
      </c>
      <c r="C1727" s="213" t="s">
        <v>2904</v>
      </c>
    </row>
    <row r="1728" spans="1:3" x14ac:dyDescent="0.25">
      <c r="A1728" s="211">
        <f t="shared" si="26"/>
        <v>7700605</v>
      </c>
      <c r="B1728" s="213" t="s">
        <v>2905</v>
      </c>
      <c r="C1728" s="213" t="s">
        <v>2906</v>
      </c>
    </row>
    <row r="1729" spans="1:3" x14ac:dyDescent="0.25">
      <c r="A1729" s="211">
        <f t="shared" si="26"/>
        <v>7700606</v>
      </c>
      <c r="B1729" s="213" t="s">
        <v>2907</v>
      </c>
      <c r="C1729" s="213" t="s">
        <v>2908</v>
      </c>
    </row>
    <row r="1730" spans="1:3" x14ac:dyDescent="0.25">
      <c r="A1730" s="211">
        <f t="shared" ref="A1730:A1793" si="27">IFERROR(B1730*1,"")</f>
        <v>7700607</v>
      </c>
      <c r="B1730" s="213" t="s">
        <v>2909</v>
      </c>
      <c r="C1730" s="213" t="s">
        <v>2910</v>
      </c>
    </row>
    <row r="1731" spans="1:3" x14ac:dyDescent="0.25">
      <c r="A1731" s="211">
        <f t="shared" si="27"/>
        <v>7700650</v>
      </c>
      <c r="B1731" s="213" t="s">
        <v>2911</v>
      </c>
      <c r="C1731" s="213" t="s">
        <v>2912</v>
      </c>
    </row>
    <row r="1732" spans="1:3" x14ac:dyDescent="0.25">
      <c r="A1732" s="211">
        <f t="shared" si="27"/>
        <v>7700651</v>
      </c>
      <c r="B1732" s="213" t="s">
        <v>2913</v>
      </c>
      <c r="C1732" s="213" t="s">
        <v>2914</v>
      </c>
    </row>
    <row r="1733" spans="1:3" x14ac:dyDescent="0.25">
      <c r="A1733" s="211">
        <f t="shared" si="27"/>
        <v>7700652</v>
      </c>
      <c r="B1733" s="213" t="s">
        <v>2915</v>
      </c>
      <c r="C1733" s="213" t="s">
        <v>2916</v>
      </c>
    </row>
    <row r="1734" spans="1:3" x14ac:dyDescent="0.25">
      <c r="A1734" s="211">
        <f t="shared" si="27"/>
        <v>7700653</v>
      </c>
      <c r="B1734" s="213" t="s">
        <v>2917</v>
      </c>
      <c r="C1734" s="213" t="s">
        <v>2918</v>
      </c>
    </row>
    <row r="1735" spans="1:3" x14ac:dyDescent="0.25">
      <c r="A1735" s="211">
        <f t="shared" si="27"/>
        <v>7700654</v>
      </c>
      <c r="B1735" s="213" t="s">
        <v>2919</v>
      </c>
      <c r="C1735" s="213" t="s">
        <v>2920</v>
      </c>
    </row>
    <row r="1736" spans="1:3" x14ac:dyDescent="0.25">
      <c r="A1736" s="211">
        <f t="shared" si="27"/>
        <v>7700655</v>
      </c>
      <c r="B1736" s="213" t="s">
        <v>2921</v>
      </c>
      <c r="C1736" s="213" t="s">
        <v>2922</v>
      </c>
    </row>
    <row r="1737" spans="1:3" x14ac:dyDescent="0.25">
      <c r="A1737" s="211">
        <f t="shared" si="27"/>
        <v>7700656</v>
      </c>
      <c r="B1737" s="213" t="s">
        <v>2923</v>
      </c>
      <c r="C1737" s="213" t="s">
        <v>2924</v>
      </c>
    </row>
    <row r="1738" spans="1:3" x14ac:dyDescent="0.25">
      <c r="A1738" s="211">
        <f t="shared" si="27"/>
        <v>7700657</v>
      </c>
      <c r="B1738" s="213" t="s">
        <v>2925</v>
      </c>
      <c r="C1738" s="213" t="s">
        <v>2926</v>
      </c>
    </row>
    <row r="1739" spans="1:3" x14ac:dyDescent="0.25">
      <c r="A1739" s="211">
        <f t="shared" si="27"/>
        <v>7700658</v>
      </c>
      <c r="B1739" s="213" t="s">
        <v>2927</v>
      </c>
      <c r="C1739" s="213" t="s">
        <v>2928</v>
      </c>
    </row>
    <row r="1740" spans="1:3" x14ac:dyDescent="0.25">
      <c r="A1740" s="211">
        <f t="shared" si="27"/>
        <v>7700700</v>
      </c>
      <c r="B1740" s="213" t="s">
        <v>2929</v>
      </c>
      <c r="C1740" s="213" t="s">
        <v>2930</v>
      </c>
    </row>
    <row r="1741" spans="1:3" x14ac:dyDescent="0.25">
      <c r="A1741" s="211">
        <f t="shared" si="27"/>
        <v>7700701</v>
      </c>
      <c r="B1741" s="213" t="s">
        <v>2931</v>
      </c>
      <c r="C1741" s="213" t="s">
        <v>2932</v>
      </c>
    </row>
    <row r="1742" spans="1:3" x14ac:dyDescent="0.25">
      <c r="A1742" s="211">
        <f t="shared" si="27"/>
        <v>77007014</v>
      </c>
      <c r="B1742" s="213" t="s">
        <v>2933</v>
      </c>
      <c r="C1742" s="213" t="s">
        <v>2934</v>
      </c>
    </row>
    <row r="1743" spans="1:3" x14ac:dyDescent="0.25">
      <c r="A1743" s="211">
        <f t="shared" si="27"/>
        <v>7700702</v>
      </c>
      <c r="B1743" s="213" t="s">
        <v>13316</v>
      </c>
      <c r="C1743" s="213" t="s">
        <v>13317</v>
      </c>
    </row>
    <row r="1744" spans="1:3" x14ac:dyDescent="0.25">
      <c r="A1744" s="211">
        <f t="shared" si="27"/>
        <v>7700703</v>
      </c>
      <c r="B1744" s="213" t="s">
        <v>13318</v>
      </c>
      <c r="C1744" s="213" t="s">
        <v>13319</v>
      </c>
    </row>
    <row r="1745" spans="1:3" x14ac:dyDescent="0.25">
      <c r="A1745" s="211">
        <f t="shared" si="27"/>
        <v>7700704</v>
      </c>
      <c r="B1745" s="213" t="s">
        <v>13320</v>
      </c>
      <c r="C1745" s="213" t="s">
        <v>13321</v>
      </c>
    </row>
    <row r="1746" spans="1:3" x14ac:dyDescent="0.25">
      <c r="A1746" s="211">
        <f t="shared" si="27"/>
        <v>7700705</v>
      </c>
      <c r="B1746" s="213" t="s">
        <v>13322</v>
      </c>
      <c r="C1746" s="213" t="s">
        <v>13323</v>
      </c>
    </row>
    <row r="1747" spans="1:3" x14ac:dyDescent="0.25">
      <c r="A1747" s="211">
        <f t="shared" si="27"/>
        <v>7700900</v>
      </c>
      <c r="B1747" s="213" t="s">
        <v>2935</v>
      </c>
      <c r="C1747" s="213" t="s">
        <v>2936</v>
      </c>
    </row>
    <row r="1748" spans="1:3" x14ac:dyDescent="0.25">
      <c r="A1748" s="211">
        <f t="shared" si="27"/>
        <v>7700901</v>
      </c>
      <c r="B1748" s="213" t="s">
        <v>2937</v>
      </c>
      <c r="C1748" s="213" t="s">
        <v>2938</v>
      </c>
    </row>
    <row r="1749" spans="1:3" x14ac:dyDescent="0.25">
      <c r="A1749" s="211">
        <f t="shared" si="27"/>
        <v>7700902</v>
      </c>
      <c r="B1749" s="213" t="s">
        <v>2939</v>
      </c>
      <c r="C1749" s="213" t="s">
        <v>2940</v>
      </c>
    </row>
    <row r="1750" spans="1:3" x14ac:dyDescent="0.25">
      <c r="A1750" s="211">
        <f t="shared" si="27"/>
        <v>7700903</v>
      </c>
      <c r="B1750" s="213" t="s">
        <v>2941</v>
      </c>
      <c r="C1750" s="213" t="s">
        <v>2942</v>
      </c>
    </row>
    <row r="1751" spans="1:3" x14ac:dyDescent="0.25">
      <c r="A1751" s="211">
        <f t="shared" si="27"/>
        <v>7700904</v>
      </c>
      <c r="B1751" s="213" t="s">
        <v>2943</v>
      </c>
      <c r="C1751" s="213" t="s">
        <v>2944</v>
      </c>
    </row>
    <row r="1752" spans="1:3" x14ac:dyDescent="0.25">
      <c r="A1752" s="211">
        <f t="shared" si="27"/>
        <v>7700905</v>
      </c>
      <c r="B1752" s="213" t="s">
        <v>2945</v>
      </c>
      <c r="C1752" s="213" t="s">
        <v>2946</v>
      </c>
    </row>
    <row r="1753" spans="1:3" x14ac:dyDescent="0.25">
      <c r="A1753" s="211">
        <f t="shared" si="27"/>
        <v>7700906</v>
      </c>
      <c r="B1753" s="213" t="s">
        <v>2947</v>
      </c>
      <c r="C1753" s="213" t="s">
        <v>2948</v>
      </c>
    </row>
    <row r="1754" spans="1:3" x14ac:dyDescent="0.25">
      <c r="A1754" s="211">
        <f t="shared" si="27"/>
        <v>7701004</v>
      </c>
      <c r="B1754" s="213" t="s">
        <v>2949</v>
      </c>
      <c r="C1754" s="213" t="s">
        <v>2950</v>
      </c>
    </row>
    <row r="1755" spans="1:3" x14ac:dyDescent="0.25">
      <c r="A1755" s="211">
        <f t="shared" si="27"/>
        <v>7701005</v>
      </c>
      <c r="B1755" s="213" t="s">
        <v>2951</v>
      </c>
      <c r="C1755" s="213" t="s">
        <v>2952</v>
      </c>
    </row>
    <row r="1756" spans="1:3" x14ac:dyDescent="0.25">
      <c r="A1756" s="211">
        <f t="shared" si="27"/>
        <v>7701006</v>
      </c>
      <c r="B1756" s="213" t="s">
        <v>2953</v>
      </c>
      <c r="C1756" s="213" t="s">
        <v>2954</v>
      </c>
    </row>
    <row r="1757" spans="1:3" x14ac:dyDescent="0.25">
      <c r="A1757" s="211">
        <f t="shared" si="27"/>
        <v>7701093</v>
      </c>
      <c r="B1757" s="213" t="s">
        <v>2955</v>
      </c>
      <c r="C1757" s="213" t="s">
        <v>13773</v>
      </c>
    </row>
    <row r="1758" spans="1:3" x14ac:dyDescent="0.25">
      <c r="A1758" s="211">
        <f t="shared" si="27"/>
        <v>7701094</v>
      </c>
      <c r="B1758" s="213" t="s">
        <v>2956</v>
      </c>
      <c r="C1758" s="213" t="s">
        <v>13774</v>
      </c>
    </row>
    <row r="1759" spans="1:3" x14ac:dyDescent="0.25">
      <c r="A1759" s="211">
        <f t="shared" si="27"/>
        <v>7701095</v>
      </c>
      <c r="B1759" s="213" t="s">
        <v>13775</v>
      </c>
      <c r="C1759" s="213" t="s">
        <v>13776</v>
      </c>
    </row>
    <row r="1760" spans="1:3" x14ac:dyDescent="0.25">
      <c r="A1760" s="211">
        <f t="shared" si="27"/>
        <v>7701096</v>
      </c>
      <c r="B1760" s="213" t="s">
        <v>13777</v>
      </c>
      <c r="C1760" s="213" t="s">
        <v>13778</v>
      </c>
    </row>
    <row r="1761" spans="1:3" x14ac:dyDescent="0.25">
      <c r="A1761" s="211">
        <f t="shared" si="27"/>
        <v>7701097</v>
      </c>
      <c r="B1761" s="213" t="s">
        <v>13779</v>
      </c>
      <c r="C1761" s="213" t="s">
        <v>13780</v>
      </c>
    </row>
    <row r="1762" spans="1:3" x14ac:dyDescent="0.25">
      <c r="A1762" s="211">
        <f t="shared" si="27"/>
        <v>7701098</v>
      </c>
      <c r="B1762" s="213" t="s">
        <v>13781</v>
      </c>
      <c r="C1762" s="213" t="s">
        <v>13782</v>
      </c>
    </row>
    <row r="1763" spans="1:3" x14ac:dyDescent="0.25">
      <c r="A1763" s="211">
        <f t="shared" si="27"/>
        <v>7701099</v>
      </c>
      <c r="B1763" s="213" t="s">
        <v>13783</v>
      </c>
      <c r="C1763" s="213" t="s">
        <v>13784</v>
      </c>
    </row>
    <row r="1764" spans="1:3" x14ac:dyDescent="0.25">
      <c r="A1764" s="211">
        <f t="shared" si="27"/>
        <v>7701100</v>
      </c>
      <c r="B1764" s="213" t="s">
        <v>2957</v>
      </c>
      <c r="C1764" s="213" t="s">
        <v>13785</v>
      </c>
    </row>
    <row r="1765" spans="1:3" x14ac:dyDescent="0.25">
      <c r="A1765" s="211">
        <f t="shared" si="27"/>
        <v>7701101</v>
      </c>
      <c r="B1765" s="213" t="s">
        <v>2958</v>
      </c>
      <c r="C1765" s="213" t="s">
        <v>2959</v>
      </c>
    </row>
    <row r="1766" spans="1:3" x14ac:dyDescent="0.25">
      <c r="A1766" s="211">
        <f t="shared" si="27"/>
        <v>7701102</v>
      </c>
      <c r="B1766" s="213" t="s">
        <v>2960</v>
      </c>
      <c r="C1766" s="213" t="s">
        <v>13786</v>
      </c>
    </row>
    <row r="1767" spans="1:3" x14ac:dyDescent="0.25">
      <c r="A1767" s="211">
        <f t="shared" si="27"/>
        <v>7701103</v>
      </c>
      <c r="B1767" s="213" t="s">
        <v>2961</v>
      </c>
      <c r="C1767" s="213" t="s">
        <v>13787</v>
      </c>
    </row>
    <row r="1768" spans="1:3" x14ac:dyDescent="0.25">
      <c r="A1768" s="211">
        <f t="shared" si="27"/>
        <v>7701104</v>
      </c>
      <c r="B1768" s="213" t="s">
        <v>2962</v>
      </c>
      <c r="C1768" s="213" t="s">
        <v>13788</v>
      </c>
    </row>
    <row r="1769" spans="1:3" x14ac:dyDescent="0.25">
      <c r="A1769" s="211">
        <f t="shared" si="27"/>
        <v>7701105</v>
      </c>
      <c r="B1769" s="213" t="s">
        <v>2963</v>
      </c>
      <c r="C1769" s="213" t="s">
        <v>13789</v>
      </c>
    </row>
    <row r="1770" spans="1:3" x14ac:dyDescent="0.25">
      <c r="A1770" s="211">
        <f t="shared" si="27"/>
        <v>7701106</v>
      </c>
      <c r="B1770" s="213" t="s">
        <v>13790</v>
      </c>
      <c r="C1770" s="213" t="s">
        <v>13791</v>
      </c>
    </row>
    <row r="1771" spans="1:3" x14ac:dyDescent="0.25">
      <c r="A1771" s="211">
        <f t="shared" si="27"/>
        <v>7701136</v>
      </c>
      <c r="B1771" s="213" t="s">
        <v>2964</v>
      </c>
      <c r="C1771" s="213" t="s">
        <v>2965</v>
      </c>
    </row>
    <row r="1772" spans="1:3" x14ac:dyDescent="0.25">
      <c r="A1772" s="211">
        <f t="shared" si="27"/>
        <v>7701137</v>
      </c>
      <c r="B1772" s="213" t="s">
        <v>2966</v>
      </c>
      <c r="C1772" s="213" t="s">
        <v>2967</v>
      </c>
    </row>
    <row r="1773" spans="1:3" x14ac:dyDescent="0.25">
      <c r="A1773" s="211">
        <f t="shared" si="27"/>
        <v>7701200</v>
      </c>
      <c r="B1773" s="213" t="s">
        <v>2968</v>
      </c>
      <c r="C1773" s="213" t="s">
        <v>2969</v>
      </c>
    </row>
    <row r="1774" spans="1:3" x14ac:dyDescent="0.25">
      <c r="A1774" s="211">
        <f t="shared" si="27"/>
        <v>7701201</v>
      </c>
      <c r="B1774" s="213" t="s">
        <v>2970</v>
      </c>
      <c r="C1774" s="213" t="s">
        <v>2971</v>
      </c>
    </row>
    <row r="1775" spans="1:3" x14ac:dyDescent="0.25">
      <c r="A1775" s="211">
        <f t="shared" si="27"/>
        <v>7701202</v>
      </c>
      <c r="B1775" s="213" t="s">
        <v>2972</v>
      </c>
      <c r="C1775" s="213" t="s">
        <v>2973</v>
      </c>
    </row>
    <row r="1776" spans="1:3" x14ac:dyDescent="0.25">
      <c r="A1776" s="211">
        <f t="shared" si="27"/>
        <v>7701203</v>
      </c>
      <c r="B1776" s="213" t="s">
        <v>2974</v>
      </c>
      <c r="C1776" s="213" t="s">
        <v>2975</v>
      </c>
    </row>
    <row r="1777" spans="1:3" x14ac:dyDescent="0.25">
      <c r="A1777" s="211">
        <f t="shared" si="27"/>
        <v>7701394</v>
      </c>
      <c r="B1777" s="213" t="s">
        <v>2976</v>
      </c>
      <c r="C1777" s="213" t="s">
        <v>2977</v>
      </c>
    </row>
    <row r="1778" spans="1:3" x14ac:dyDescent="0.25">
      <c r="A1778" s="211">
        <f t="shared" si="27"/>
        <v>7701397</v>
      </c>
      <c r="B1778" s="213" t="s">
        <v>2978</v>
      </c>
      <c r="C1778" s="213" t="s">
        <v>2979</v>
      </c>
    </row>
    <row r="1779" spans="1:3" x14ac:dyDescent="0.25">
      <c r="A1779" s="211">
        <f t="shared" si="27"/>
        <v>7701655</v>
      </c>
      <c r="B1779" s="213" t="s">
        <v>2980</v>
      </c>
      <c r="C1779" s="213" t="s">
        <v>2981</v>
      </c>
    </row>
    <row r="1780" spans="1:3" x14ac:dyDescent="0.25">
      <c r="A1780" s="211">
        <f t="shared" si="27"/>
        <v>7703000</v>
      </c>
      <c r="B1780" s="213" t="s">
        <v>13469</v>
      </c>
      <c r="C1780" s="213" t="s">
        <v>13470</v>
      </c>
    </row>
    <row r="1781" spans="1:3" x14ac:dyDescent="0.25">
      <c r="A1781" s="211">
        <f t="shared" si="27"/>
        <v>7703001</v>
      </c>
      <c r="B1781" s="213" t="s">
        <v>2982</v>
      </c>
      <c r="C1781" s="213" t="s">
        <v>2983</v>
      </c>
    </row>
    <row r="1782" spans="1:3" x14ac:dyDescent="0.25">
      <c r="A1782" s="211">
        <f t="shared" si="27"/>
        <v>7703002</v>
      </c>
      <c r="B1782" s="213" t="s">
        <v>2984</v>
      </c>
      <c r="C1782" s="213" t="s">
        <v>2985</v>
      </c>
    </row>
    <row r="1783" spans="1:3" x14ac:dyDescent="0.25">
      <c r="A1783" s="211">
        <f t="shared" si="27"/>
        <v>7703003</v>
      </c>
      <c r="B1783" s="213" t="s">
        <v>2986</v>
      </c>
      <c r="C1783" s="213" t="s">
        <v>2987</v>
      </c>
    </row>
    <row r="1784" spans="1:3" x14ac:dyDescent="0.25">
      <c r="A1784" s="211">
        <f t="shared" si="27"/>
        <v>7703004</v>
      </c>
      <c r="B1784" s="213" t="s">
        <v>2988</v>
      </c>
      <c r="C1784" s="213" t="s">
        <v>2989</v>
      </c>
    </row>
    <row r="1785" spans="1:3" x14ac:dyDescent="0.25">
      <c r="A1785" s="211">
        <f t="shared" si="27"/>
        <v>7703005</v>
      </c>
      <c r="B1785" s="213" t="s">
        <v>2990</v>
      </c>
      <c r="C1785" s="213" t="s">
        <v>2991</v>
      </c>
    </row>
    <row r="1786" spans="1:3" x14ac:dyDescent="0.25">
      <c r="A1786" s="211">
        <f t="shared" si="27"/>
        <v>7703010</v>
      </c>
      <c r="B1786" s="213" t="s">
        <v>14054</v>
      </c>
      <c r="C1786" s="213" t="s">
        <v>14055</v>
      </c>
    </row>
    <row r="1787" spans="1:3" x14ac:dyDescent="0.25">
      <c r="A1787" s="211">
        <f t="shared" si="27"/>
        <v>7703019</v>
      </c>
      <c r="B1787" s="213" t="s">
        <v>2992</v>
      </c>
      <c r="C1787" s="213" t="s">
        <v>2993</v>
      </c>
    </row>
    <row r="1788" spans="1:3" x14ac:dyDescent="0.25">
      <c r="A1788" s="211">
        <f t="shared" si="27"/>
        <v>7703020</v>
      </c>
      <c r="B1788" s="213" t="s">
        <v>2994</v>
      </c>
      <c r="C1788" s="213" t="s">
        <v>2995</v>
      </c>
    </row>
    <row r="1789" spans="1:3" x14ac:dyDescent="0.25">
      <c r="A1789" s="211">
        <f t="shared" si="27"/>
        <v>7703021</v>
      </c>
      <c r="B1789" s="213" t="s">
        <v>2996</v>
      </c>
      <c r="C1789" s="213" t="s">
        <v>2997</v>
      </c>
    </row>
    <row r="1790" spans="1:3" x14ac:dyDescent="0.25">
      <c r="A1790" s="211">
        <f t="shared" si="27"/>
        <v>7703022</v>
      </c>
      <c r="B1790" s="213" t="s">
        <v>2998</v>
      </c>
      <c r="C1790" s="213" t="s">
        <v>2999</v>
      </c>
    </row>
    <row r="1791" spans="1:3" x14ac:dyDescent="0.25">
      <c r="A1791" s="211">
        <f t="shared" si="27"/>
        <v>7703023</v>
      </c>
      <c r="B1791" s="213" t="s">
        <v>3000</v>
      </c>
      <c r="C1791" s="213" t="s">
        <v>3001</v>
      </c>
    </row>
    <row r="1792" spans="1:3" x14ac:dyDescent="0.25">
      <c r="A1792" s="211">
        <f t="shared" si="27"/>
        <v>7703024</v>
      </c>
      <c r="B1792" s="213" t="s">
        <v>3002</v>
      </c>
      <c r="C1792" s="213" t="s">
        <v>3003</v>
      </c>
    </row>
    <row r="1793" spans="1:3" x14ac:dyDescent="0.25">
      <c r="A1793" s="211">
        <f t="shared" si="27"/>
        <v>7703025</v>
      </c>
      <c r="B1793" s="213" t="s">
        <v>3004</v>
      </c>
      <c r="C1793" s="213" t="s">
        <v>3005</v>
      </c>
    </row>
    <row r="1794" spans="1:3" x14ac:dyDescent="0.25">
      <c r="A1794" s="211">
        <f t="shared" ref="A1794:A1857" si="28">IFERROR(B1794*1,"")</f>
        <v>7703026</v>
      </c>
      <c r="B1794" s="213" t="s">
        <v>3006</v>
      </c>
      <c r="C1794" s="213" t="s">
        <v>3007</v>
      </c>
    </row>
    <row r="1795" spans="1:3" x14ac:dyDescent="0.25">
      <c r="A1795" s="211">
        <f t="shared" si="28"/>
        <v>7703029</v>
      </c>
      <c r="B1795" s="213" t="s">
        <v>3008</v>
      </c>
      <c r="C1795" s="213" t="s">
        <v>3009</v>
      </c>
    </row>
    <row r="1796" spans="1:3" x14ac:dyDescent="0.25">
      <c r="A1796" s="211">
        <f t="shared" si="28"/>
        <v>7703030</v>
      </c>
      <c r="B1796" s="213" t="s">
        <v>3010</v>
      </c>
      <c r="C1796" s="213" t="s">
        <v>3011</v>
      </c>
    </row>
    <row r="1797" spans="1:3" x14ac:dyDescent="0.25">
      <c r="A1797" s="211">
        <f t="shared" si="28"/>
        <v>7703031</v>
      </c>
      <c r="B1797" s="213" t="s">
        <v>3012</v>
      </c>
      <c r="C1797" s="213" t="s">
        <v>3013</v>
      </c>
    </row>
    <row r="1798" spans="1:3" x14ac:dyDescent="0.25">
      <c r="A1798" s="211">
        <f t="shared" si="28"/>
        <v>7703033</v>
      </c>
      <c r="B1798" s="213" t="s">
        <v>3014</v>
      </c>
      <c r="C1798" s="213" t="s">
        <v>3015</v>
      </c>
    </row>
    <row r="1799" spans="1:3" x14ac:dyDescent="0.25">
      <c r="A1799" s="211">
        <f t="shared" si="28"/>
        <v>7703035</v>
      </c>
      <c r="B1799" s="213" t="s">
        <v>3016</v>
      </c>
      <c r="C1799" s="213" t="s">
        <v>3017</v>
      </c>
    </row>
    <row r="1800" spans="1:3" x14ac:dyDescent="0.25">
      <c r="A1800" s="211">
        <f t="shared" si="28"/>
        <v>7703036</v>
      </c>
      <c r="B1800" s="213" t="s">
        <v>3018</v>
      </c>
      <c r="C1800" s="213" t="s">
        <v>3019</v>
      </c>
    </row>
    <row r="1801" spans="1:3" x14ac:dyDescent="0.25">
      <c r="A1801" s="211">
        <f t="shared" si="28"/>
        <v>7703037</v>
      </c>
      <c r="B1801" s="213" t="s">
        <v>3020</v>
      </c>
      <c r="C1801" s="213" t="s">
        <v>3021</v>
      </c>
    </row>
    <row r="1802" spans="1:3" x14ac:dyDescent="0.25">
      <c r="A1802" s="211">
        <f t="shared" si="28"/>
        <v>7703038</v>
      </c>
      <c r="B1802" s="213" t="s">
        <v>3022</v>
      </c>
      <c r="C1802" s="213" t="s">
        <v>3023</v>
      </c>
    </row>
    <row r="1803" spans="1:3" x14ac:dyDescent="0.25">
      <c r="A1803" s="211">
        <f t="shared" si="28"/>
        <v>7703039</v>
      </c>
      <c r="B1803" s="213" t="s">
        <v>3024</v>
      </c>
      <c r="C1803" s="213" t="s">
        <v>3025</v>
      </c>
    </row>
    <row r="1804" spans="1:3" x14ac:dyDescent="0.25">
      <c r="A1804" s="211">
        <f t="shared" si="28"/>
        <v>7703047</v>
      </c>
      <c r="B1804" s="213" t="s">
        <v>3026</v>
      </c>
      <c r="C1804" s="213" t="s">
        <v>3027</v>
      </c>
    </row>
    <row r="1805" spans="1:3" x14ac:dyDescent="0.25">
      <c r="A1805" s="211">
        <f t="shared" si="28"/>
        <v>7703050</v>
      </c>
      <c r="B1805" s="213" t="s">
        <v>3028</v>
      </c>
      <c r="C1805" s="213" t="s">
        <v>3029</v>
      </c>
    </row>
    <row r="1806" spans="1:3" x14ac:dyDescent="0.25">
      <c r="A1806" s="211">
        <f t="shared" si="28"/>
        <v>7703051</v>
      </c>
      <c r="B1806" s="213" t="s">
        <v>3030</v>
      </c>
      <c r="C1806" s="213" t="s">
        <v>3031</v>
      </c>
    </row>
    <row r="1807" spans="1:3" x14ac:dyDescent="0.25">
      <c r="A1807" s="211">
        <f t="shared" si="28"/>
        <v>7703052</v>
      </c>
      <c r="B1807" s="213" t="s">
        <v>3032</v>
      </c>
      <c r="C1807" s="213" t="s">
        <v>3033</v>
      </c>
    </row>
    <row r="1808" spans="1:3" x14ac:dyDescent="0.25">
      <c r="A1808" s="211">
        <f t="shared" si="28"/>
        <v>7703053</v>
      </c>
      <c r="B1808" s="213" t="s">
        <v>3034</v>
      </c>
      <c r="C1808" s="213" t="s">
        <v>3035</v>
      </c>
    </row>
    <row r="1809" spans="1:3" x14ac:dyDescent="0.25">
      <c r="A1809" s="211">
        <f t="shared" si="28"/>
        <v>7703054</v>
      </c>
      <c r="B1809" s="213" t="s">
        <v>3036</v>
      </c>
      <c r="C1809" s="213" t="s">
        <v>3037</v>
      </c>
    </row>
    <row r="1810" spans="1:3" x14ac:dyDescent="0.25">
      <c r="A1810" s="211">
        <f t="shared" si="28"/>
        <v>7703055</v>
      </c>
      <c r="B1810" s="213" t="s">
        <v>3038</v>
      </c>
      <c r="C1810" s="213" t="s">
        <v>7579</v>
      </c>
    </row>
    <row r="1811" spans="1:3" x14ac:dyDescent="0.25">
      <c r="A1811" s="211">
        <f t="shared" si="28"/>
        <v>7703056</v>
      </c>
      <c r="B1811" s="213" t="s">
        <v>3039</v>
      </c>
      <c r="C1811" s="213" t="s">
        <v>3040</v>
      </c>
    </row>
    <row r="1812" spans="1:3" x14ac:dyDescent="0.25">
      <c r="A1812" s="211">
        <f t="shared" si="28"/>
        <v>7703057</v>
      </c>
      <c r="B1812" s="213" t="s">
        <v>3041</v>
      </c>
      <c r="C1812" s="213" t="s">
        <v>3042</v>
      </c>
    </row>
    <row r="1813" spans="1:3" x14ac:dyDescent="0.25">
      <c r="A1813" s="211">
        <f t="shared" si="28"/>
        <v>7703060</v>
      </c>
      <c r="B1813" s="213" t="s">
        <v>3043</v>
      </c>
      <c r="C1813" s="213" t="s">
        <v>3044</v>
      </c>
    </row>
    <row r="1814" spans="1:3" x14ac:dyDescent="0.25">
      <c r="A1814" s="211">
        <f t="shared" si="28"/>
        <v>7703061</v>
      </c>
      <c r="B1814" s="213" t="s">
        <v>3045</v>
      </c>
      <c r="C1814" s="213" t="s">
        <v>3046</v>
      </c>
    </row>
    <row r="1815" spans="1:3" x14ac:dyDescent="0.25">
      <c r="A1815" s="211">
        <f t="shared" si="28"/>
        <v>7703062</v>
      </c>
      <c r="B1815" s="213" t="s">
        <v>3047</v>
      </c>
      <c r="C1815" s="213" t="s">
        <v>7580</v>
      </c>
    </row>
    <row r="1816" spans="1:3" x14ac:dyDescent="0.25">
      <c r="A1816" s="211">
        <f t="shared" si="28"/>
        <v>7703065</v>
      </c>
      <c r="B1816" s="213" t="s">
        <v>3048</v>
      </c>
      <c r="C1816" s="213" t="s">
        <v>3049</v>
      </c>
    </row>
    <row r="1817" spans="1:3" x14ac:dyDescent="0.25">
      <c r="A1817" s="211">
        <f t="shared" si="28"/>
        <v>7703066</v>
      </c>
      <c r="B1817" s="213" t="s">
        <v>3050</v>
      </c>
      <c r="C1817" s="213" t="s">
        <v>3051</v>
      </c>
    </row>
    <row r="1818" spans="1:3" x14ac:dyDescent="0.25">
      <c r="A1818" s="211">
        <f t="shared" si="28"/>
        <v>7703067</v>
      </c>
      <c r="B1818" s="213" t="s">
        <v>3052</v>
      </c>
      <c r="C1818" s="213" t="s">
        <v>3053</v>
      </c>
    </row>
    <row r="1819" spans="1:3" x14ac:dyDescent="0.25">
      <c r="A1819" s="211">
        <f t="shared" si="28"/>
        <v>7703070</v>
      </c>
      <c r="B1819" s="213" t="s">
        <v>3054</v>
      </c>
      <c r="C1819" s="213" t="s">
        <v>3055</v>
      </c>
    </row>
    <row r="1820" spans="1:3" x14ac:dyDescent="0.25">
      <c r="A1820" s="211">
        <f t="shared" si="28"/>
        <v>7703071</v>
      </c>
      <c r="B1820" s="213" t="s">
        <v>3056</v>
      </c>
      <c r="C1820" s="213" t="s">
        <v>3057</v>
      </c>
    </row>
    <row r="1821" spans="1:3" x14ac:dyDescent="0.25">
      <c r="A1821" s="211">
        <f t="shared" si="28"/>
        <v>7703072</v>
      </c>
      <c r="B1821" s="213" t="s">
        <v>3058</v>
      </c>
      <c r="C1821" s="213" t="s">
        <v>3059</v>
      </c>
    </row>
    <row r="1822" spans="1:3" x14ac:dyDescent="0.25">
      <c r="A1822" s="211">
        <f t="shared" si="28"/>
        <v>7703073</v>
      </c>
      <c r="B1822" s="213" t="s">
        <v>13471</v>
      </c>
      <c r="C1822" s="213" t="s">
        <v>13472</v>
      </c>
    </row>
    <row r="1823" spans="1:3" x14ac:dyDescent="0.25">
      <c r="A1823" s="211">
        <f t="shared" si="28"/>
        <v>7703074</v>
      </c>
      <c r="B1823" s="213" t="s">
        <v>13792</v>
      </c>
      <c r="C1823" s="213" t="s">
        <v>13793</v>
      </c>
    </row>
    <row r="1824" spans="1:3" x14ac:dyDescent="0.25">
      <c r="A1824" s="211">
        <f t="shared" si="28"/>
        <v>7703105</v>
      </c>
      <c r="B1824" s="213" t="s">
        <v>3060</v>
      </c>
      <c r="C1824" s="213" t="s">
        <v>3061</v>
      </c>
    </row>
    <row r="1825" spans="1:3" x14ac:dyDescent="0.25">
      <c r="A1825" s="211">
        <f t="shared" si="28"/>
        <v>7703106</v>
      </c>
      <c r="B1825" s="213" t="s">
        <v>3062</v>
      </c>
      <c r="C1825" s="213" t="s">
        <v>3063</v>
      </c>
    </row>
    <row r="1826" spans="1:3" x14ac:dyDescent="0.25">
      <c r="A1826" s="211">
        <f t="shared" si="28"/>
        <v>7703107</v>
      </c>
      <c r="B1826" s="213" t="s">
        <v>3064</v>
      </c>
      <c r="C1826" s="213" t="s">
        <v>3065</v>
      </c>
    </row>
    <row r="1827" spans="1:3" x14ac:dyDescent="0.25">
      <c r="A1827" s="211">
        <f t="shared" si="28"/>
        <v>7703108</v>
      </c>
      <c r="B1827" s="213" t="s">
        <v>3066</v>
      </c>
      <c r="C1827" s="213" t="s">
        <v>3067</v>
      </c>
    </row>
    <row r="1828" spans="1:3" x14ac:dyDescent="0.25">
      <c r="A1828" s="211">
        <f t="shared" si="28"/>
        <v>7703109</v>
      </c>
      <c r="B1828" s="213" t="s">
        <v>3068</v>
      </c>
      <c r="C1828" s="213" t="s">
        <v>3069</v>
      </c>
    </row>
    <row r="1829" spans="1:3" x14ac:dyDescent="0.25">
      <c r="A1829" s="211">
        <f t="shared" si="28"/>
        <v>7703110</v>
      </c>
      <c r="B1829" s="213" t="s">
        <v>3070</v>
      </c>
      <c r="C1829" s="213" t="s">
        <v>3071</v>
      </c>
    </row>
    <row r="1830" spans="1:3" x14ac:dyDescent="0.25">
      <c r="A1830" s="211">
        <f t="shared" si="28"/>
        <v>7703111</v>
      </c>
      <c r="B1830" s="213" t="s">
        <v>3072</v>
      </c>
      <c r="C1830" s="213" t="s">
        <v>3073</v>
      </c>
    </row>
    <row r="1831" spans="1:3" x14ac:dyDescent="0.25">
      <c r="A1831" s="211">
        <f t="shared" si="28"/>
        <v>7703112</v>
      </c>
      <c r="B1831" s="213" t="s">
        <v>3074</v>
      </c>
      <c r="C1831" s="213" t="s">
        <v>3075</v>
      </c>
    </row>
    <row r="1832" spans="1:3" x14ac:dyDescent="0.25">
      <c r="A1832" s="211">
        <f t="shared" si="28"/>
        <v>7703113</v>
      </c>
      <c r="B1832" s="213" t="s">
        <v>3076</v>
      </c>
      <c r="C1832" s="213" t="s">
        <v>3077</v>
      </c>
    </row>
    <row r="1833" spans="1:3" x14ac:dyDescent="0.25">
      <c r="A1833" s="211">
        <f t="shared" si="28"/>
        <v>7703114</v>
      </c>
      <c r="B1833" s="213" t="s">
        <v>3078</v>
      </c>
      <c r="C1833" s="213" t="s">
        <v>3079</v>
      </c>
    </row>
    <row r="1834" spans="1:3" x14ac:dyDescent="0.25">
      <c r="A1834" s="211">
        <f t="shared" si="28"/>
        <v>7703115</v>
      </c>
      <c r="B1834" s="213" t="s">
        <v>3080</v>
      </c>
      <c r="C1834" s="213" t="s">
        <v>3081</v>
      </c>
    </row>
    <row r="1835" spans="1:3" x14ac:dyDescent="0.25">
      <c r="A1835" s="211">
        <f t="shared" si="28"/>
        <v>7703116</v>
      </c>
      <c r="B1835" s="213" t="s">
        <v>3082</v>
      </c>
      <c r="C1835" s="213" t="s">
        <v>3083</v>
      </c>
    </row>
    <row r="1836" spans="1:3" x14ac:dyDescent="0.25">
      <c r="A1836" s="211">
        <f t="shared" si="28"/>
        <v>7703117</v>
      </c>
      <c r="B1836" s="213" t="s">
        <v>3084</v>
      </c>
      <c r="C1836" s="213" t="s">
        <v>3085</v>
      </c>
    </row>
    <row r="1837" spans="1:3" x14ac:dyDescent="0.25">
      <c r="A1837" s="211">
        <f t="shared" si="28"/>
        <v>7703118</v>
      </c>
      <c r="B1837" s="213" t="s">
        <v>3086</v>
      </c>
      <c r="C1837" s="213" t="s">
        <v>3087</v>
      </c>
    </row>
    <row r="1838" spans="1:3" x14ac:dyDescent="0.25">
      <c r="A1838" s="211">
        <f t="shared" si="28"/>
        <v>7703119</v>
      </c>
      <c r="B1838" s="213" t="s">
        <v>3088</v>
      </c>
      <c r="C1838" s="213" t="s">
        <v>3089</v>
      </c>
    </row>
    <row r="1839" spans="1:3" x14ac:dyDescent="0.25">
      <c r="A1839" s="211">
        <f t="shared" si="28"/>
        <v>7703120</v>
      </c>
      <c r="B1839" s="213" t="s">
        <v>3090</v>
      </c>
      <c r="C1839" s="213" t="s">
        <v>3091</v>
      </c>
    </row>
    <row r="1840" spans="1:3" x14ac:dyDescent="0.25">
      <c r="A1840" s="211">
        <f t="shared" si="28"/>
        <v>7703121</v>
      </c>
      <c r="B1840" s="213" t="s">
        <v>3092</v>
      </c>
      <c r="C1840" s="213" t="s">
        <v>3093</v>
      </c>
    </row>
    <row r="1841" spans="1:3" x14ac:dyDescent="0.25">
      <c r="A1841" s="211">
        <f t="shared" si="28"/>
        <v>7703125</v>
      </c>
      <c r="B1841" s="213" t="s">
        <v>3094</v>
      </c>
      <c r="C1841" s="213" t="s">
        <v>3095</v>
      </c>
    </row>
    <row r="1842" spans="1:3" x14ac:dyDescent="0.25">
      <c r="A1842" s="211">
        <f t="shared" si="28"/>
        <v>7703129</v>
      </c>
      <c r="B1842" s="213" t="s">
        <v>3096</v>
      </c>
      <c r="C1842" s="213" t="s">
        <v>3097</v>
      </c>
    </row>
    <row r="1843" spans="1:3" x14ac:dyDescent="0.25">
      <c r="A1843" s="211">
        <f t="shared" si="28"/>
        <v>7703130</v>
      </c>
      <c r="B1843" s="213" t="s">
        <v>3098</v>
      </c>
      <c r="C1843" s="213" t="s">
        <v>3099</v>
      </c>
    </row>
    <row r="1844" spans="1:3" x14ac:dyDescent="0.25">
      <c r="A1844" s="211">
        <f t="shared" si="28"/>
        <v>7703143</v>
      </c>
      <c r="B1844" s="213" t="s">
        <v>3100</v>
      </c>
      <c r="C1844" s="213" t="s">
        <v>3101</v>
      </c>
    </row>
    <row r="1845" spans="1:3" x14ac:dyDescent="0.25">
      <c r="A1845" s="211">
        <f t="shared" si="28"/>
        <v>7703144</v>
      </c>
      <c r="B1845" s="213" t="s">
        <v>13794</v>
      </c>
      <c r="C1845" s="213" t="s">
        <v>13795</v>
      </c>
    </row>
    <row r="1846" spans="1:3" x14ac:dyDescent="0.25">
      <c r="A1846" s="211">
        <f t="shared" si="28"/>
        <v>7703157</v>
      </c>
      <c r="B1846" s="213" t="s">
        <v>3102</v>
      </c>
      <c r="C1846" s="213" t="s">
        <v>3103</v>
      </c>
    </row>
    <row r="1847" spans="1:3" x14ac:dyDescent="0.25">
      <c r="A1847" s="211">
        <f t="shared" si="28"/>
        <v>7703158</v>
      </c>
      <c r="B1847" s="213" t="s">
        <v>3104</v>
      </c>
      <c r="C1847" s="213" t="s">
        <v>3105</v>
      </c>
    </row>
    <row r="1848" spans="1:3" x14ac:dyDescent="0.25">
      <c r="A1848" s="211">
        <f t="shared" si="28"/>
        <v>7703159</v>
      </c>
      <c r="B1848" s="213" t="s">
        <v>3106</v>
      </c>
      <c r="C1848" s="213" t="s">
        <v>3107</v>
      </c>
    </row>
    <row r="1849" spans="1:3" x14ac:dyDescent="0.25">
      <c r="A1849" s="211">
        <f t="shared" si="28"/>
        <v>7703164</v>
      </c>
      <c r="B1849" s="213" t="s">
        <v>3108</v>
      </c>
      <c r="C1849" s="213" t="s">
        <v>3109</v>
      </c>
    </row>
    <row r="1850" spans="1:3" x14ac:dyDescent="0.25">
      <c r="A1850" s="211">
        <f t="shared" si="28"/>
        <v>7703185</v>
      </c>
      <c r="B1850" s="213" t="s">
        <v>3110</v>
      </c>
      <c r="C1850" s="213" t="s">
        <v>3111</v>
      </c>
    </row>
    <row r="1851" spans="1:3" x14ac:dyDescent="0.25">
      <c r="A1851" s="211">
        <f t="shared" si="28"/>
        <v>7703200</v>
      </c>
      <c r="B1851" s="213" t="s">
        <v>3112</v>
      </c>
      <c r="C1851" s="213" t="s">
        <v>3113</v>
      </c>
    </row>
    <row r="1852" spans="1:3" x14ac:dyDescent="0.25">
      <c r="A1852" s="211">
        <f t="shared" si="28"/>
        <v>7703250</v>
      </c>
      <c r="B1852" s="213" t="s">
        <v>13324</v>
      </c>
      <c r="C1852" s="213" t="s">
        <v>13325</v>
      </c>
    </row>
    <row r="1853" spans="1:3" x14ac:dyDescent="0.25">
      <c r="A1853" s="211">
        <f t="shared" si="28"/>
        <v>7703251</v>
      </c>
      <c r="B1853" s="213" t="s">
        <v>13326</v>
      </c>
      <c r="C1853" s="213" t="s">
        <v>13327</v>
      </c>
    </row>
    <row r="1854" spans="1:3" x14ac:dyDescent="0.25">
      <c r="A1854" s="211">
        <f t="shared" si="28"/>
        <v>7703252</v>
      </c>
      <c r="B1854" s="213" t="s">
        <v>13328</v>
      </c>
      <c r="C1854" s="213" t="s">
        <v>13329</v>
      </c>
    </row>
    <row r="1855" spans="1:3" x14ac:dyDescent="0.25">
      <c r="A1855" s="211">
        <f t="shared" si="28"/>
        <v>7703253</v>
      </c>
      <c r="B1855" s="213" t="s">
        <v>13330</v>
      </c>
      <c r="C1855" s="213" t="s">
        <v>13331</v>
      </c>
    </row>
    <row r="1856" spans="1:3" x14ac:dyDescent="0.25">
      <c r="A1856" s="211">
        <f t="shared" si="28"/>
        <v>7703254</v>
      </c>
      <c r="B1856" s="213" t="s">
        <v>13332</v>
      </c>
      <c r="C1856" s="213" t="s">
        <v>13333</v>
      </c>
    </row>
    <row r="1857" spans="1:3" x14ac:dyDescent="0.25">
      <c r="A1857" s="211">
        <f t="shared" si="28"/>
        <v>7703255</v>
      </c>
      <c r="B1857" s="213" t="s">
        <v>13334</v>
      </c>
      <c r="C1857" s="213" t="s">
        <v>13335</v>
      </c>
    </row>
    <row r="1858" spans="1:3" x14ac:dyDescent="0.25">
      <c r="A1858" s="211">
        <f t="shared" ref="A1858:A1921" si="29">IFERROR(B1858*1,"")</f>
        <v>7703256</v>
      </c>
      <c r="B1858" s="213" t="s">
        <v>13336</v>
      </c>
      <c r="C1858" s="213" t="s">
        <v>13337</v>
      </c>
    </row>
    <row r="1859" spans="1:3" x14ac:dyDescent="0.25">
      <c r="A1859" s="211">
        <f t="shared" si="29"/>
        <v>7703260</v>
      </c>
      <c r="B1859" s="213" t="s">
        <v>3114</v>
      </c>
      <c r="C1859" s="213" t="s">
        <v>3115</v>
      </c>
    </row>
    <row r="1860" spans="1:3" x14ac:dyDescent="0.25">
      <c r="A1860" s="211">
        <f t="shared" si="29"/>
        <v>7703340</v>
      </c>
      <c r="B1860" s="213" t="s">
        <v>3116</v>
      </c>
      <c r="C1860" s="213" t="s">
        <v>3117</v>
      </c>
    </row>
    <row r="1861" spans="1:3" x14ac:dyDescent="0.25">
      <c r="A1861" s="211">
        <f t="shared" si="29"/>
        <v>7703341</v>
      </c>
      <c r="B1861" s="213" t="s">
        <v>3118</v>
      </c>
      <c r="C1861" s="213" t="s">
        <v>3119</v>
      </c>
    </row>
    <row r="1862" spans="1:3" x14ac:dyDescent="0.25">
      <c r="A1862" s="211">
        <f t="shared" si="29"/>
        <v>7703420</v>
      </c>
      <c r="B1862" s="213" t="s">
        <v>3120</v>
      </c>
      <c r="C1862" s="213" t="s">
        <v>3121</v>
      </c>
    </row>
    <row r="1863" spans="1:3" x14ac:dyDescent="0.25">
      <c r="A1863" s="211">
        <f t="shared" si="29"/>
        <v>7703540</v>
      </c>
      <c r="B1863" s="213" t="s">
        <v>3122</v>
      </c>
      <c r="C1863" s="213" t="s">
        <v>3123</v>
      </c>
    </row>
    <row r="1864" spans="1:3" x14ac:dyDescent="0.25">
      <c r="A1864" s="211">
        <f t="shared" si="29"/>
        <v>7703599</v>
      </c>
      <c r="B1864" s="213" t="s">
        <v>3124</v>
      </c>
      <c r="C1864" s="213" t="s">
        <v>3125</v>
      </c>
    </row>
    <row r="1865" spans="1:3" x14ac:dyDescent="0.25">
      <c r="A1865" s="211">
        <f t="shared" si="29"/>
        <v>7703600</v>
      </c>
      <c r="B1865" s="213" t="s">
        <v>3126</v>
      </c>
      <c r="C1865" s="213" t="s">
        <v>3127</v>
      </c>
    </row>
    <row r="1866" spans="1:3" x14ac:dyDescent="0.25">
      <c r="A1866" s="211">
        <f t="shared" si="29"/>
        <v>7703601</v>
      </c>
      <c r="B1866" s="213" t="s">
        <v>3128</v>
      </c>
      <c r="C1866" s="213" t="s">
        <v>3129</v>
      </c>
    </row>
    <row r="1867" spans="1:3" x14ac:dyDescent="0.25">
      <c r="A1867" s="211">
        <f t="shared" si="29"/>
        <v>7703602</v>
      </c>
      <c r="B1867" s="213" t="s">
        <v>3130</v>
      </c>
      <c r="C1867" s="213" t="s">
        <v>3131</v>
      </c>
    </row>
    <row r="1868" spans="1:3" x14ac:dyDescent="0.25">
      <c r="A1868" s="211">
        <f t="shared" si="29"/>
        <v>7703603</v>
      </c>
      <c r="B1868" s="213" t="s">
        <v>3132</v>
      </c>
      <c r="C1868" s="213" t="s">
        <v>3133</v>
      </c>
    </row>
    <row r="1869" spans="1:3" x14ac:dyDescent="0.25">
      <c r="A1869" s="211">
        <f t="shared" si="29"/>
        <v>7703604</v>
      </c>
      <c r="B1869" s="213" t="s">
        <v>3134</v>
      </c>
      <c r="C1869" s="213" t="s">
        <v>3135</v>
      </c>
    </row>
    <row r="1870" spans="1:3" x14ac:dyDescent="0.25">
      <c r="A1870" s="211">
        <f t="shared" si="29"/>
        <v>7703605</v>
      </c>
      <c r="B1870" s="213" t="s">
        <v>3136</v>
      </c>
      <c r="C1870" s="213" t="s">
        <v>3137</v>
      </c>
    </row>
    <row r="1871" spans="1:3" x14ac:dyDescent="0.25">
      <c r="A1871" s="211">
        <f t="shared" si="29"/>
        <v>7703606</v>
      </c>
      <c r="B1871" s="213" t="s">
        <v>3138</v>
      </c>
      <c r="C1871" s="213" t="s">
        <v>3139</v>
      </c>
    </row>
    <row r="1872" spans="1:3" x14ac:dyDescent="0.25">
      <c r="A1872" s="211">
        <f t="shared" si="29"/>
        <v>7703607</v>
      </c>
      <c r="B1872" s="213" t="s">
        <v>3140</v>
      </c>
      <c r="C1872" s="213" t="s">
        <v>3141</v>
      </c>
    </row>
    <row r="1873" spans="1:3" x14ac:dyDescent="0.25">
      <c r="A1873" s="211">
        <f t="shared" si="29"/>
        <v>7703640</v>
      </c>
      <c r="B1873" s="213" t="s">
        <v>3142</v>
      </c>
      <c r="C1873" s="213" t="s">
        <v>3143</v>
      </c>
    </row>
    <row r="1874" spans="1:3" x14ac:dyDescent="0.25">
      <c r="A1874" s="211">
        <f t="shared" si="29"/>
        <v>7703651</v>
      </c>
      <c r="B1874" s="213" t="s">
        <v>3144</v>
      </c>
      <c r="C1874" s="213" t="s">
        <v>3145</v>
      </c>
    </row>
    <row r="1875" spans="1:3" x14ac:dyDescent="0.25">
      <c r="A1875" s="211">
        <f t="shared" si="29"/>
        <v>7703652</v>
      </c>
      <c r="B1875" s="213" t="s">
        <v>3146</v>
      </c>
      <c r="C1875" s="213" t="s">
        <v>3147</v>
      </c>
    </row>
    <row r="1876" spans="1:3" x14ac:dyDescent="0.25">
      <c r="A1876" s="211">
        <f t="shared" si="29"/>
        <v>7703653</v>
      </c>
      <c r="B1876" s="213" t="s">
        <v>3148</v>
      </c>
      <c r="C1876" s="213" t="s">
        <v>3149</v>
      </c>
    </row>
    <row r="1877" spans="1:3" x14ac:dyDescent="0.25">
      <c r="A1877" s="211">
        <f t="shared" si="29"/>
        <v>7703660</v>
      </c>
      <c r="B1877" s="213" t="s">
        <v>3150</v>
      </c>
      <c r="C1877" s="213" t="s">
        <v>3151</v>
      </c>
    </row>
    <row r="1878" spans="1:3" x14ac:dyDescent="0.25">
      <c r="A1878" s="211">
        <f t="shared" si="29"/>
        <v>7703664</v>
      </c>
      <c r="B1878" s="213" t="s">
        <v>3152</v>
      </c>
      <c r="C1878" s="213" t="s">
        <v>3153</v>
      </c>
    </row>
    <row r="1879" spans="1:3" x14ac:dyDescent="0.25">
      <c r="A1879" s="211">
        <f t="shared" si="29"/>
        <v>7703665</v>
      </c>
      <c r="B1879" s="213" t="s">
        <v>3154</v>
      </c>
      <c r="C1879" s="213" t="s">
        <v>3155</v>
      </c>
    </row>
    <row r="1880" spans="1:3" x14ac:dyDescent="0.25">
      <c r="A1880" s="211">
        <f t="shared" si="29"/>
        <v>7703666</v>
      </c>
      <c r="B1880" s="213" t="s">
        <v>3156</v>
      </c>
      <c r="C1880" s="213" t="s">
        <v>3157</v>
      </c>
    </row>
    <row r="1881" spans="1:3" x14ac:dyDescent="0.25">
      <c r="A1881" s="211">
        <f t="shared" si="29"/>
        <v>7703667</v>
      </c>
      <c r="B1881" s="213" t="s">
        <v>3158</v>
      </c>
      <c r="C1881" s="213" t="s">
        <v>3159</v>
      </c>
    </row>
    <row r="1882" spans="1:3" x14ac:dyDescent="0.25">
      <c r="A1882" s="211">
        <f t="shared" si="29"/>
        <v>7703668</v>
      </c>
      <c r="B1882" s="213" t="s">
        <v>3160</v>
      </c>
      <c r="C1882" s="213" t="s">
        <v>3161</v>
      </c>
    </row>
    <row r="1883" spans="1:3" x14ac:dyDescent="0.25">
      <c r="A1883" s="211">
        <f t="shared" si="29"/>
        <v>7703669</v>
      </c>
      <c r="B1883" s="213" t="s">
        <v>3162</v>
      </c>
      <c r="C1883" s="213" t="s">
        <v>3163</v>
      </c>
    </row>
    <row r="1884" spans="1:3" x14ac:dyDescent="0.25">
      <c r="A1884" s="211">
        <f t="shared" si="29"/>
        <v>7703670</v>
      </c>
      <c r="B1884" s="213" t="s">
        <v>3164</v>
      </c>
      <c r="C1884" s="213" t="s">
        <v>3165</v>
      </c>
    </row>
    <row r="1885" spans="1:3" x14ac:dyDescent="0.25">
      <c r="A1885" s="211">
        <f t="shared" si="29"/>
        <v>7703671</v>
      </c>
      <c r="B1885" s="213" t="s">
        <v>3166</v>
      </c>
      <c r="C1885" s="213" t="s">
        <v>3167</v>
      </c>
    </row>
    <row r="1886" spans="1:3" x14ac:dyDescent="0.25">
      <c r="A1886" s="211">
        <f t="shared" si="29"/>
        <v>7703672</v>
      </c>
      <c r="B1886" s="213" t="s">
        <v>3168</v>
      </c>
      <c r="C1886" s="213" t="s">
        <v>3169</v>
      </c>
    </row>
    <row r="1887" spans="1:3" x14ac:dyDescent="0.25">
      <c r="A1887" s="211">
        <f t="shared" si="29"/>
        <v>7703673</v>
      </c>
      <c r="B1887" s="213" t="s">
        <v>3170</v>
      </c>
      <c r="C1887" s="213" t="s">
        <v>3171</v>
      </c>
    </row>
    <row r="1888" spans="1:3" x14ac:dyDescent="0.25">
      <c r="A1888" s="211">
        <f t="shared" si="29"/>
        <v>7703674</v>
      </c>
      <c r="B1888" s="213" t="s">
        <v>3172</v>
      </c>
      <c r="C1888" s="213" t="s">
        <v>3173</v>
      </c>
    </row>
    <row r="1889" spans="1:3" x14ac:dyDescent="0.25">
      <c r="A1889" s="211">
        <f t="shared" si="29"/>
        <v>7703675</v>
      </c>
      <c r="B1889" s="213" t="s">
        <v>3174</v>
      </c>
      <c r="C1889" s="213" t="s">
        <v>3175</v>
      </c>
    </row>
    <row r="1890" spans="1:3" x14ac:dyDescent="0.25">
      <c r="A1890" s="211">
        <f t="shared" si="29"/>
        <v>7703676</v>
      </c>
      <c r="B1890" s="213" t="s">
        <v>3176</v>
      </c>
      <c r="C1890" s="213" t="s">
        <v>3177</v>
      </c>
    </row>
    <row r="1891" spans="1:3" x14ac:dyDescent="0.25">
      <c r="A1891" s="211">
        <f t="shared" si="29"/>
        <v>7703678</v>
      </c>
      <c r="B1891" s="213" t="s">
        <v>3178</v>
      </c>
      <c r="C1891" s="213" t="s">
        <v>3179</v>
      </c>
    </row>
    <row r="1892" spans="1:3" x14ac:dyDescent="0.25">
      <c r="A1892" s="211">
        <f t="shared" si="29"/>
        <v>7703701</v>
      </c>
      <c r="B1892" s="213" t="s">
        <v>3180</v>
      </c>
      <c r="C1892" s="213" t="s">
        <v>3181</v>
      </c>
    </row>
    <row r="1893" spans="1:3" x14ac:dyDescent="0.25">
      <c r="A1893" s="211">
        <f t="shared" si="29"/>
        <v>7703702</v>
      </c>
      <c r="B1893" s="213" t="s">
        <v>3182</v>
      </c>
      <c r="C1893" s="213" t="s">
        <v>3183</v>
      </c>
    </row>
    <row r="1894" spans="1:3" x14ac:dyDescent="0.25">
      <c r="A1894" s="211">
        <f t="shared" si="29"/>
        <v>7703703</v>
      </c>
      <c r="B1894" s="213" t="s">
        <v>3184</v>
      </c>
      <c r="C1894" s="213" t="s">
        <v>3185</v>
      </c>
    </row>
    <row r="1895" spans="1:3" x14ac:dyDescent="0.25">
      <c r="A1895" s="211">
        <f t="shared" si="29"/>
        <v>7703704</v>
      </c>
      <c r="B1895" s="213" t="s">
        <v>3186</v>
      </c>
      <c r="C1895" s="213" t="s">
        <v>3187</v>
      </c>
    </row>
    <row r="1896" spans="1:3" x14ac:dyDescent="0.25">
      <c r="A1896" s="211">
        <f t="shared" si="29"/>
        <v>7703705</v>
      </c>
      <c r="B1896" s="213" t="s">
        <v>3188</v>
      </c>
      <c r="C1896" s="213" t="s">
        <v>3189</v>
      </c>
    </row>
    <row r="1897" spans="1:3" x14ac:dyDescent="0.25">
      <c r="A1897" s="211">
        <f t="shared" si="29"/>
        <v>7703706</v>
      </c>
      <c r="B1897" s="213" t="s">
        <v>3190</v>
      </c>
      <c r="C1897" s="213" t="s">
        <v>3191</v>
      </c>
    </row>
    <row r="1898" spans="1:3" x14ac:dyDescent="0.25">
      <c r="A1898" s="211">
        <f t="shared" si="29"/>
        <v>7703707</v>
      </c>
      <c r="B1898" s="213" t="s">
        <v>3192</v>
      </c>
      <c r="C1898" s="213" t="s">
        <v>3193</v>
      </c>
    </row>
    <row r="1899" spans="1:3" x14ac:dyDescent="0.25">
      <c r="A1899" s="211">
        <f t="shared" si="29"/>
        <v>7703713</v>
      </c>
      <c r="B1899" s="213" t="s">
        <v>3194</v>
      </c>
      <c r="C1899" s="213" t="s">
        <v>3195</v>
      </c>
    </row>
    <row r="1900" spans="1:3" x14ac:dyDescent="0.25">
      <c r="A1900" s="211">
        <f t="shared" si="29"/>
        <v>7703716</v>
      </c>
      <c r="B1900" s="213" t="s">
        <v>3196</v>
      </c>
      <c r="C1900" s="213" t="s">
        <v>3197</v>
      </c>
    </row>
    <row r="1901" spans="1:3" x14ac:dyDescent="0.25">
      <c r="A1901" s="211">
        <f t="shared" si="29"/>
        <v>7703777</v>
      </c>
      <c r="B1901" s="213" t="s">
        <v>3198</v>
      </c>
      <c r="C1901" s="213" t="s">
        <v>3199</v>
      </c>
    </row>
    <row r="1902" spans="1:3" x14ac:dyDescent="0.25">
      <c r="A1902" s="211">
        <f t="shared" si="29"/>
        <v>7703780</v>
      </c>
      <c r="B1902" s="213" t="s">
        <v>3200</v>
      </c>
      <c r="C1902" s="213" t="s">
        <v>3201</v>
      </c>
    </row>
    <row r="1903" spans="1:3" x14ac:dyDescent="0.25">
      <c r="A1903" s="211">
        <f t="shared" si="29"/>
        <v>7703815</v>
      </c>
      <c r="B1903" s="213" t="s">
        <v>3202</v>
      </c>
      <c r="C1903" s="213" t="s">
        <v>3203</v>
      </c>
    </row>
    <row r="1904" spans="1:3" x14ac:dyDescent="0.25">
      <c r="A1904" s="211">
        <f t="shared" si="29"/>
        <v>7703881</v>
      </c>
      <c r="B1904" s="213" t="s">
        <v>3204</v>
      </c>
      <c r="C1904" s="213" t="s">
        <v>3205</v>
      </c>
    </row>
    <row r="1905" spans="1:3" x14ac:dyDescent="0.25">
      <c r="A1905" s="211">
        <f t="shared" si="29"/>
        <v>7703888</v>
      </c>
      <c r="B1905" s="213" t="s">
        <v>3206</v>
      </c>
      <c r="C1905" s="213" t="s">
        <v>7581</v>
      </c>
    </row>
    <row r="1906" spans="1:3" x14ac:dyDescent="0.25">
      <c r="A1906" s="211">
        <f t="shared" si="29"/>
        <v>7703900</v>
      </c>
      <c r="B1906" s="213" t="s">
        <v>3207</v>
      </c>
      <c r="C1906" s="213" t="s">
        <v>3208</v>
      </c>
    </row>
    <row r="1907" spans="1:3" x14ac:dyDescent="0.25">
      <c r="A1907" s="211">
        <f t="shared" si="29"/>
        <v>7703901</v>
      </c>
      <c r="B1907" s="213" t="s">
        <v>3209</v>
      </c>
      <c r="C1907" s="213" t="s">
        <v>3210</v>
      </c>
    </row>
    <row r="1908" spans="1:3" x14ac:dyDescent="0.25">
      <c r="A1908" s="211">
        <f t="shared" si="29"/>
        <v>7703902</v>
      </c>
      <c r="B1908" s="213" t="s">
        <v>3211</v>
      </c>
      <c r="C1908" s="213" t="s">
        <v>3212</v>
      </c>
    </row>
    <row r="1909" spans="1:3" x14ac:dyDescent="0.25">
      <c r="A1909" s="211">
        <f t="shared" si="29"/>
        <v>7703903</v>
      </c>
      <c r="B1909" s="213" t="s">
        <v>3213</v>
      </c>
      <c r="C1909" s="213" t="s">
        <v>3214</v>
      </c>
    </row>
    <row r="1910" spans="1:3" x14ac:dyDescent="0.25">
      <c r="A1910" s="211">
        <f t="shared" si="29"/>
        <v>7703910</v>
      </c>
      <c r="B1910" s="213" t="s">
        <v>3215</v>
      </c>
      <c r="C1910" s="213" t="s">
        <v>3216</v>
      </c>
    </row>
    <row r="1911" spans="1:3" x14ac:dyDescent="0.25">
      <c r="A1911" s="211">
        <f t="shared" si="29"/>
        <v>7703915</v>
      </c>
      <c r="B1911" s="213" t="s">
        <v>3217</v>
      </c>
      <c r="C1911" s="213" t="s">
        <v>3218</v>
      </c>
    </row>
    <row r="1912" spans="1:3" x14ac:dyDescent="0.25">
      <c r="A1912" s="211">
        <f t="shared" si="29"/>
        <v>7703916</v>
      </c>
      <c r="B1912" s="213" t="s">
        <v>13796</v>
      </c>
      <c r="C1912" s="213" t="s">
        <v>13797</v>
      </c>
    </row>
    <row r="1913" spans="1:3" x14ac:dyDescent="0.25">
      <c r="A1913" s="211">
        <f t="shared" si="29"/>
        <v>7703918</v>
      </c>
      <c r="B1913" s="213" t="s">
        <v>3219</v>
      </c>
      <c r="C1913" s="213" t="s">
        <v>3220</v>
      </c>
    </row>
    <row r="1914" spans="1:3" x14ac:dyDescent="0.25">
      <c r="A1914" s="211">
        <f t="shared" si="29"/>
        <v>7703920</v>
      </c>
      <c r="B1914" s="213" t="s">
        <v>3221</v>
      </c>
      <c r="C1914" s="213" t="s">
        <v>3222</v>
      </c>
    </row>
    <row r="1915" spans="1:3" x14ac:dyDescent="0.25">
      <c r="A1915" s="211">
        <f t="shared" si="29"/>
        <v>7703951</v>
      </c>
      <c r="B1915" s="213" t="s">
        <v>3223</v>
      </c>
      <c r="C1915" s="213" t="s">
        <v>3224</v>
      </c>
    </row>
    <row r="1916" spans="1:3" x14ac:dyDescent="0.25">
      <c r="A1916" s="211">
        <f t="shared" si="29"/>
        <v>7703987</v>
      </c>
      <c r="B1916" s="213" t="s">
        <v>3225</v>
      </c>
      <c r="C1916" s="213" t="s">
        <v>3226</v>
      </c>
    </row>
    <row r="1917" spans="1:3" x14ac:dyDescent="0.25">
      <c r="A1917" s="211">
        <f t="shared" si="29"/>
        <v>7703994</v>
      </c>
      <c r="B1917" s="213" t="s">
        <v>3227</v>
      </c>
      <c r="C1917" s="213" t="s">
        <v>3228</v>
      </c>
    </row>
    <row r="1918" spans="1:3" x14ac:dyDescent="0.25">
      <c r="A1918" s="211">
        <f t="shared" si="29"/>
        <v>7703999</v>
      </c>
      <c r="B1918" s="213" t="s">
        <v>3229</v>
      </c>
      <c r="C1918" s="213" t="s">
        <v>3230</v>
      </c>
    </row>
    <row r="1919" spans="1:3" x14ac:dyDescent="0.25">
      <c r="A1919" s="211" t="str">
        <f t="shared" si="29"/>
        <v/>
      </c>
      <c r="B1919" s="213" t="s">
        <v>3231</v>
      </c>
      <c r="C1919" s="212"/>
    </row>
    <row r="1920" spans="1:3" x14ac:dyDescent="0.25">
      <c r="A1920" s="211">
        <f t="shared" si="29"/>
        <v>7707000</v>
      </c>
      <c r="B1920" s="213" t="s">
        <v>3232</v>
      </c>
      <c r="C1920" s="213" t="s">
        <v>3233</v>
      </c>
    </row>
    <row r="1921" spans="1:3" x14ac:dyDescent="0.25">
      <c r="A1921" s="211">
        <f t="shared" si="29"/>
        <v>7707001</v>
      </c>
      <c r="B1921" s="213" t="s">
        <v>3234</v>
      </c>
      <c r="C1921" s="213" t="s">
        <v>3235</v>
      </c>
    </row>
    <row r="1922" spans="1:3" x14ac:dyDescent="0.25">
      <c r="A1922" s="211">
        <f t="shared" ref="A1922:A1985" si="30">IFERROR(B1922*1,"")</f>
        <v>7707002</v>
      </c>
      <c r="B1922" s="213" t="s">
        <v>3236</v>
      </c>
      <c r="C1922" s="213" t="s">
        <v>3237</v>
      </c>
    </row>
    <row r="1923" spans="1:3" x14ac:dyDescent="0.25">
      <c r="A1923" s="211">
        <f t="shared" si="30"/>
        <v>7707003</v>
      </c>
      <c r="B1923" s="213" t="s">
        <v>3238</v>
      </c>
      <c r="C1923" s="213" t="s">
        <v>3239</v>
      </c>
    </row>
    <row r="1924" spans="1:3" x14ac:dyDescent="0.25">
      <c r="A1924" s="211">
        <f t="shared" si="30"/>
        <v>7707004</v>
      </c>
      <c r="B1924" s="213" t="s">
        <v>3240</v>
      </c>
      <c r="C1924" s="213" t="s">
        <v>3241</v>
      </c>
    </row>
    <row r="1925" spans="1:3" x14ac:dyDescent="0.25">
      <c r="A1925" s="211">
        <f t="shared" si="30"/>
        <v>7707005</v>
      </c>
      <c r="B1925" s="213" t="s">
        <v>3242</v>
      </c>
      <c r="C1925" s="213" t="s">
        <v>3243</v>
      </c>
    </row>
    <row r="1926" spans="1:3" x14ac:dyDescent="0.25">
      <c r="A1926" s="211">
        <f t="shared" si="30"/>
        <v>7707006</v>
      </c>
      <c r="B1926" s="213" t="s">
        <v>3244</v>
      </c>
      <c r="C1926" s="213" t="s">
        <v>3245</v>
      </c>
    </row>
    <row r="1927" spans="1:3" x14ac:dyDescent="0.25">
      <c r="A1927" s="211">
        <f t="shared" si="30"/>
        <v>7707007</v>
      </c>
      <c r="B1927" s="213" t="s">
        <v>3246</v>
      </c>
      <c r="C1927" s="213" t="s">
        <v>3247</v>
      </c>
    </row>
    <row r="1928" spans="1:3" x14ac:dyDescent="0.25">
      <c r="A1928" s="211">
        <f t="shared" si="30"/>
        <v>7707009</v>
      </c>
      <c r="B1928" s="213" t="s">
        <v>3248</v>
      </c>
      <c r="C1928" s="213" t="s">
        <v>3249</v>
      </c>
    </row>
    <row r="1929" spans="1:3" x14ac:dyDescent="0.25">
      <c r="A1929" s="211">
        <f t="shared" si="30"/>
        <v>7707010</v>
      </c>
      <c r="B1929" s="213" t="s">
        <v>3250</v>
      </c>
      <c r="C1929" s="213" t="s">
        <v>3251</v>
      </c>
    </row>
    <row r="1930" spans="1:3" x14ac:dyDescent="0.25">
      <c r="A1930" s="211">
        <f t="shared" si="30"/>
        <v>7707011</v>
      </c>
      <c r="B1930" s="213" t="s">
        <v>3252</v>
      </c>
      <c r="C1930" s="213" t="s">
        <v>3253</v>
      </c>
    </row>
    <row r="1931" spans="1:3" x14ac:dyDescent="0.25">
      <c r="A1931" s="211">
        <f t="shared" si="30"/>
        <v>7707012</v>
      </c>
      <c r="B1931" s="213" t="s">
        <v>3254</v>
      </c>
      <c r="C1931" s="213" t="s">
        <v>3255</v>
      </c>
    </row>
    <row r="1932" spans="1:3" x14ac:dyDescent="0.25">
      <c r="A1932" s="211">
        <f t="shared" si="30"/>
        <v>7707013</v>
      </c>
      <c r="B1932" s="213" t="s">
        <v>3256</v>
      </c>
      <c r="C1932" s="213" t="s">
        <v>3257</v>
      </c>
    </row>
    <row r="1933" spans="1:3" x14ac:dyDescent="0.25">
      <c r="A1933" s="211">
        <f t="shared" si="30"/>
        <v>7707014</v>
      </c>
      <c r="B1933" s="213" t="s">
        <v>3258</v>
      </c>
      <c r="C1933" s="213" t="s">
        <v>3259</v>
      </c>
    </row>
    <row r="1934" spans="1:3" x14ac:dyDescent="0.25">
      <c r="A1934" s="211">
        <f t="shared" si="30"/>
        <v>7707015</v>
      </c>
      <c r="B1934" s="213" t="s">
        <v>3260</v>
      </c>
      <c r="C1934" s="213" t="s">
        <v>3261</v>
      </c>
    </row>
    <row r="1935" spans="1:3" x14ac:dyDescent="0.25">
      <c r="A1935" s="211">
        <f t="shared" si="30"/>
        <v>7707016</v>
      </c>
      <c r="B1935" s="213" t="s">
        <v>3262</v>
      </c>
      <c r="C1935" s="213" t="s">
        <v>3263</v>
      </c>
    </row>
    <row r="1936" spans="1:3" x14ac:dyDescent="0.25">
      <c r="A1936" s="211">
        <f t="shared" si="30"/>
        <v>7707017</v>
      </c>
      <c r="B1936" s="213" t="s">
        <v>3264</v>
      </c>
      <c r="C1936" s="213" t="s">
        <v>3265</v>
      </c>
    </row>
    <row r="1937" spans="1:3" x14ac:dyDescent="0.25">
      <c r="A1937" s="211">
        <f t="shared" si="30"/>
        <v>7707018</v>
      </c>
      <c r="B1937" s="213" t="s">
        <v>3266</v>
      </c>
      <c r="C1937" s="213" t="s">
        <v>3267</v>
      </c>
    </row>
    <row r="1938" spans="1:3" x14ac:dyDescent="0.25">
      <c r="A1938" s="211">
        <f t="shared" si="30"/>
        <v>7707019</v>
      </c>
      <c r="B1938" s="213" t="s">
        <v>3268</v>
      </c>
      <c r="C1938" s="213" t="s">
        <v>3269</v>
      </c>
    </row>
    <row r="1939" spans="1:3" x14ac:dyDescent="0.25">
      <c r="A1939" s="211">
        <f t="shared" si="30"/>
        <v>7707020</v>
      </c>
      <c r="B1939" s="213" t="s">
        <v>3270</v>
      </c>
      <c r="C1939" s="213" t="s">
        <v>3271</v>
      </c>
    </row>
    <row r="1940" spans="1:3" x14ac:dyDescent="0.25">
      <c r="A1940" s="211">
        <f t="shared" si="30"/>
        <v>7707021</v>
      </c>
      <c r="B1940" s="213" t="s">
        <v>3272</v>
      </c>
      <c r="C1940" s="213" t="s">
        <v>3273</v>
      </c>
    </row>
    <row r="1941" spans="1:3" x14ac:dyDescent="0.25">
      <c r="A1941" s="211">
        <f t="shared" si="30"/>
        <v>7707022</v>
      </c>
      <c r="B1941" s="213" t="s">
        <v>7582</v>
      </c>
      <c r="C1941" s="213" t="s">
        <v>7583</v>
      </c>
    </row>
    <row r="1942" spans="1:3" x14ac:dyDescent="0.25">
      <c r="A1942" s="211">
        <f t="shared" si="30"/>
        <v>7707023</v>
      </c>
      <c r="B1942" s="213" t="s">
        <v>13473</v>
      </c>
      <c r="C1942" s="213" t="s">
        <v>13474</v>
      </c>
    </row>
    <row r="1943" spans="1:3" x14ac:dyDescent="0.25">
      <c r="A1943" s="211">
        <f t="shared" si="30"/>
        <v>7707025</v>
      </c>
      <c r="B1943" s="213" t="s">
        <v>3274</v>
      </c>
      <c r="C1943" s="213" t="s">
        <v>3275</v>
      </c>
    </row>
    <row r="1944" spans="1:3" x14ac:dyDescent="0.25">
      <c r="A1944" s="211">
        <f t="shared" si="30"/>
        <v>7707026</v>
      </c>
      <c r="B1944" s="213" t="s">
        <v>13475</v>
      </c>
      <c r="C1944" s="213" t="s">
        <v>13476</v>
      </c>
    </row>
    <row r="1945" spans="1:3" x14ac:dyDescent="0.25">
      <c r="A1945" s="211">
        <f t="shared" si="30"/>
        <v>7707027</v>
      </c>
      <c r="B1945" s="213" t="s">
        <v>13477</v>
      </c>
      <c r="C1945" s="213" t="s">
        <v>13478</v>
      </c>
    </row>
    <row r="1946" spans="1:3" x14ac:dyDescent="0.25">
      <c r="A1946" s="211">
        <f t="shared" si="30"/>
        <v>7707051</v>
      </c>
      <c r="B1946" s="213" t="s">
        <v>3276</v>
      </c>
      <c r="C1946" s="213" t="s">
        <v>3277</v>
      </c>
    </row>
    <row r="1947" spans="1:3" x14ac:dyDescent="0.25">
      <c r="A1947" s="211">
        <f t="shared" si="30"/>
        <v>7707060</v>
      </c>
      <c r="B1947" s="213" t="s">
        <v>3278</v>
      </c>
      <c r="C1947" s="213" t="s">
        <v>3279</v>
      </c>
    </row>
    <row r="1948" spans="1:3" x14ac:dyDescent="0.25">
      <c r="A1948" s="211">
        <f t="shared" si="30"/>
        <v>7707061</v>
      </c>
      <c r="B1948" s="213" t="s">
        <v>3280</v>
      </c>
      <c r="C1948" s="213" t="s">
        <v>3281</v>
      </c>
    </row>
    <row r="1949" spans="1:3" x14ac:dyDescent="0.25">
      <c r="A1949" s="211">
        <f t="shared" si="30"/>
        <v>7707070</v>
      </c>
      <c r="B1949" s="213" t="s">
        <v>3282</v>
      </c>
      <c r="C1949" s="213" t="s">
        <v>3283</v>
      </c>
    </row>
    <row r="1950" spans="1:3" x14ac:dyDescent="0.25">
      <c r="A1950" s="211">
        <f t="shared" si="30"/>
        <v>7707071</v>
      </c>
      <c r="B1950" s="213" t="s">
        <v>3284</v>
      </c>
      <c r="C1950" s="213" t="s">
        <v>3285</v>
      </c>
    </row>
    <row r="1951" spans="1:3" x14ac:dyDescent="0.25">
      <c r="A1951" s="211">
        <f t="shared" si="30"/>
        <v>7707074</v>
      </c>
      <c r="B1951" s="213" t="s">
        <v>3286</v>
      </c>
      <c r="C1951" s="213" t="s">
        <v>3287</v>
      </c>
    </row>
    <row r="1952" spans="1:3" x14ac:dyDescent="0.25">
      <c r="A1952" s="211">
        <f t="shared" si="30"/>
        <v>7707079</v>
      </c>
      <c r="B1952" s="213" t="s">
        <v>3288</v>
      </c>
      <c r="C1952" s="213" t="s">
        <v>3289</v>
      </c>
    </row>
    <row r="1953" spans="1:3" x14ac:dyDescent="0.25">
      <c r="A1953" s="211">
        <f t="shared" si="30"/>
        <v>7707081</v>
      </c>
      <c r="B1953" s="213" t="s">
        <v>3290</v>
      </c>
      <c r="C1953" s="213" t="s">
        <v>3291</v>
      </c>
    </row>
    <row r="1954" spans="1:3" x14ac:dyDescent="0.25">
      <c r="A1954" s="211">
        <f t="shared" si="30"/>
        <v>7707100</v>
      </c>
      <c r="B1954" s="213" t="s">
        <v>3292</v>
      </c>
      <c r="C1954" s="213" t="s">
        <v>3293</v>
      </c>
    </row>
    <row r="1955" spans="1:3" x14ac:dyDescent="0.25">
      <c r="A1955" s="211">
        <f t="shared" si="30"/>
        <v>7707105</v>
      </c>
      <c r="B1955" s="213" t="s">
        <v>3294</v>
      </c>
      <c r="C1955" s="213" t="s">
        <v>3295</v>
      </c>
    </row>
    <row r="1956" spans="1:3" x14ac:dyDescent="0.25">
      <c r="A1956" s="211">
        <f t="shared" si="30"/>
        <v>7707110</v>
      </c>
      <c r="B1956" s="213" t="s">
        <v>3296</v>
      </c>
      <c r="C1956" s="213" t="s">
        <v>3297</v>
      </c>
    </row>
    <row r="1957" spans="1:3" x14ac:dyDescent="0.25">
      <c r="A1957" s="211">
        <f t="shared" si="30"/>
        <v>7707113</v>
      </c>
      <c r="B1957" s="213" t="s">
        <v>3298</v>
      </c>
      <c r="C1957" s="213" t="s">
        <v>3299</v>
      </c>
    </row>
    <row r="1958" spans="1:3" x14ac:dyDescent="0.25">
      <c r="A1958" s="211">
        <f t="shared" si="30"/>
        <v>7707115</v>
      </c>
      <c r="B1958" s="213" t="s">
        <v>3300</v>
      </c>
      <c r="C1958" s="213" t="s">
        <v>3301</v>
      </c>
    </row>
    <row r="1959" spans="1:3" x14ac:dyDescent="0.25">
      <c r="A1959" s="211">
        <f t="shared" si="30"/>
        <v>7707116</v>
      </c>
      <c r="B1959" s="213" t="s">
        <v>3302</v>
      </c>
      <c r="C1959" s="213" t="s">
        <v>3303</v>
      </c>
    </row>
    <row r="1960" spans="1:3" x14ac:dyDescent="0.25">
      <c r="A1960" s="211">
        <f t="shared" si="30"/>
        <v>7707120</v>
      </c>
      <c r="B1960" s="213" t="s">
        <v>3304</v>
      </c>
      <c r="C1960" s="213" t="s">
        <v>3305</v>
      </c>
    </row>
    <row r="1961" spans="1:3" x14ac:dyDescent="0.25">
      <c r="A1961" s="211">
        <f t="shared" si="30"/>
        <v>7707122</v>
      </c>
      <c r="B1961" s="213" t="s">
        <v>3306</v>
      </c>
      <c r="C1961" s="213" t="s">
        <v>3307</v>
      </c>
    </row>
    <row r="1962" spans="1:3" x14ac:dyDescent="0.25">
      <c r="A1962" s="211">
        <f t="shared" si="30"/>
        <v>7707136</v>
      </c>
      <c r="B1962" s="213" t="s">
        <v>3308</v>
      </c>
      <c r="C1962" s="213" t="s">
        <v>3309</v>
      </c>
    </row>
    <row r="1963" spans="1:3" x14ac:dyDescent="0.25">
      <c r="A1963" s="211">
        <f t="shared" si="30"/>
        <v>7707139</v>
      </c>
      <c r="B1963" s="213" t="s">
        <v>3310</v>
      </c>
      <c r="C1963" s="213" t="s">
        <v>3311</v>
      </c>
    </row>
    <row r="1964" spans="1:3" x14ac:dyDescent="0.25">
      <c r="A1964" s="211">
        <f t="shared" si="30"/>
        <v>7707154</v>
      </c>
      <c r="B1964" s="213" t="s">
        <v>3312</v>
      </c>
      <c r="C1964" s="213" t="s">
        <v>3313</v>
      </c>
    </row>
    <row r="1965" spans="1:3" x14ac:dyDescent="0.25">
      <c r="A1965" s="211">
        <f t="shared" si="30"/>
        <v>7707159</v>
      </c>
      <c r="B1965" s="213" t="s">
        <v>3314</v>
      </c>
      <c r="C1965" s="213" t="s">
        <v>3315</v>
      </c>
    </row>
    <row r="1966" spans="1:3" x14ac:dyDescent="0.25">
      <c r="A1966" s="211">
        <f t="shared" si="30"/>
        <v>7707160</v>
      </c>
      <c r="B1966" s="213" t="s">
        <v>3316</v>
      </c>
      <c r="C1966" s="213" t="s">
        <v>3317</v>
      </c>
    </row>
    <row r="1967" spans="1:3" x14ac:dyDescent="0.25">
      <c r="A1967" s="211">
        <f t="shared" si="30"/>
        <v>7707161</v>
      </c>
      <c r="B1967" s="213" t="s">
        <v>3318</v>
      </c>
      <c r="C1967" s="213" t="s">
        <v>3319</v>
      </c>
    </row>
    <row r="1968" spans="1:3" x14ac:dyDescent="0.25">
      <c r="A1968" s="211">
        <f t="shared" si="30"/>
        <v>7707170</v>
      </c>
      <c r="B1968" s="213" t="s">
        <v>3320</v>
      </c>
      <c r="C1968" s="213" t="s">
        <v>3321</v>
      </c>
    </row>
    <row r="1969" spans="1:3" x14ac:dyDescent="0.25">
      <c r="A1969" s="211">
        <f t="shared" si="30"/>
        <v>7707200</v>
      </c>
      <c r="B1969" s="213" t="s">
        <v>3322</v>
      </c>
      <c r="C1969" s="213" t="s">
        <v>3323</v>
      </c>
    </row>
    <row r="1970" spans="1:3" x14ac:dyDescent="0.25">
      <c r="A1970" s="211">
        <f t="shared" si="30"/>
        <v>7707220</v>
      </c>
      <c r="B1970" s="213" t="s">
        <v>3324</v>
      </c>
      <c r="C1970" s="213" t="s">
        <v>3325</v>
      </c>
    </row>
    <row r="1971" spans="1:3" x14ac:dyDescent="0.25">
      <c r="A1971" s="211">
        <f t="shared" si="30"/>
        <v>7707222</v>
      </c>
      <c r="B1971" s="213" t="s">
        <v>3326</v>
      </c>
      <c r="C1971" s="213" t="s">
        <v>3327</v>
      </c>
    </row>
    <row r="1972" spans="1:3" x14ac:dyDescent="0.25">
      <c r="A1972" s="211">
        <f t="shared" si="30"/>
        <v>7707223</v>
      </c>
      <c r="B1972" s="213" t="s">
        <v>3328</v>
      </c>
      <c r="C1972" s="213" t="s">
        <v>3329</v>
      </c>
    </row>
    <row r="1973" spans="1:3" x14ac:dyDescent="0.25">
      <c r="A1973" s="211">
        <f t="shared" si="30"/>
        <v>7707226</v>
      </c>
      <c r="B1973" s="213" t="s">
        <v>3330</v>
      </c>
      <c r="C1973" s="213" t="s">
        <v>3331</v>
      </c>
    </row>
    <row r="1974" spans="1:3" x14ac:dyDescent="0.25">
      <c r="A1974" s="211">
        <f t="shared" si="30"/>
        <v>7707235</v>
      </c>
      <c r="B1974" s="213" t="s">
        <v>3332</v>
      </c>
      <c r="C1974" s="213" t="s">
        <v>3333</v>
      </c>
    </row>
    <row r="1975" spans="1:3" x14ac:dyDescent="0.25">
      <c r="A1975" s="211">
        <f t="shared" si="30"/>
        <v>7707236</v>
      </c>
      <c r="B1975" s="213" t="s">
        <v>3334</v>
      </c>
      <c r="C1975" s="213" t="s">
        <v>3335</v>
      </c>
    </row>
    <row r="1976" spans="1:3" x14ac:dyDescent="0.25">
      <c r="A1976" s="211">
        <f t="shared" si="30"/>
        <v>7707237</v>
      </c>
      <c r="B1976" s="213" t="s">
        <v>3336</v>
      </c>
      <c r="C1976" s="213" t="s">
        <v>3337</v>
      </c>
    </row>
    <row r="1977" spans="1:3" x14ac:dyDescent="0.25">
      <c r="A1977" s="211">
        <f t="shared" si="30"/>
        <v>7707246</v>
      </c>
      <c r="B1977" s="213" t="s">
        <v>3338</v>
      </c>
      <c r="C1977" s="213" t="s">
        <v>3339</v>
      </c>
    </row>
    <row r="1978" spans="1:3" x14ac:dyDescent="0.25">
      <c r="A1978" s="211">
        <f t="shared" si="30"/>
        <v>7707260</v>
      </c>
      <c r="B1978" s="213" t="s">
        <v>3340</v>
      </c>
      <c r="C1978" s="213" t="s">
        <v>3341</v>
      </c>
    </row>
    <row r="1979" spans="1:3" x14ac:dyDescent="0.25">
      <c r="A1979" s="211">
        <f t="shared" si="30"/>
        <v>7707266</v>
      </c>
      <c r="B1979" s="213" t="s">
        <v>3342</v>
      </c>
      <c r="C1979" s="213" t="s">
        <v>3343</v>
      </c>
    </row>
    <row r="1980" spans="1:3" x14ac:dyDescent="0.25">
      <c r="A1980" s="211">
        <f t="shared" si="30"/>
        <v>7707267</v>
      </c>
      <c r="B1980" s="213" t="s">
        <v>3344</v>
      </c>
      <c r="C1980" s="213" t="s">
        <v>3345</v>
      </c>
    </row>
    <row r="1981" spans="1:3" x14ac:dyDescent="0.25">
      <c r="A1981" s="211">
        <f t="shared" si="30"/>
        <v>7707273</v>
      </c>
      <c r="B1981" s="213" t="s">
        <v>3346</v>
      </c>
      <c r="C1981" s="213" t="s">
        <v>3347</v>
      </c>
    </row>
    <row r="1982" spans="1:3" x14ac:dyDescent="0.25">
      <c r="A1982" s="211">
        <f t="shared" si="30"/>
        <v>7707274</v>
      </c>
      <c r="B1982" s="213" t="s">
        <v>3348</v>
      </c>
      <c r="C1982" s="213" t="s">
        <v>3349</v>
      </c>
    </row>
    <row r="1983" spans="1:3" x14ac:dyDescent="0.25">
      <c r="A1983" s="211">
        <f t="shared" si="30"/>
        <v>7707275</v>
      </c>
      <c r="B1983" s="213" t="s">
        <v>3350</v>
      </c>
      <c r="C1983" s="213" t="s">
        <v>3351</v>
      </c>
    </row>
    <row r="1984" spans="1:3" x14ac:dyDescent="0.25">
      <c r="A1984" s="211">
        <f t="shared" si="30"/>
        <v>7707276</v>
      </c>
      <c r="B1984" s="213" t="s">
        <v>3352</v>
      </c>
      <c r="C1984" s="213" t="s">
        <v>3353</v>
      </c>
    </row>
    <row r="1985" spans="1:3" x14ac:dyDescent="0.25">
      <c r="A1985" s="211">
        <f t="shared" si="30"/>
        <v>7707277</v>
      </c>
      <c r="B1985" s="213" t="s">
        <v>3354</v>
      </c>
      <c r="C1985" s="213" t="s">
        <v>3355</v>
      </c>
    </row>
    <row r="1986" spans="1:3" x14ac:dyDescent="0.25">
      <c r="A1986" s="211">
        <f t="shared" ref="A1986:A2049" si="31">IFERROR(B1986*1,"")</f>
        <v>7707278</v>
      </c>
      <c r="B1986" s="213" t="s">
        <v>3356</v>
      </c>
      <c r="C1986" s="213" t="s">
        <v>3357</v>
      </c>
    </row>
    <row r="1987" spans="1:3" x14ac:dyDescent="0.25">
      <c r="A1987" s="211">
        <f t="shared" si="31"/>
        <v>7707279</v>
      </c>
      <c r="B1987" s="213" t="s">
        <v>3358</v>
      </c>
      <c r="C1987" s="213" t="s">
        <v>3359</v>
      </c>
    </row>
    <row r="1988" spans="1:3" x14ac:dyDescent="0.25">
      <c r="A1988" s="211">
        <f t="shared" si="31"/>
        <v>7707280</v>
      </c>
      <c r="B1988" s="213" t="s">
        <v>3360</v>
      </c>
      <c r="C1988" s="213" t="s">
        <v>3361</v>
      </c>
    </row>
    <row r="1989" spans="1:3" x14ac:dyDescent="0.25">
      <c r="A1989" s="211">
        <f t="shared" si="31"/>
        <v>7707281</v>
      </c>
      <c r="B1989" s="213" t="s">
        <v>3362</v>
      </c>
      <c r="C1989" s="213" t="s">
        <v>3363</v>
      </c>
    </row>
    <row r="1990" spans="1:3" x14ac:dyDescent="0.25">
      <c r="A1990" s="211">
        <f t="shared" si="31"/>
        <v>7707282</v>
      </c>
      <c r="B1990" s="213" t="s">
        <v>7584</v>
      </c>
      <c r="C1990" s="213" t="s">
        <v>7585</v>
      </c>
    </row>
    <row r="1991" spans="1:3" x14ac:dyDescent="0.25">
      <c r="A1991" s="211">
        <f t="shared" si="31"/>
        <v>7707283</v>
      </c>
      <c r="B1991" s="213" t="s">
        <v>3364</v>
      </c>
      <c r="C1991" s="213" t="s">
        <v>7586</v>
      </c>
    </row>
    <row r="1992" spans="1:3" x14ac:dyDescent="0.25">
      <c r="A1992" s="211">
        <f t="shared" si="31"/>
        <v>7707284</v>
      </c>
      <c r="B1992" s="213" t="s">
        <v>3365</v>
      </c>
      <c r="C1992" s="213" t="s">
        <v>7587</v>
      </c>
    </row>
    <row r="1993" spans="1:3" x14ac:dyDescent="0.25">
      <c r="A1993" s="211">
        <f t="shared" si="31"/>
        <v>7707285</v>
      </c>
      <c r="B1993" s="213" t="s">
        <v>3366</v>
      </c>
      <c r="C1993" s="213" t="s">
        <v>3367</v>
      </c>
    </row>
    <row r="1994" spans="1:3" x14ac:dyDescent="0.25">
      <c r="A1994" s="211">
        <f t="shared" si="31"/>
        <v>7707288</v>
      </c>
      <c r="B1994" s="213" t="s">
        <v>3368</v>
      </c>
      <c r="C1994" s="213" t="s">
        <v>3369</v>
      </c>
    </row>
    <row r="1995" spans="1:3" x14ac:dyDescent="0.25">
      <c r="A1995" s="211">
        <f t="shared" si="31"/>
        <v>7707289</v>
      </c>
      <c r="B1995" s="213" t="s">
        <v>3370</v>
      </c>
      <c r="C1995" s="213" t="s">
        <v>3371</v>
      </c>
    </row>
    <row r="1996" spans="1:3" x14ac:dyDescent="0.25">
      <c r="A1996" s="211">
        <f t="shared" si="31"/>
        <v>7707290</v>
      </c>
      <c r="B1996" s="213" t="s">
        <v>3372</v>
      </c>
      <c r="C1996" s="213" t="s">
        <v>3373</v>
      </c>
    </row>
    <row r="1997" spans="1:3" x14ac:dyDescent="0.25">
      <c r="A1997" s="211">
        <f t="shared" si="31"/>
        <v>7707291</v>
      </c>
      <c r="B1997" s="213" t="s">
        <v>3374</v>
      </c>
      <c r="C1997" s="213" t="s">
        <v>3375</v>
      </c>
    </row>
    <row r="1998" spans="1:3" x14ac:dyDescent="0.25">
      <c r="A1998" s="211">
        <f t="shared" si="31"/>
        <v>7707292</v>
      </c>
      <c r="B1998" s="213" t="s">
        <v>3376</v>
      </c>
      <c r="C1998" s="213" t="s">
        <v>3377</v>
      </c>
    </row>
    <row r="1999" spans="1:3" x14ac:dyDescent="0.25">
      <c r="A1999" s="211">
        <f t="shared" si="31"/>
        <v>7707293</v>
      </c>
      <c r="B1999" s="213" t="s">
        <v>3378</v>
      </c>
      <c r="C1999" s="213" t="s">
        <v>3379</v>
      </c>
    </row>
    <row r="2000" spans="1:3" x14ac:dyDescent="0.25">
      <c r="A2000" s="211">
        <f t="shared" si="31"/>
        <v>7707294</v>
      </c>
      <c r="B2000" s="213" t="s">
        <v>3380</v>
      </c>
      <c r="C2000" s="213" t="s">
        <v>3381</v>
      </c>
    </row>
    <row r="2001" spans="1:3" x14ac:dyDescent="0.25">
      <c r="A2001" s="211">
        <f t="shared" si="31"/>
        <v>7707298</v>
      </c>
      <c r="B2001" s="213" t="s">
        <v>3382</v>
      </c>
      <c r="C2001" s="213" t="s">
        <v>3383</v>
      </c>
    </row>
    <row r="2002" spans="1:3" x14ac:dyDescent="0.25">
      <c r="A2002" s="211">
        <f t="shared" si="31"/>
        <v>7707299</v>
      </c>
      <c r="B2002" s="213" t="s">
        <v>3384</v>
      </c>
      <c r="C2002" s="213" t="s">
        <v>3385</v>
      </c>
    </row>
    <row r="2003" spans="1:3" x14ac:dyDescent="0.25">
      <c r="A2003" s="211">
        <f t="shared" si="31"/>
        <v>7707318</v>
      </c>
      <c r="B2003" s="213" t="s">
        <v>3386</v>
      </c>
      <c r="C2003" s="213" t="s">
        <v>3387</v>
      </c>
    </row>
    <row r="2004" spans="1:3" x14ac:dyDescent="0.25">
      <c r="A2004" s="211">
        <f t="shared" si="31"/>
        <v>7707319</v>
      </c>
      <c r="B2004" s="213" t="s">
        <v>3388</v>
      </c>
      <c r="C2004" s="213" t="s">
        <v>3387</v>
      </c>
    </row>
    <row r="2005" spans="1:3" x14ac:dyDescent="0.25">
      <c r="A2005" s="211">
        <f t="shared" si="31"/>
        <v>7707320</v>
      </c>
      <c r="B2005" s="213" t="s">
        <v>3389</v>
      </c>
      <c r="C2005" s="213" t="s">
        <v>3390</v>
      </c>
    </row>
    <row r="2006" spans="1:3" x14ac:dyDescent="0.25">
      <c r="A2006" s="211">
        <f t="shared" si="31"/>
        <v>7707321</v>
      </c>
      <c r="B2006" s="213" t="s">
        <v>3391</v>
      </c>
      <c r="C2006" s="213" t="s">
        <v>3392</v>
      </c>
    </row>
    <row r="2007" spans="1:3" x14ac:dyDescent="0.25">
      <c r="A2007" s="211">
        <f t="shared" si="31"/>
        <v>7707322</v>
      </c>
      <c r="B2007" s="213" t="s">
        <v>3393</v>
      </c>
      <c r="C2007" s="213" t="s">
        <v>3394</v>
      </c>
    </row>
    <row r="2008" spans="1:3" x14ac:dyDescent="0.25">
      <c r="A2008" s="211">
        <f t="shared" si="31"/>
        <v>7707324</v>
      </c>
      <c r="B2008" s="213" t="s">
        <v>3395</v>
      </c>
      <c r="C2008" s="213" t="s">
        <v>3396</v>
      </c>
    </row>
    <row r="2009" spans="1:3" x14ac:dyDescent="0.25">
      <c r="A2009" s="211">
        <f t="shared" si="31"/>
        <v>7707325</v>
      </c>
      <c r="B2009" s="213" t="s">
        <v>3397</v>
      </c>
      <c r="C2009" s="213" t="s">
        <v>3398</v>
      </c>
    </row>
    <row r="2010" spans="1:3" x14ac:dyDescent="0.25">
      <c r="A2010" s="211">
        <f t="shared" si="31"/>
        <v>7707333</v>
      </c>
      <c r="B2010" s="213" t="s">
        <v>3399</v>
      </c>
      <c r="C2010" s="213" t="s">
        <v>3400</v>
      </c>
    </row>
    <row r="2011" spans="1:3" x14ac:dyDescent="0.25">
      <c r="A2011" s="211">
        <f t="shared" si="31"/>
        <v>7707349</v>
      </c>
      <c r="B2011" s="213" t="s">
        <v>3401</v>
      </c>
      <c r="C2011" s="213" t="s">
        <v>3402</v>
      </c>
    </row>
    <row r="2012" spans="1:3" x14ac:dyDescent="0.25">
      <c r="A2012" s="211">
        <f t="shared" si="31"/>
        <v>7707350</v>
      </c>
      <c r="B2012" s="213" t="s">
        <v>3403</v>
      </c>
      <c r="C2012" s="213" t="s">
        <v>3404</v>
      </c>
    </row>
    <row r="2013" spans="1:3" x14ac:dyDescent="0.25">
      <c r="A2013" s="211">
        <f t="shared" si="31"/>
        <v>7707357</v>
      </c>
      <c r="B2013" s="213" t="s">
        <v>3405</v>
      </c>
      <c r="C2013" s="213" t="s">
        <v>3406</v>
      </c>
    </row>
    <row r="2014" spans="1:3" x14ac:dyDescent="0.25">
      <c r="A2014" s="211">
        <f t="shared" si="31"/>
        <v>7707368</v>
      </c>
      <c r="B2014" s="213" t="s">
        <v>3407</v>
      </c>
      <c r="C2014" s="213" t="s">
        <v>3408</v>
      </c>
    </row>
    <row r="2015" spans="1:3" x14ac:dyDescent="0.25">
      <c r="A2015" s="211">
        <f t="shared" si="31"/>
        <v>7707426</v>
      </c>
      <c r="B2015" s="213" t="s">
        <v>3409</v>
      </c>
      <c r="C2015" s="213" t="s">
        <v>3410</v>
      </c>
    </row>
    <row r="2016" spans="1:3" x14ac:dyDescent="0.25">
      <c r="A2016" s="211">
        <f t="shared" si="31"/>
        <v>7707444</v>
      </c>
      <c r="B2016" s="213" t="s">
        <v>3411</v>
      </c>
      <c r="C2016" s="213" t="s">
        <v>3412</v>
      </c>
    </row>
    <row r="2017" spans="1:3" x14ac:dyDescent="0.25">
      <c r="A2017" s="211">
        <f t="shared" si="31"/>
        <v>7707450</v>
      </c>
      <c r="B2017" s="213" t="s">
        <v>3413</v>
      </c>
      <c r="C2017" s="213" t="s">
        <v>3414</v>
      </c>
    </row>
    <row r="2018" spans="1:3" x14ac:dyDescent="0.25">
      <c r="A2018" s="211">
        <f t="shared" si="31"/>
        <v>7707452</v>
      </c>
      <c r="B2018" s="213" t="s">
        <v>3415</v>
      </c>
      <c r="C2018" s="213" t="s">
        <v>3416</v>
      </c>
    </row>
    <row r="2019" spans="1:3" x14ac:dyDescent="0.25">
      <c r="A2019" s="211">
        <f t="shared" si="31"/>
        <v>7707453</v>
      </c>
      <c r="B2019" s="213" t="s">
        <v>3417</v>
      </c>
      <c r="C2019" s="213" t="s">
        <v>3418</v>
      </c>
    </row>
    <row r="2020" spans="1:3" x14ac:dyDescent="0.25">
      <c r="A2020" s="211">
        <f t="shared" si="31"/>
        <v>7707501</v>
      </c>
      <c r="B2020" s="213" t="s">
        <v>14056</v>
      </c>
      <c r="C2020" s="213" t="s">
        <v>14057</v>
      </c>
    </row>
    <row r="2021" spans="1:3" x14ac:dyDescent="0.25">
      <c r="A2021" s="211">
        <f t="shared" si="31"/>
        <v>7707502</v>
      </c>
      <c r="B2021" s="213" t="s">
        <v>3419</v>
      </c>
      <c r="C2021" s="213" t="s">
        <v>3420</v>
      </c>
    </row>
    <row r="2022" spans="1:3" x14ac:dyDescent="0.25">
      <c r="A2022" s="211">
        <f t="shared" si="31"/>
        <v>7707503</v>
      </c>
      <c r="B2022" s="213" t="s">
        <v>3421</v>
      </c>
      <c r="C2022" s="213" t="s">
        <v>3422</v>
      </c>
    </row>
    <row r="2023" spans="1:3" x14ac:dyDescent="0.25">
      <c r="A2023" s="211">
        <f t="shared" si="31"/>
        <v>7707504</v>
      </c>
      <c r="B2023" s="213" t="s">
        <v>3423</v>
      </c>
      <c r="C2023" s="213" t="s">
        <v>3424</v>
      </c>
    </row>
    <row r="2024" spans="1:3" x14ac:dyDescent="0.25">
      <c r="A2024" s="211">
        <f t="shared" si="31"/>
        <v>7707505</v>
      </c>
      <c r="B2024" s="213" t="s">
        <v>3425</v>
      </c>
      <c r="C2024" s="213" t="s">
        <v>3426</v>
      </c>
    </row>
    <row r="2025" spans="1:3" x14ac:dyDescent="0.25">
      <c r="A2025" s="211">
        <f t="shared" si="31"/>
        <v>7707508</v>
      </c>
      <c r="B2025" s="213" t="s">
        <v>3427</v>
      </c>
      <c r="C2025" s="213" t="s">
        <v>7588</v>
      </c>
    </row>
    <row r="2026" spans="1:3" x14ac:dyDescent="0.25">
      <c r="A2026" s="211">
        <f t="shared" si="31"/>
        <v>7707511</v>
      </c>
      <c r="B2026" s="213" t="s">
        <v>3428</v>
      </c>
      <c r="C2026" s="213" t="s">
        <v>3429</v>
      </c>
    </row>
    <row r="2027" spans="1:3" x14ac:dyDescent="0.25">
      <c r="A2027" s="211">
        <f t="shared" si="31"/>
        <v>7707518</v>
      </c>
      <c r="B2027" s="213" t="s">
        <v>3430</v>
      </c>
      <c r="C2027" s="213" t="s">
        <v>3431</v>
      </c>
    </row>
    <row r="2028" spans="1:3" x14ac:dyDescent="0.25">
      <c r="A2028" s="211">
        <f t="shared" si="31"/>
        <v>7707519</v>
      </c>
      <c r="B2028" s="213" t="s">
        <v>3432</v>
      </c>
      <c r="C2028" s="213" t="s">
        <v>3433</v>
      </c>
    </row>
    <row r="2029" spans="1:3" x14ac:dyDescent="0.25">
      <c r="A2029" s="211">
        <f t="shared" si="31"/>
        <v>7707521</v>
      </c>
      <c r="B2029" s="213" t="s">
        <v>3434</v>
      </c>
      <c r="C2029" s="213" t="s">
        <v>3435</v>
      </c>
    </row>
    <row r="2030" spans="1:3" x14ac:dyDescent="0.25">
      <c r="A2030" s="211">
        <f t="shared" si="31"/>
        <v>7707522</v>
      </c>
      <c r="B2030" s="213" t="s">
        <v>3436</v>
      </c>
      <c r="C2030" s="213" t="s">
        <v>3437</v>
      </c>
    </row>
    <row r="2031" spans="1:3" x14ac:dyDescent="0.25">
      <c r="A2031" s="211">
        <f t="shared" si="31"/>
        <v>7707523</v>
      </c>
      <c r="B2031" s="213" t="s">
        <v>3438</v>
      </c>
      <c r="C2031" s="213" t="s">
        <v>3439</v>
      </c>
    </row>
    <row r="2032" spans="1:3" x14ac:dyDescent="0.25">
      <c r="A2032" s="211">
        <f t="shared" si="31"/>
        <v>7707524</v>
      </c>
      <c r="B2032" s="213" t="s">
        <v>3440</v>
      </c>
      <c r="C2032" s="213" t="s">
        <v>3441</v>
      </c>
    </row>
    <row r="2033" spans="1:3" x14ac:dyDescent="0.25">
      <c r="A2033" s="211">
        <f t="shared" si="31"/>
        <v>7707525</v>
      </c>
      <c r="B2033" s="213" t="s">
        <v>3442</v>
      </c>
      <c r="C2033" s="213" t="s">
        <v>3443</v>
      </c>
    </row>
    <row r="2034" spans="1:3" x14ac:dyDescent="0.25">
      <c r="A2034" s="211">
        <f t="shared" si="31"/>
        <v>7707526</v>
      </c>
      <c r="B2034" s="213" t="s">
        <v>3444</v>
      </c>
      <c r="C2034" s="213" t="s">
        <v>3445</v>
      </c>
    </row>
    <row r="2035" spans="1:3" x14ac:dyDescent="0.25">
      <c r="A2035" s="211">
        <f t="shared" si="31"/>
        <v>7707528</v>
      </c>
      <c r="B2035" s="213" t="s">
        <v>3446</v>
      </c>
      <c r="C2035" s="213" t="s">
        <v>3447</v>
      </c>
    </row>
    <row r="2036" spans="1:3" x14ac:dyDescent="0.25">
      <c r="A2036" s="211">
        <f t="shared" si="31"/>
        <v>7707529</v>
      </c>
      <c r="B2036" s="213" t="s">
        <v>3448</v>
      </c>
      <c r="C2036" s="213" t="s">
        <v>3449</v>
      </c>
    </row>
    <row r="2037" spans="1:3" x14ac:dyDescent="0.25">
      <c r="A2037" s="211">
        <f t="shared" si="31"/>
        <v>7707532</v>
      </c>
      <c r="B2037" s="213" t="s">
        <v>3450</v>
      </c>
      <c r="C2037" s="213" t="s">
        <v>3451</v>
      </c>
    </row>
    <row r="2038" spans="1:3" x14ac:dyDescent="0.25">
      <c r="A2038" s="211">
        <f t="shared" si="31"/>
        <v>7707533</v>
      </c>
      <c r="B2038" s="213" t="s">
        <v>3452</v>
      </c>
      <c r="C2038" s="213" t="s">
        <v>3453</v>
      </c>
    </row>
    <row r="2039" spans="1:3" x14ac:dyDescent="0.25">
      <c r="A2039" s="211">
        <f t="shared" si="31"/>
        <v>7707536</v>
      </c>
      <c r="B2039" s="213" t="s">
        <v>3454</v>
      </c>
      <c r="C2039" s="213" t="s">
        <v>3455</v>
      </c>
    </row>
    <row r="2040" spans="1:3" x14ac:dyDescent="0.25">
      <c r="A2040" s="211">
        <f t="shared" si="31"/>
        <v>7707545</v>
      </c>
      <c r="B2040" s="213" t="s">
        <v>3456</v>
      </c>
      <c r="C2040" s="213" t="s">
        <v>3457</v>
      </c>
    </row>
    <row r="2041" spans="1:3" x14ac:dyDescent="0.25">
      <c r="A2041" s="211">
        <f t="shared" si="31"/>
        <v>7707547</v>
      </c>
      <c r="B2041" s="213" t="s">
        <v>3458</v>
      </c>
      <c r="C2041" s="213" t="s">
        <v>3459</v>
      </c>
    </row>
    <row r="2042" spans="1:3" x14ac:dyDescent="0.25">
      <c r="A2042" s="211">
        <f t="shared" si="31"/>
        <v>7707550</v>
      </c>
      <c r="B2042" s="213" t="s">
        <v>3460</v>
      </c>
      <c r="C2042" s="213" t="s">
        <v>3461</v>
      </c>
    </row>
    <row r="2043" spans="1:3" x14ac:dyDescent="0.25">
      <c r="A2043" s="211">
        <f t="shared" si="31"/>
        <v>7707552</v>
      </c>
      <c r="B2043" s="213" t="s">
        <v>3462</v>
      </c>
      <c r="C2043" s="213" t="s">
        <v>3463</v>
      </c>
    </row>
    <row r="2044" spans="1:3" x14ac:dyDescent="0.25">
      <c r="A2044" s="211">
        <f t="shared" si="31"/>
        <v>7707553</v>
      </c>
      <c r="B2044" s="213" t="s">
        <v>3464</v>
      </c>
      <c r="C2044" s="213" t="s">
        <v>3465</v>
      </c>
    </row>
    <row r="2045" spans="1:3" x14ac:dyDescent="0.25">
      <c r="A2045" s="211">
        <f t="shared" si="31"/>
        <v>7707555</v>
      </c>
      <c r="B2045" s="213" t="s">
        <v>3466</v>
      </c>
      <c r="C2045" s="213" t="s">
        <v>3467</v>
      </c>
    </row>
    <row r="2046" spans="1:3" x14ac:dyDescent="0.25">
      <c r="A2046" s="211">
        <f t="shared" si="31"/>
        <v>7707556</v>
      </c>
      <c r="B2046" s="213" t="s">
        <v>3468</v>
      </c>
      <c r="C2046" s="213" t="s">
        <v>3469</v>
      </c>
    </row>
    <row r="2047" spans="1:3" x14ac:dyDescent="0.25">
      <c r="A2047" s="211">
        <f t="shared" si="31"/>
        <v>7707557</v>
      </c>
      <c r="B2047" s="213" t="s">
        <v>3470</v>
      </c>
      <c r="C2047" s="213" t="s">
        <v>3471</v>
      </c>
    </row>
    <row r="2048" spans="1:3" x14ac:dyDescent="0.25">
      <c r="A2048" s="211">
        <f t="shared" si="31"/>
        <v>7707562</v>
      </c>
      <c r="B2048" s="213" t="s">
        <v>3472</v>
      </c>
      <c r="C2048" s="213" t="s">
        <v>3473</v>
      </c>
    </row>
    <row r="2049" spans="1:3" x14ac:dyDescent="0.25">
      <c r="A2049" s="211">
        <f t="shared" si="31"/>
        <v>7707563</v>
      </c>
      <c r="B2049" s="213" t="s">
        <v>3474</v>
      </c>
      <c r="C2049" s="213" t="s">
        <v>3475</v>
      </c>
    </row>
    <row r="2050" spans="1:3" x14ac:dyDescent="0.25">
      <c r="A2050" s="211">
        <f t="shared" ref="A2050:A2113" si="32">IFERROR(B2050*1,"")</f>
        <v>7707565</v>
      </c>
      <c r="B2050" s="213" t="s">
        <v>3476</v>
      </c>
      <c r="C2050" s="213" t="s">
        <v>3477</v>
      </c>
    </row>
    <row r="2051" spans="1:3" x14ac:dyDescent="0.25">
      <c r="A2051" s="211">
        <f t="shared" si="32"/>
        <v>7707566</v>
      </c>
      <c r="B2051" s="213" t="s">
        <v>3478</v>
      </c>
      <c r="C2051" s="213" t="s">
        <v>3479</v>
      </c>
    </row>
    <row r="2052" spans="1:3" x14ac:dyDescent="0.25">
      <c r="A2052" s="211">
        <f t="shared" si="32"/>
        <v>7707567</v>
      </c>
      <c r="B2052" s="213" t="s">
        <v>3480</v>
      </c>
      <c r="C2052" s="213" t="s">
        <v>3481</v>
      </c>
    </row>
    <row r="2053" spans="1:3" x14ac:dyDescent="0.25">
      <c r="A2053" s="211">
        <f t="shared" si="32"/>
        <v>7707568</v>
      </c>
      <c r="B2053" s="213" t="s">
        <v>3482</v>
      </c>
      <c r="C2053" s="213" t="s">
        <v>3483</v>
      </c>
    </row>
    <row r="2054" spans="1:3" x14ac:dyDescent="0.25">
      <c r="A2054" s="211">
        <f t="shared" si="32"/>
        <v>7707569</v>
      </c>
      <c r="B2054" s="213" t="s">
        <v>3484</v>
      </c>
      <c r="C2054" s="213" t="s">
        <v>3485</v>
      </c>
    </row>
    <row r="2055" spans="1:3" x14ac:dyDescent="0.25">
      <c r="A2055" s="211">
        <f t="shared" si="32"/>
        <v>7707570</v>
      </c>
      <c r="B2055" s="213" t="s">
        <v>3486</v>
      </c>
      <c r="C2055" s="213" t="s">
        <v>3487</v>
      </c>
    </row>
    <row r="2056" spans="1:3" x14ac:dyDescent="0.25">
      <c r="A2056" s="211">
        <f t="shared" si="32"/>
        <v>7707571</v>
      </c>
      <c r="B2056" s="213" t="s">
        <v>3488</v>
      </c>
      <c r="C2056" s="213" t="s">
        <v>3489</v>
      </c>
    </row>
    <row r="2057" spans="1:3" x14ac:dyDescent="0.25">
      <c r="A2057" s="211">
        <f t="shared" si="32"/>
        <v>7707572</v>
      </c>
      <c r="B2057" s="213" t="s">
        <v>3490</v>
      </c>
      <c r="C2057" s="213" t="s">
        <v>3491</v>
      </c>
    </row>
    <row r="2058" spans="1:3" x14ac:dyDescent="0.25">
      <c r="A2058" s="211">
        <f t="shared" si="32"/>
        <v>7707579</v>
      </c>
      <c r="B2058" s="213" t="s">
        <v>14058</v>
      </c>
      <c r="C2058" s="213" t="s">
        <v>14059</v>
      </c>
    </row>
    <row r="2059" spans="1:3" x14ac:dyDescent="0.25">
      <c r="A2059" s="211">
        <f t="shared" si="32"/>
        <v>7707582</v>
      </c>
      <c r="B2059" s="213" t="s">
        <v>3492</v>
      </c>
      <c r="C2059" s="213" t="s">
        <v>3493</v>
      </c>
    </row>
    <row r="2060" spans="1:3" x14ac:dyDescent="0.25">
      <c r="A2060" s="211">
        <f t="shared" si="32"/>
        <v>7707583</v>
      </c>
      <c r="B2060" s="213" t="s">
        <v>3494</v>
      </c>
      <c r="C2060" s="213" t="s">
        <v>3495</v>
      </c>
    </row>
    <row r="2061" spans="1:3" x14ac:dyDescent="0.25">
      <c r="A2061" s="211">
        <f t="shared" si="32"/>
        <v>7707584</v>
      </c>
      <c r="B2061" s="213" t="s">
        <v>3496</v>
      </c>
      <c r="C2061" s="213" t="s">
        <v>3497</v>
      </c>
    </row>
    <row r="2062" spans="1:3" x14ac:dyDescent="0.25">
      <c r="A2062" s="211">
        <f t="shared" si="32"/>
        <v>7707585</v>
      </c>
      <c r="B2062" s="213" t="s">
        <v>14060</v>
      </c>
      <c r="C2062" s="213" t="s">
        <v>14061</v>
      </c>
    </row>
    <row r="2063" spans="1:3" x14ac:dyDescent="0.25">
      <c r="A2063" s="211">
        <f t="shared" si="32"/>
        <v>7707586</v>
      </c>
      <c r="B2063" s="213" t="s">
        <v>3498</v>
      </c>
      <c r="C2063" s="213" t="s">
        <v>3499</v>
      </c>
    </row>
    <row r="2064" spans="1:3" x14ac:dyDescent="0.25">
      <c r="A2064" s="211">
        <f t="shared" si="32"/>
        <v>7707650</v>
      </c>
      <c r="B2064" s="213" t="s">
        <v>3500</v>
      </c>
      <c r="C2064" s="213" t="s">
        <v>3501</v>
      </c>
    </row>
    <row r="2065" spans="1:3" x14ac:dyDescent="0.25">
      <c r="A2065" s="211">
        <f t="shared" si="32"/>
        <v>7707670</v>
      </c>
      <c r="B2065" s="213" t="s">
        <v>3502</v>
      </c>
      <c r="C2065" s="213" t="s">
        <v>3503</v>
      </c>
    </row>
    <row r="2066" spans="1:3" x14ac:dyDescent="0.25">
      <c r="A2066" s="211">
        <f t="shared" si="32"/>
        <v>7707671</v>
      </c>
      <c r="B2066" s="213" t="s">
        <v>3504</v>
      </c>
      <c r="C2066" s="213" t="s">
        <v>3505</v>
      </c>
    </row>
    <row r="2067" spans="1:3" x14ac:dyDescent="0.25">
      <c r="A2067" s="211">
        <f t="shared" si="32"/>
        <v>7707672</v>
      </c>
      <c r="B2067" s="213" t="s">
        <v>3506</v>
      </c>
      <c r="C2067" s="213" t="s">
        <v>3507</v>
      </c>
    </row>
    <row r="2068" spans="1:3" x14ac:dyDescent="0.25">
      <c r="A2068" s="211">
        <f t="shared" si="32"/>
        <v>7707701</v>
      </c>
      <c r="B2068" s="213" t="s">
        <v>3508</v>
      </c>
      <c r="C2068" s="213" t="s">
        <v>3509</v>
      </c>
    </row>
    <row r="2069" spans="1:3" x14ac:dyDescent="0.25">
      <c r="A2069" s="211">
        <f t="shared" si="32"/>
        <v>7707702</v>
      </c>
      <c r="B2069" s="213" t="s">
        <v>3510</v>
      </c>
      <c r="C2069" s="213" t="s">
        <v>3511</v>
      </c>
    </row>
    <row r="2070" spans="1:3" x14ac:dyDescent="0.25">
      <c r="A2070" s="211">
        <f t="shared" si="32"/>
        <v>7707710</v>
      </c>
      <c r="B2070" s="213" t="s">
        <v>3512</v>
      </c>
      <c r="C2070" s="213" t="s">
        <v>3513</v>
      </c>
    </row>
    <row r="2071" spans="1:3" x14ac:dyDescent="0.25">
      <c r="A2071" s="211">
        <f t="shared" si="32"/>
        <v>7707711</v>
      </c>
      <c r="B2071" s="213" t="s">
        <v>3514</v>
      </c>
      <c r="C2071" s="213" t="s">
        <v>3515</v>
      </c>
    </row>
    <row r="2072" spans="1:3" x14ac:dyDescent="0.25">
      <c r="A2072" s="211">
        <f t="shared" si="32"/>
        <v>7707712</v>
      </c>
      <c r="B2072" s="213" t="s">
        <v>3516</v>
      </c>
      <c r="C2072" s="213" t="s">
        <v>3517</v>
      </c>
    </row>
    <row r="2073" spans="1:3" x14ac:dyDescent="0.25">
      <c r="A2073" s="211">
        <f t="shared" si="32"/>
        <v>7707713</v>
      </c>
      <c r="B2073" s="213" t="s">
        <v>3518</v>
      </c>
      <c r="C2073" s="213" t="s">
        <v>3519</v>
      </c>
    </row>
    <row r="2074" spans="1:3" x14ac:dyDescent="0.25">
      <c r="A2074" s="211">
        <f t="shared" si="32"/>
        <v>7707714</v>
      </c>
      <c r="B2074" s="213" t="s">
        <v>3520</v>
      </c>
      <c r="C2074" s="213" t="s">
        <v>3521</v>
      </c>
    </row>
    <row r="2075" spans="1:3" x14ac:dyDescent="0.25">
      <c r="A2075" s="211">
        <f t="shared" si="32"/>
        <v>7707715</v>
      </c>
      <c r="B2075" s="213" t="s">
        <v>13338</v>
      </c>
      <c r="C2075" s="213" t="s">
        <v>13339</v>
      </c>
    </row>
    <row r="2076" spans="1:3" x14ac:dyDescent="0.25">
      <c r="A2076" s="211">
        <f t="shared" si="32"/>
        <v>7707716</v>
      </c>
      <c r="B2076" s="213" t="s">
        <v>3522</v>
      </c>
      <c r="C2076" s="213" t="s">
        <v>3523</v>
      </c>
    </row>
    <row r="2077" spans="1:3" x14ac:dyDescent="0.25">
      <c r="A2077" s="211" t="str">
        <f t="shared" si="32"/>
        <v/>
      </c>
      <c r="B2077" s="213" t="s">
        <v>13798</v>
      </c>
      <c r="C2077" s="212"/>
    </row>
    <row r="2078" spans="1:3" x14ac:dyDescent="0.25">
      <c r="A2078" s="211">
        <f t="shared" si="32"/>
        <v>7707722</v>
      </c>
      <c r="B2078" s="213" t="s">
        <v>3524</v>
      </c>
      <c r="C2078" s="213" t="s">
        <v>3525</v>
      </c>
    </row>
    <row r="2079" spans="1:3" x14ac:dyDescent="0.25">
      <c r="A2079" s="211">
        <f t="shared" si="32"/>
        <v>7707756</v>
      </c>
      <c r="B2079" s="213" t="s">
        <v>3526</v>
      </c>
      <c r="C2079" s="213" t="s">
        <v>3527</v>
      </c>
    </row>
    <row r="2080" spans="1:3" x14ac:dyDescent="0.25">
      <c r="A2080" s="211">
        <f t="shared" si="32"/>
        <v>7707757</v>
      </c>
      <c r="B2080" s="213" t="s">
        <v>3528</v>
      </c>
      <c r="C2080" s="213" t="s">
        <v>3529</v>
      </c>
    </row>
    <row r="2081" spans="1:3" x14ac:dyDescent="0.25">
      <c r="A2081" s="211">
        <f t="shared" si="32"/>
        <v>7707758</v>
      </c>
      <c r="B2081" s="213" t="s">
        <v>3530</v>
      </c>
      <c r="C2081" s="213" t="s">
        <v>3531</v>
      </c>
    </row>
    <row r="2082" spans="1:3" x14ac:dyDescent="0.25">
      <c r="A2082" s="211">
        <f t="shared" si="32"/>
        <v>7707784</v>
      </c>
      <c r="B2082" s="213" t="s">
        <v>3532</v>
      </c>
      <c r="C2082" s="213" t="s">
        <v>3533</v>
      </c>
    </row>
    <row r="2083" spans="1:3" x14ac:dyDescent="0.25">
      <c r="A2083" s="211">
        <f t="shared" si="32"/>
        <v>7707828</v>
      </c>
      <c r="B2083" s="213" t="s">
        <v>13799</v>
      </c>
      <c r="C2083" s="213" t="s">
        <v>13800</v>
      </c>
    </row>
    <row r="2084" spans="1:3" x14ac:dyDescent="0.25">
      <c r="A2084" s="211">
        <f t="shared" si="32"/>
        <v>7707829</v>
      </c>
      <c r="B2084" s="213" t="s">
        <v>13479</v>
      </c>
      <c r="C2084" s="213" t="s">
        <v>13480</v>
      </c>
    </row>
    <row r="2085" spans="1:3" x14ac:dyDescent="0.25">
      <c r="A2085" s="211">
        <f t="shared" si="32"/>
        <v>7707830</v>
      </c>
      <c r="B2085" s="213" t="s">
        <v>13481</v>
      </c>
      <c r="C2085" s="213" t="s">
        <v>13482</v>
      </c>
    </row>
    <row r="2086" spans="1:3" x14ac:dyDescent="0.25">
      <c r="A2086" s="211">
        <f t="shared" si="32"/>
        <v>7707831</v>
      </c>
      <c r="B2086" s="213" t="s">
        <v>3534</v>
      </c>
      <c r="C2086" s="213" t="s">
        <v>3535</v>
      </c>
    </row>
    <row r="2087" spans="1:3" x14ac:dyDescent="0.25">
      <c r="A2087" s="211">
        <f t="shared" si="32"/>
        <v>7707832</v>
      </c>
      <c r="B2087" s="213" t="s">
        <v>3536</v>
      </c>
      <c r="C2087" s="213" t="s">
        <v>3537</v>
      </c>
    </row>
    <row r="2088" spans="1:3" x14ac:dyDescent="0.25">
      <c r="A2088" s="211">
        <f t="shared" si="32"/>
        <v>7707833</v>
      </c>
      <c r="B2088" s="213" t="s">
        <v>7589</v>
      </c>
      <c r="C2088" s="213" t="s">
        <v>7590</v>
      </c>
    </row>
    <row r="2089" spans="1:3" x14ac:dyDescent="0.25">
      <c r="A2089" s="211">
        <f t="shared" si="32"/>
        <v>7707834</v>
      </c>
      <c r="B2089" s="213" t="s">
        <v>7591</v>
      </c>
      <c r="C2089" s="213" t="s">
        <v>7592</v>
      </c>
    </row>
    <row r="2090" spans="1:3" x14ac:dyDescent="0.25">
      <c r="A2090" s="211">
        <f t="shared" si="32"/>
        <v>7707835</v>
      </c>
      <c r="B2090" s="213" t="s">
        <v>3538</v>
      </c>
      <c r="C2090" s="213" t="s">
        <v>3539</v>
      </c>
    </row>
    <row r="2091" spans="1:3" x14ac:dyDescent="0.25">
      <c r="A2091" s="211">
        <f t="shared" si="32"/>
        <v>7707836</v>
      </c>
      <c r="B2091" s="213" t="s">
        <v>13483</v>
      </c>
      <c r="C2091" s="213" t="s">
        <v>13484</v>
      </c>
    </row>
    <row r="2092" spans="1:3" x14ac:dyDescent="0.25">
      <c r="A2092" s="211">
        <f t="shared" si="32"/>
        <v>7707837</v>
      </c>
      <c r="B2092" s="213" t="s">
        <v>13485</v>
      </c>
      <c r="C2092" s="213" t="s">
        <v>14062</v>
      </c>
    </row>
    <row r="2093" spans="1:3" x14ac:dyDescent="0.25">
      <c r="A2093" s="211">
        <f t="shared" si="32"/>
        <v>7707900</v>
      </c>
      <c r="B2093" s="213" t="s">
        <v>3540</v>
      </c>
      <c r="C2093" s="213" t="s">
        <v>3541</v>
      </c>
    </row>
    <row r="2094" spans="1:3" x14ac:dyDescent="0.25">
      <c r="A2094" s="211">
        <f t="shared" si="32"/>
        <v>7707901</v>
      </c>
      <c r="B2094" s="213" t="s">
        <v>13486</v>
      </c>
      <c r="C2094" s="213" t="s">
        <v>13487</v>
      </c>
    </row>
    <row r="2095" spans="1:3" x14ac:dyDescent="0.25">
      <c r="A2095" s="211">
        <f t="shared" si="32"/>
        <v>7707922</v>
      </c>
      <c r="B2095" s="213" t="s">
        <v>3542</v>
      </c>
      <c r="C2095" s="213" t="s">
        <v>3543</v>
      </c>
    </row>
    <row r="2096" spans="1:3" x14ac:dyDescent="0.25">
      <c r="A2096" s="211">
        <f t="shared" si="32"/>
        <v>7707923</v>
      </c>
      <c r="B2096" s="213" t="s">
        <v>3544</v>
      </c>
      <c r="C2096" s="213" t="s">
        <v>3545</v>
      </c>
    </row>
    <row r="2097" spans="1:3" x14ac:dyDescent="0.25">
      <c r="A2097" s="211">
        <f t="shared" si="32"/>
        <v>7707924</v>
      </c>
      <c r="B2097" s="213" t="s">
        <v>3546</v>
      </c>
      <c r="C2097" s="213" t="s">
        <v>3547</v>
      </c>
    </row>
    <row r="2098" spans="1:3" x14ac:dyDescent="0.25">
      <c r="A2098" s="211">
        <f t="shared" si="32"/>
        <v>7707936</v>
      </c>
      <c r="B2098" s="213" t="s">
        <v>3548</v>
      </c>
      <c r="C2098" s="213" t="s">
        <v>3549</v>
      </c>
    </row>
    <row r="2099" spans="1:3" x14ac:dyDescent="0.25">
      <c r="A2099" s="211">
        <f t="shared" si="32"/>
        <v>7707940</v>
      </c>
      <c r="B2099" s="213" t="s">
        <v>3550</v>
      </c>
      <c r="C2099" s="213" t="s">
        <v>3551</v>
      </c>
    </row>
    <row r="2100" spans="1:3" x14ac:dyDescent="0.25">
      <c r="A2100" s="211">
        <f t="shared" si="32"/>
        <v>7707949</v>
      </c>
      <c r="B2100" s="213" t="s">
        <v>3552</v>
      </c>
      <c r="C2100" s="213" t="s">
        <v>3553</v>
      </c>
    </row>
    <row r="2101" spans="1:3" x14ac:dyDescent="0.25">
      <c r="A2101" s="211">
        <f t="shared" si="32"/>
        <v>7707950</v>
      </c>
      <c r="B2101" s="213" t="s">
        <v>3554</v>
      </c>
      <c r="C2101" s="213" t="s">
        <v>3555</v>
      </c>
    </row>
    <row r="2102" spans="1:3" x14ac:dyDescent="0.25">
      <c r="A2102" s="211">
        <f t="shared" si="32"/>
        <v>7707952</v>
      </c>
      <c r="B2102" s="213" t="s">
        <v>3556</v>
      </c>
      <c r="C2102" s="213" t="s">
        <v>3557</v>
      </c>
    </row>
    <row r="2103" spans="1:3" x14ac:dyDescent="0.25">
      <c r="A2103" s="211">
        <f t="shared" si="32"/>
        <v>7707953</v>
      </c>
      <c r="B2103" s="213" t="s">
        <v>3558</v>
      </c>
      <c r="C2103" s="213" t="s">
        <v>3559</v>
      </c>
    </row>
    <row r="2104" spans="1:3" x14ac:dyDescent="0.25">
      <c r="A2104" s="211">
        <f t="shared" si="32"/>
        <v>7707980</v>
      </c>
      <c r="B2104" s="213" t="s">
        <v>3560</v>
      </c>
      <c r="C2104" s="213" t="s">
        <v>3561</v>
      </c>
    </row>
    <row r="2105" spans="1:3" x14ac:dyDescent="0.25">
      <c r="A2105" s="211">
        <f t="shared" si="32"/>
        <v>7707987</v>
      </c>
      <c r="B2105" s="213" t="s">
        <v>3562</v>
      </c>
      <c r="C2105" s="213" t="s">
        <v>3563</v>
      </c>
    </row>
    <row r="2106" spans="1:3" x14ac:dyDescent="0.25">
      <c r="A2106" s="211">
        <f t="shared" si="32"/>
        <v>7707988</v>
      </c>
      <c r="B2106" s="213" t="s">
        <v>3564</v>
      </c>
      <c r="C2106" s="213" t="s">
        <v>3565</v>
      </c>
    </row>
    <row r="2107" spans="1:3" x14ac:dyDescent="0.25">
      <c r="A2107" s="211">
        <f t="shared" si="32"/>
        <v>7707989</v>
      </c>
      <c r="B2107" s="213" t="s">
        <v>3566</v>
      </c>
      <c r="C2107" s="213" t="s">
        <v>3567</v>
      </c>
    </row>
    <row r="2108" spans="1:3" x14ac:dyDescent="0.25">
      <c r="A2108" s="211">
        <f t="shared" si="32"/>
        <v>7709000</v>
      </c>
      <c r="B2108" s="213" t="s">
        <v>3568</v>
      </c>
      <c r="C2108" s="213" t="s">
        <v>3569</v>
      </c>
    </row>
    <row r="2109" spans="1:3" x14ac:dyDescent="0.25">
      <c r="A2109" s="211">
        <f t="shared" si="32"/>
        <v>7709001</v>
      </c>
      <c r="B2109" s="213" t="s">
        <v>3570</v>
      </c>
      <c r="C2109" s="213" t="s">
        <v>14063</v>
      </c>
    </row>
    <row r="2110" spans="1:3" x14ac:dyDescent="0.25">
      <c r="A2110" s="211">
        <f t="shared" si="32"/>
        <v>7709002</v>
      </c>
      <c r="B2110" s="213" t="s">
        <v>3571</v>
      </c>
      <c r="C2110" s="213" t="s">
        <v>3572</v>
      </c>
    </row>
    <row r="2111" spans="1:3" x14ac:dyDescent="0.25">
      <c r="A2111" s="211">
        <f t="shared" si="32"/>
        <v>7709003</v>
      </c>
      <c r="B2111" s="213" t="s">
        <v>3573</v>
      </c>
      <c r="C2111" s="213" t="s">
        <v>3574</v>
      </c>
    </row>
    <row r="2112" spans="1:3" x14ac:dyDescent="0.25">
      <c r="A2112" s="211">
        <f t="shared" si="32"/>
        <v>7709004</v>
      </c>
      <c r="B2112" s="213" t="s">
        <v>3575</v>
      </c>
      <c r="C2112" s="213" t="s">
        <v>3576</v>
      </c>
    </row>
    <row r="2113" spans="1:3" x14ac:dyDescent="0.25">
      <c r="A2113" s="211">
        <f t="shared" si="32"/>
        <v>7709005</v>
      </c>
      <c r="B2113" s="213" t="s">
        <v>3577</v>
      </c>
      <c r="C2113" s="213" t="s">
        <v>3578</v>
      </c>
    </row>
    <row r="2114" spans="1:3" x14ac:dyDescent="0.25">
      <c r="A2114" s="211" t="str">
        <f t="shared" ref="A2114:A2177" si="33">IFERROR(B2114*1,"")</f>
        <v/>
      </c>
      <c r="B2114" s="213" t="s">
        <v>13801</v>
      </c>
      <c r="C2114" s="212"/>
    </row>
    <row r="2115" spans="1:3" x14ac:dyDescent="0.25">
      <c r="A2115" s="211">
        <f t="shared" si="33"/>
        <v>7709006</v>
      </c>
      <c r="B2115" s="213" t="s">
        <v>3579</v>
      </c>
      <c r="C2115" s="213" t="s">
        <v>3580</v>
      </c>
    </row>
    <row r="2116" spans="1:3" x14ac:dyDescent="0.25">
      <c r="A2116" s="211" t="str">
        <f t="shared" si="33"/>
        <v/>
      </c>
      <c r="B2116" s="213" t="s">
        <v>13802</v>
      </c>
      <c r="C2116" s="212"/>
    </row>
    <row r="2117" spans="1:3" x14ac:dyDescent="0.25">
      <c r="A2117" s="211">
        <f t="shared" si="33"/>
        <v>7709007</v>
      </c>
      <c r="B2117" s="213" t="s">
        <v>3581</v>
      </c>
      <c r="C2117" s="213" t="s">
        <v>3582</v>
      </c>
    </row>
    <row r="2118" spans="1:3" x14ac:dyDescent="0.25">
      <c r="A2118" s="211">
        <f t="shared" si="33"/>
        <v>7709008</v>
      </c>
      <c r="B2118" s="213" t="s">
        <v>3583</v>
      </c>
      <c r="C2118" s="213" t="s">
        <v>14064</v>
      </c>
    </row>
    <row r="2119" spans="1:3" x14ac:dyDescent="0.25">
      <c r="A2119" s="211">
        <f t="shared" si="33"/>
        <v>7709009</v>
      </c>
      <c r="B2119" s="213" t="s">
        <v>7593</v>
      </c>
      <c r="C2119" s="213" t="s">
        <v>7594</v>
      </c>
    </row>
    <row r="2120" spans="1:3" x14ac:dyDescent="0.25">
      <c r="A2120" s="211">
        <f t="shared" si="33"/>
        <v>7709010</v>
      </c>
      <c r="B2120" s="213" t="s">
        <v>3584</v>
      </c>
      <c r="C2120" s="213" t="s">
        <v>3585</v>
      </c>
    </row>
    <row r="2121" spans="1:3" x14ac:dyDescent="0.25">
      <c r="A2121" s="211">
        <f t="shared" si="33"/>
        <v>7709011</v>
      </c>
      <c r="B2121" s="213" t="s">
        <v>13488</v>
      </c>
      <c r="C2121" s="213" t="s">
        <v>13489</v>
      </c>
    </row>
    <row r="2122" spans="1:3" x14ac:dyDescent="0.25">
      <c r="A2122" s="211">
        <f t="shared" si="33"/>
        <v>7709012</v>
      </c>
      <c r="B2122" s="213" t="s">
        <v>13490</v>
      </c>
      <c r="C2122" s="213" t="s">
        <v>13491</v>
      </c>
    </row>
    <row r="2123" spans="1:3" x14ac:dyDescent="0.25">
      <c r="A2123" s="211">
        <f t="shared" si="33"/>
        <v>7709013</v>
      </c>
      <c r="B2123" s="213" t="s">
        <v>3586</v>
      </c>
      <c r="C2123" s="213" t="s">
        <v>3587</v>
      </c>
    </row>
    <row r="2124" spans="1:3" x14ac:dyDescent="0.25">
      <c r="A2124" s="211">
        <f t="shared" si="33"/>
        <v>7709014</v>
      </c>
      <c r="B2124" s="213" t="s">
        <v>3588</v>
      </c>
      <c r="C2124" s="213" t="s">
        <v>3589</v>
      </c>
    </row>
    <row r="2125" spans="1:3" x14ac:dyDescent="0.25">
      <c r="A2125" s="211">
        <f t="shared" si="33"/>
        <v>7709015</v>
      </c>
      <c r="B2125" s="213" t="s">
        <v>3590</v>
      </c>
      <c r="C2125" s="213" t="s">
        <v>3591</v>
      </c>
    </row>
    <row r="2126" spans="1:3" x14ac:dyDescent="0.25">
      <c r="A2126" s="211">
        <f t="shared" si="33"/>
        <v>7709016</v>
      </c>
      <c r="B2126" s="213" t="s">
        <v>3592</v>
      </c>
      <c r="C2126" s="213" t="s">
        <v>3593</v>
      </c>
    </row>
    <row r="2127" spans="1:3" x14ac:dyDescent="0.25">
      <c r="A2127" s="211">
        <f t="shared" si="33"/>
        <v>7709017</v>
      </c>
      <c r="B2127" s="213" t="s">
        <v>3594</v>
      </c>
      <c r="C2127" s="213" t="s">
        <v>3595</v>
      </c>
    </row>
    <row r="2128" spans="1:3" x14ac:dyDescent="0.25">
      <c r="A2128" s="211">
        <f t="shared" si="33"/>
        <v>7709018</v>
      </c>
      <c r="B2128" s="213" t="s">
        <v>3596</v>
      </c>
      <c r="C2128" s="213" t="s">
        <v>3597</v>
      </c>
    </row>
    <row r="2129" spans="1:3" x14ac:dyDescent="0.25">
      <c r="A2129" s="211">
        <f t="shared" si="33"/>
        <v>7709019</v>
      </c>
      <c r="B2129" s="213" t="s">
        <v>3598</v>
      </c>
      <c r="C2129" s="213" t="s">
        <v>3599</v>
      </c>
    </row>
    <row r="2130" spans="1:3" x14ac:dyDescent="0.25">
      <c r="A2130" s="211">
        <f t="shared" si="33"/>
        <v>7709020</v>
      </c>
      <c r="B2130" s="213" t="s">
        <v>3600</v>
      </c>
      <c r="C2130" s="213" t="s">
        <v>3601</v>
      </c>
    </row>
    <row r="2131" spans="1:3" x14ac:dyDescent="0.25">
      <c r="A2131" s="211">
        <f t="shared" si="33"/>
        <v>7709021</v>
      </c>
      <c r="B2131" s="213" t="s">
        <v>3602</v>
      </c>
      <c r="C2131" s="213" t="s">
        <v>3603</v>
      </c>
    </row>
    <row r="2132" spans="1:3" x14ac:dyDescent="0.25">
      <c r="A2132" s="211">
        <f t="shared" si="33"/>
        <v>7709022</v>
      </c>
      <c r="B2132" s="213" t="s">
        <v>3604</v>
      </c>
      <c r="C2132" s="213" t="s">
        <v>3605</v>
      </c>
    </row>
    <row r="2133" spans="1:3" x14ac:dyDescent="0.25">
      <c r="A2133" s="211">
        <f t="shared" si="33"/>
        <v>7709023</v>
      </c>
      <c r="B2133" s="213" t="s">
        <v>3606</v>
      </c>
      <c r="C2133" s="213" t="s">
        <v>3607</v>
      </c>
    </row>
    <row r="2134" spans="1:3" x14ac:dyDescent="0.25">
      <c r="A2134" s="211">
        <f t="shared" si="33"/>
        <v>7709024</v>
      </c>
      <c r="B2134" s="213" t="s">
        <v>3608</v>
      </c>
      <c r="C2134" s="213" t="s">
        <v>3609</v>
      </c>
    </row>
    <row r="2135" spans="1:3" x14ac:dyDescent="0.25">
      <c r="A2135" s="211">
        <f t="shared" si="33"/>
        <v>7709025</v>
      </c>
      <c r="B2135" s="213" t="s">
        <v>3610</v>
      </c>
      <c r="C2135" s="213" t="s">
        <v>3611</v>
      </c>
    </row>
    <row r="2136" spans="1:3" x14ac:dyDescent="0.25">
      <c r="A2136" s="211">
        <f t="shared" si="33"/>
        <v>7709032</v>
      </c>
      <c r="B2136" s="213" t="s">
        <v>3612</v>
      </c>
      <c r="C2136" s="213" t="s">
        <v>3613</v>
      </c>
    </row>
    <row r="2137" spans="1:3" x14ac:dyDescent="0.25">
      <c r="A2137" s="211" t="str">
        <f t="shared" si="33"/>
        <v/>
      </c>
      <c r="B2137" s="213" t="s">
        <v>13803</v>
      </c>
      <c r="C2137" s="212"/>
    </row>
    <row r="2138" spans="1:3" x14ac:dyDescent="0.25">
      <c r="A2138" s="211">
        <f t="shared" si="33"/>
        <v>7709040</v>
      </c>
      <c r="B2138" s="213" t="s">
        <v>7595</v>
      </c>
      <c r="C2138" s="213" t="s">
        <v>7596</v>
      </c>
    </row>
    <row r="2139" spans="1:3" x14ac:dyDescent="0.25">
      <c r="A2139" s="211">
        <f t="shared" si="33"/>
        <v>7709041</v>
      </c>
      <c r="B2139" s="213" t="s">
        <v>3614</v>
      </c>
      <c r="C2139" s="213" t="s">
        <v>3615</v>
      </c>
    </row>
    <row r="2140" spans="1:3" x14ac:dyDescent="0.25">
      <c r="A2140" s="211">
        <f t="shared" si="33"/>
        <v>7709042</v>
      </c>
      <c r="B2140" s="213" t="s">
        <v>3616</v>
      </c>
      <c r="C2140" s="213" t="s">
        <v>3617</v>
      </c>
    </row>
    <row r="2141" spans="1:3" x14ac:dyDescent="0.25">
      <c r="A2141" s="211">
        <f t="shared" si="33"/>
        <v>7709043</v>
      </c>
      <c r="B2141" s="213" t="s">
        <v>3618</v>
      </c>
      <c r="C2141" s="213" t="s">
        <v>3619</v>
      </c>
    </row>
    <row r="2142" spans="1:3" x14ac:dyDescent="0.25">
      <c r="A2142" s="211">
        <f t="shared" si="33"/>
        <v>7709049</v>
      </c>
      <c r="B2142" s="213" t="s">
        <v>3620</v>
      </c>
      <c r="C2142" s="213" t="s">
        <v>3621</v>
      </c>
    </row>
    <row r="2143" spans="1:3" x14ac:dyDescent="0.25">
      <c r="A2143" s="211">
        <f t="shared" si="33"/>
        <v>7709060</v>
      </c>
      <c r="B2143" s="213" t="s">
        <v>13340</v>
      </c>
      <c r="C2143" s="213" t="s">
        <v>13341</v>
      </c>
    </row>
    <row r="2144" spans="1:3" x14ac:dyDescent="0.25">
      <c r="A2144" s="211">
        <f t="shared" si="33"/>
        <v>7709061</v>
      </c>
      <c r="B2144" s="213" t="s">
        <v>3622</v>
      </c>
      <c r="C2144" s="213" t="s">
        <v>3623</v>
      </c>
    </row>
    <row r="2145" spans="1:3" x14ac:dyDescent="0.25">
      <c r="A2145" s="211">
        <f t="shared" si="33"/>
        <v>7709062</v>
      </c>
      <c r="B2145" s="213" t="s">
        <v>3624</v>
      </c>
      <c r="C2145" s="213" t="s">
        <v>3625</v>
      </c>
    </row>
    <row r="2146" spans="1:3" x14ac:dyDescent="0.25">
      <c r="A2146" s="211">
        <f t="shared" si="33"/>
        <v>7709063</v>
      </c>
      <c r="B2146" s="213" t="s">
        <v>3626</v>
      </c>
      <c r="C2146" s="213" t="s">
        <v>3627</v>
      </c>
    </row>
    <row r="2147" spans="1:3" x14ac:dyDescent="0.25">
      <c r="A2147" s="211">
        <f t="shared" si="33"/>
        <v>7709064</v>
      </c>
      <c r="B2147" s="213" t="s">
        <v>3628</v>
      </c>
      <c r="C2147" s="213" t="s">
        <v>3629</v>
      </c>
    </row>
    <row r="2148" spans="1:3" x14ac:dyDescent="0.25">
      <c r="A2148" s="211">
        <f t="shared" si="33"/>
        <v>7709065</v>
      </c>
      <c r="B2148" s="213" t="s">
        <v>3630</v>
      </c>
      <c r="C2148" s="213" t="s">
        <v>3631</v>
      </c>
    </row>
    <row r="2149" spans="1:3" x14ac:dyDescent="0.25">
      <c r="A2149" s="211">
        <f t="shared" si="33"/>
        <v>7709066</v>
      </c>
      <c r="B2149" s="213" t="s">
        <v>3632</v>
      </c>
      <c r="C2149" s="213" t="s">
        <v>3633</v>
      </c>
    </row>
    <row r="2150" spans="1:3" x14ac:dyDescent="0.25">
      <c r="A2150" s="211">
        <f t="shared" si="33"/>
        <v>7709067</v>
      </c>
      <c r="B2150" s="213" t="s">
        <v>3634</v>
      </c>
      <c r="C2150" s="213" t="s">
        <v>3635</v>
      </c>
    </row>
    <row r="2151" spans="1:3" x14ac:dyDescent="0.25">
      <c r="A2151" s="211">
        <f t="shared" si="33"/>
        <v>7709068</v>
      </c>
      <c r="B2151" s="213" t="s">
        <v>3636</v>
      </c>
      <c r="C2151" s="213" t="s">
        <v>3637</v>
      </c>
    </row>
    <row r="2152" spans="1:3" x14ac:dyDescent="0.25">
      <c r="A2152" s="211">
        <f t="shared" si="33"/>
        <v>7709069</v>
      </c>
      <c r="B2152" s="213" t="s">
        <v>3638</v>
      </c>
      <c r="C2152" s="213" t="s">
        <v>3639</v>
      </c>
    </row>
    <row r="2153" spans="1:3" x14ac:dyDescent="0.25">
      <c r="A2153" s="211">
        <f t="shared" si="33"/>
        <v>7709070</v>
      </c>
      <c r="B2153" s="213" t="s">
        <v>3640</v>
      </c>
      <c r="C2153" s="213" t="s">
        <v>3641</v>
      </c>
    </row>
    <row r="2154" spans="1:3" x14ac:dyDescent="0.25">
      <c r="A2154" s="211">
        <f t="shared" si="33"/>
        <v>7709071</v>
      </c>
      <c r="B2154" s="213" t="s">
        <v>7597</v>
      </c>
      <c r="C2154" s="213" t="s">
        <v>7598</v>
      </c>
    </row>
    <row r="2155" spans="1:3" x14ac:dyDescent="0.25">
      <c r="A2155" s="211">
        <f t="shared" si="33"/>
        <v>7709072</v>
      </c>
      <c r="B2155" s="213" t="s">
        <v>7599</v>
      </c>
      <c r="C2155" s="213" t="s">
        <v>7600</v>
      </c>
    </row>
    <row r="2156" spans="1:3" x14ac:dyDescent="0.25">
      <c r="A2156" s="211">
        <f t="shared" si="33"/>
        <v>7709092</v>
      </c>
      <c r="B2156" s="213" t="s">
        <v>3642</v>
      </c>
      <c r="C2156" s="213" t="s">
        <v>3643</v>
      </c>
    </row>
    <row r="2157" spans="1:3" x14ac:dyDescent="0.25">
      <c r="A2157" s="211">
        <f t="shared" si="33"/>
        <v>7709094</v>
      </c>
      <c r="B2157" s="213" t="s">
        <v>3644</v>
      </c>
      <c r="C2157" s="213" t="s">
        <v>3645</v>
      </c>
    </row>
    <row r="2158" spans="1:3" x14ac:dyDescent="0.25">
      <c r="A2158" s="211">
        <f t="shared" si="33"/>
        <v>7709101</v>
      </c>
      <c r="B2158" s="213" t="s">
        <v>3646</v>
      </c>
      <c r="C2158" s="213" t="s">
        <v>3647</v>
      </c>
    </row>
    <row r="2159" spans="1:3" x14ac:dyDescent="0.25">
      <c r="A2159" s="211">
        <f t="shared" si="33"/>
        <v>7709102</v>
      </c>
      <c r="B2159" s="213" t="s">
        <v>3648</v>
      </c>
      <c r="C2159" s="213" t="s">
        <v>3649</v>
      </c>
    </row>
    <row r="2160" spans="1:3" x14ac:dyDescent="0.25">
      <c r="A2160" s="211">
        <f t="shared" si="33"/>
        <v>7709103</v>
      </c>
      <c r="B2160" s="213" t="s">
        <v>3650</v>
      </c>
      <c r="C2160" s="213" t="s">
        <v>3651</v>
      </c>
    </row>
    <row r="2161" spans="1:3" x14ac:dyDescent="0.25">
      <c r="A2161" s="211">
        <f t="shared" si="33"/>
        <v>7709104</v>
      </c>
      <c r="B2161" s="213" t="s">
        <v>3652</v>
      </c>
      <c r="C2161" s="213" t="s">
        <v>3653</v>
      </c>
    </row>
    <row r="2162" spans="1:3" x14ac:dyDescent="0.25">
      <c r="A2162" s="211">
        <f t="shared" si="33"/>
        <v>7709105</v>
      </c>
      <c r="B2162" s="213" t="s">
        <v>3654</v>
      </c>
      <c r="C2162" s="213" t="s">
        <v>3655</v>
      </c>
    </row>
    <row r="2163" spans="1:3" x14ac:dyDescent="0.25">
      <c r="A2163" s="211">
        <f t="shared" si="33"/>
        <v>7709106</v>
      </c>
      <c r="B2163" s="213" t="s">
        <v>3656</v>
      </c>
      <c r="C2163" s="213" t="s">
        <v>3657</v>
      </c>
    </row>
    <row r="2164" spans="1:3" x14ac:dyDescent="0.25">
      <c r="A2164" s="211">
        <f t="shared" si="33"/>
        <v>7709115</v>
      </c>
      <c r="B2164" s="213" t="s">
        <v>3658</v>
      </c>
      <c r="C2164" s="213" t="s">
        <v>3659</v>
      </c>
    </row>
    <row r="2165" spans="1:3" x14ac:dyDescent="0.25">
      <c r="A2165" s="211" t="str">
        <f t="shared" si="33"/>
        <v/>
      </c>
      <c r="B2165" s="213" t="s">
        <v>13804</v>
      </c>
      <c r="C2165" s="212"/>
    </row>
    <row r="2166" spans="1:3" x14ac:dyDescent="0.25">
      <c r="A2166" s="211">
        <f t="shared" si="33"/>
        <v>7709120</v>
      </c>
      <c r="B2166" s="213" t="s">
        <v>3660</v>
      </c>
      <c r="C2166" s="213" t="s">
        <v>3661</v>
      </c>
    </row>
    <row r="2167" spans="1:3" x14ac:dyDescent="0.25">
      <c r="A2167" s="211">
        <f t="shared" si="33"/>
        <v>7709122</v>
      </c>
      <c r="B2167" s="213" t="s">
        <v>3662</v>
      </c>
      <c r="C2167" s="213" t="s">
        <v>3663</v>
      </c>
    </row>
    <row r="2168" spans="1:3" x14ac:dyDescent="0.25">
      <c r="A2168" s="211" t="str">
        <f t="shared" si="33"/>
        <v/>
      </c>
      <c r="B2168" s="213" t="s">
        <v>13805</v>
      </c>
      <c r="C2168" s="212"/>
    </row>
    <row r="2169" spans="1:3" x14ac:dyDescent="0.25">
      <c r="A2169" s="211">
        <f t="shared" si="33"/>
        <v>7709123</v>
      </c>
      <c r="B2169" s="213" t="s">
        <v>14065</v>
      </c>
      <c r="C2169" s="213" t="s">
        <v>14066</v>
      </c>
    </row>
    <row r="2170" spans="1:3" x14ac:dyDescent="0.25">
      <c r="A2170" s="211">
        <f t="shared" si="33"/>
        <v>7709135</v>
      </c>
      <c r="B2170" s="213" t="s">
        <v>3664</v>
      </c>
      <c r="C2170" s="213" t="s">
        <v>7601</v>
      </c>
    </row>
    <row r="2171" spans="1:3" x14ac:dyDescent="0.25">
      <c r="A2171" s="211" t="str">
        <f t="shared" si="33"/>
        <v/>
      </c>
      <c r="B2171" s="213" t="s">
        <v>13806</v>
      </c>
      <c r="C2171" s="212"/>
    </row>
    <row r="2172" spans="1:3" x14ac:dyDescent="0.25">
      <c r="A2172" s="211">
        <f t="shared" si="33"/>
        <v>7709137</v>
      </c>
      <c r="B2172" s="213" t="s">
        <v>3665</v>
      </c>
      <c r="C2172" s="213" t="s">
        <v>3666</v>
      </c>
    </row>
    <row r="2173" spans="1:3" x14ac:dyDescent="0.25">
      <c r="A2173" s="211">
        <f t="shared" si="33"/>
        <v>7709138</v>
      </c>
      <c r="B2173" s="213" t="s">
        <v>3667</v>
      </c>
      <c r="C2173" s="213" t="s">
        <v>3668</v>
      </c>
    </row>
    <row r="2174" spans="1:3" x14ac:dyDescent="0.25">
      <c r="A2174" s="211">
        <f t="shared" si="33"/>
        <v>7709139</v>
      </c>
      <c r="B2174" s="213" t="s">
        <v>3669</v>
      </c>
      <c r="C2174" s="213" t="s">
        <v>3670</v>
      </c>
    </row>
    <row r="2175" spans="1:3" x14ac:dyDescent="0.25">
      <c r="A2175" s="211">
        <f t="shared" si="33"/>
        <v>7709142</v>
      </c>
      <c r="B2175" s="213" t="s">
        <v>3671</v>
      </c>
      <c r="C2175" s="213" t="s">
        <v>13492</v>
      </c>
    </row>
    <row r="2176" spans="1:3" x14ac:dyDescent="0.25">
      <c r="A2176" s="211">
        <f t="shared" si="33"/>
        <v>7709155</v>
      </c>
      <c r="B2176" s="213" t="s">
        <v>14067</v>
      </c>
      <c r="C2176" s="213" t="s">
        <v>14068</v>
      </c>
    </row>
    <row r="2177" spans="1:3" x14ac:dyDescent="0.25">
      <c r="A2177" s="211">
        <f t="shared" si="33"/>
        <v>7709156</v>
      </c>
      <c r="B2177" s="213" t="s">
        <v>3672</v>
      </c>
      <c r="C2177" s="213" t="s">
        <v>3673</v>
      </c>
    </row>
    <row r="2178" spans="1:3" x14ac:dyDescent="0.25">
      <c r="A2178" s="211">
        <f t="shared" ref="A2178:A2241" si="34">IFERROR(B2178*1,"")</f>
        <v>7709157</v>
      </c>
      <c r="B2178" s="213" t="s">
        <v>3674</v>
      </c>
      <c r="C2178" s="213" t="s">
        <v>3675</v>
      </c>
    </row>
    <row r="2179" spans="1:3" x14ac:dyDescent="0.25">
      <c r="A2179" s="211">
        <f t="shared" si="34"/>
        <v>7709158</v>
      </c>
      <c r="B2179" s="213" t="s">
        <v>3676</v>
      </c>
      <c r="C2179" s="213" t="s">
        <v>3677</v>
      </c>
    </row>
    <row r="2180" spans="1:3" x14ac:dyDescent="0.25">
      <c r="A2180" s="211">
        <f t="shared" si="34"/>
        <v>7709159</v>
      </c>
      <c r="B2180" s="213" t="s">
        <v>3678</v>
      </c>
      <c r="C2180" s="213" t="s">
        <v>3679</v>
      </c>
    </row>
    <row r="2181" spans="1:3" x14ac:dyDescent="0.25">
      <c r="A2181" s="211" t="str">
        <f t="shared" si="34"/>
        <v/>
      </c>
      <c r="B2181" s="213" t="s">
        <v>13807</v>
      </c>
      <c r="C2181" s="212"/>
    </row>
    <row r="2182" spans="1:3" x14ac:dyDescent="0.25">
      <c r="A2182" s="211">
        <f t="shared" si="34"/>
        <v>7709160</v>
      </c>
      <c r="B2182" s="213" t="s">
        <v>3680</v>
      </c>
      <c r="C2182" s="213" t="s">
        <v>3681</v>
      </c>
    </row>
    <row r="2183" spans="1:3" x14ac:dyDescent="0.25">
      <c r="A2183" s="211">
        <f t="shared" si="34"/>
        <v>7709161</v>
      </c>
      <c r="B2183" s="213" t="s">
        <v>7602</v>
      </c>
      <c r="C2183" s="213" t="s">
        <v>7603</v>
      </c>
    </row>
    <row r="2184" spans="1:3" x14ac:dyDescent="0.25">
      <c r="A2184" s="211">
        <f t="shared" si="34"/>
        <v>7709163</v>
      </c>
      <c r="B2184" s="213" t="s">
        <v>13493</v>
      </c>
      <c r="C2184" s="213" t="s">
        <v>13494</v>
      </c>
    </row>
    <row r="2185" spans="1:3" x14ac:dyDescent="0.25">
      <c r="A2185" s="211">
        <f t="shared" si="34"/>
        <v>7709164</v>
      </c>
      <c r="B2185" s="213" t="s">
        <v>13495</v>
      </c>
      <c r="C2185" s="213" t="s">
        <v>13496</v>
      </c>
    </row>
    <row r="2186" spans="1:3" x14ac:dyDescent="0.25">
      <c r="A2186" s="211" t="str">
        <f t="shared" si="34"/>
        <v/>
      </c>
      <c r="B2186" s="213" t="s">
        <v>13808</v>
      </c>
      <c r="C2186" s="212"/>
    </row>
    <row r="2187" spans="1:3" x14ac:dyDescent="0.25">
      <c r="A2187" s="211">
        <f t="shared" si="34"/>
        <v>7709174</v>
      </c>
      <c r="B2187" s="213" t="s">
        <v>3682</v>
      </c>
      <c r="C2187" s="213" t="s">
        <v>3683</v>
      </c>
    </row>
    <row r="2188" spans="1:3" x14ac:dyDescent="0.25">
      <c r="A2188" s="211">
        <f t="shared" si="34"/>
        <v>7709198</v>
      </c>
      <c r="B2188" s="213" t="s">
        <v>3684</v>
      </c>
      <c r="C2188" s="213" t="s">
        <v>3685</v>
      </c>
    </row>
    <row r="2189" spans="1:3" x14ac:dyDescent="0.25">
      <c r="A2189" s="211">
        <f t="shared" si="34"/>
        <v>7709200</v>
      </c>
      <c r="B2189" s="213" t="s">
        <v>3686</v>
      </c>
      <c r="C2189" s="213" t="s">
        <v>3687</v>
      </c>
    </row>
    <row r="2190" spans="1:3" x14ac:dyDescent="0.25">
      <c r="A2190" s="211">
        <f t="shared" si="34"/>
        <v>7709203</v>
      </c>
      <c r="B2190" s="213" t="s">
        <v>3688</v>
      </c>
      <c r="C2190" s="213" t="s">
        <v>3689</v>
      </c>
    </row>
    <row r="2191" spans="1:3" x14ac:dyDescent="0.25">
      <c r="A2191" s="211">
        <f t="shared" si="34"/>
        <v>7709204</v>
      </c>
      <c r="B2191" s="213" t="s">
        <v>3690</v>
      </c>
      <c r="C2191" s="213" t="s">
        <v>3691</v>
      </c>
    </row>
    <row r="2192" spans="1:3" x14ac:dyDescent="0.25">
      <c r="A2192" s="211">
        <f t="shared" si="34"/>
        <v>7709208</v>
      </c>
      <c r="B2192" s="213" t="s">
        <v>3692</v>
      </c>
      <c r="C2192" s="213" t="s">
        <v>3693</v>
      </c>
    </row>
    <row r="2193" spans="1:3" x14ac:dyDescent="0.25">
      <c r="A2193" s="211">
        <f t="shared" si="34"/>
        <v>7709212</v>
      </c>
      <c r="B2193" s="213" t="s">
        <v>3694</v>
      </c>
      <c r="C2193" s="213" t="s">
        <v>3695</v>
      </c>
    </row>
    <row r="2194" spans="1:3" x14ac:dyDescent="0.25">
      <c r="A2194" s="211">
        <f t="shared" si="34"/>
        <v>7709228</v>
      </c>
      <c r="B2194" s="213" t="s">
        <v>3696</v>
      </c>
      <c r="C2194" s="213" t="s">
        <v>3697</v>
      </c>
    </row>
    <row r="2195" spans="1:3" x14ac:dyDescent="0.25">
      <c r="A2195" s="211">
        <f t="shared" si="34"/>
        <v>7709229</v>
      </c>
      <c r="B2195" s="213" t="s">
        <v>3698</v>
      </c>
      <c r="C2195" s="213" t="s">
        <v>3699</v>
      </c>
    </row>
    <row r="2196" spans="1:3" x14ac:dyDescent="0.25">
      <c r="A2196" s="211">
        <f t="shared" si="34"/>
        <v>7709230</v>
      </c>
      <c r="B2196" s="213" t="s">
        <v>3700</v>
      </c>
      <c r="C2196" s="213" t="s">
        <v>3701</v>
      </c>
    </row>
    <row r="2197" spans="1:3" x14ac:dyDescent="0.25">
      <c r="A2197" s="211">
        <f t="shared" si="34"/>
        <v>7709233</v>
      </c>
      <c r="B2197" s="213" t="s">
        <v>3702</v>
      </c>
      <c r="C2197" s="213" t="s">
        <v>3703</v>
      </c>
    </row>
    <row r="2198" spans="1:3" x14ac:dyDescent="0.25">
      <c r="A2198" s="211">
        <f t="shared" si="34"/>
        <v>7709234</v>
      </c>
      <c r="B2198" s="213" t="s">
        <v>3704</v>
      </c>
      <c r="C2198" s="213" t="s">
        <v>3705</v>
      </c>
    </row>
    <row r="2199" spans="1:3" x14ac:dyDescent="0.25">
      <c r="A2199" s="211">
        <f t="shared" si="34"/>
        <v>7709235</v>
      </c>
      <c r="B2199" s="213" t="s">
        <v>3706</v>
      </c>
      <c r="C2199" s="213" t="s">
        <v>3707</v>
      </c>
    </row>
    <row r="2200" spans="1:3" x14ac:dyDescent="0.25">
      <c r="A2200" s="211">
        <f t="shared" si="34"/>
        <v>7709236</v>
      </c>
      <c r="B2200" s="213" t="s">
        <v>13809</v>
      </c>
      <c r="C2200" s="213" t="s">
        <v>13810</v>
      </c>
    </row>
    <row r="2201" spans="1:3" x14ac:dyDescent="0.25">
      <c r="A2201" s="211">
        <f t="shared" si="34"/>
        <v>7709238</v>
      </c>
      <c r="B2201" s="213" t="s">
        <v>3708</v>
      </c>
      <c r="C2201" s="213" t="s">
        <v>3709</v>
      </c>
    </row>
    <row r="2202" spans="1:3" x14ac:dyDescent="0.25">
      <c r="A2202" s="211">
        <f t="shared" si="34"/>
        <v>7709245</v>
      </c>
      <c r="B2202" s="213" t="s">
        <v>3710</v>
      </c>
      <c r="C2202" s="213" t="s">
        <v>3711</v>
      </c>
    </row>
    <row r="2203" spans="1:3" x14ac:dyDescent="0.25">
      <c r="A2203" s="211">
        <f t="shared" si="34"/>
        <v>7709246</v>
      </c>
      <c r="B2203" s="213" t="s">
        <v>3712</v>
      </c>
      <c r="C2203" s="213" t="s">
        <v>3713</v>
      </c>
    </row>
    <row r="2204" spans="1:3" x14ac:dyDescent="0.25">
      <c r="A2204" s="211">
        <f t="shared" si="34"/>
        <v>7709251</v>
      </c>
      <c r="B2204" s="213" t="s">
        <v>3714</v>
      </c>
      <c r="C2204" s="213" t="s">
        <v>3715</v>
      </c>
    </row>
    <row r="2205" spans="1:3" x14ac:dyDescent="0.25">
      <c r="A2205" s="211">
        <f t="shared" si="34"/>
        <v>7709272</v>
      </c>
      <c r="B2205" s="213" t="s">
        <v>3716</v>
      </c>
      <c r="C2205" s="213" t="s">
        <v>13497</v>
      </c>
    </row>
    <row r="2206" spans="1:3" x14ac:dyDescent="0.25">
      <c r="A2206" s="211" t="str">
        <f t="shared" si="34"/>
        <v/>
      </c>
      <c r="B2206" s="213" t="s">
        <v>13811</v>
      </c>
      <c r="C2206" s="212"/>
    </row>
    <row r="2207" spans="1:3" x14ac:dyDescent="0.25">
      <c r="A2207" s="211">
        <f t="shared" si="34"/>
        <v>7709273</v>
      </c>
      <c r="B2207" s="213" t="s">
        <v>3717</v>
      </c>
      <c r="C2207" s="213" t="s">
        <v>3718</v>
      </c>
    </row>
    <row r="2208" spans="1:3" x14ac:dyDescent="0.25">
      <c r="A2208" s="211">
        <f t="shared" si="34"/>
        <v>7709274</v>
      </c>
      <c r="B2208" s="213" t="s">
        <v>3719</v>
      </c>
      <c r="C2208" s="213" t="s">
        <v>3720</v>
      </c>
    </row>
    <row r="2209" spans="1:3" x14ac:dyDescent="0.25">
      <c r="A2209" s="211">
        <f t="shared" si="34"/>
        <v>7709285</v>
      </c>
      <c r="B2209" s="213" t="s">
        <v>3721</v>
      </c>
      <c r="C2209" s="213" t="s">
        <v>3722</v>
      </c>
    </row>
    <row r="2210" spans="1:3" x14ac:dyDescent="0.25">
      <c r="A2210" s="211">
        <f t="shared" si="34"/>
        <v>7709300</v>
      </c>
      <c r="B2210" s="213" t="s">
        <v>3723</v>
      </c>
      <c r="C2210" s="213" t="s">
        <v>3724</v>
      </c>
    </row>
    <row r="2211" spans="1:3" x14ac:dyDescent="0.25">
      <c r="A2211" s="211">
        <f t="shared" si="34"/>
        <v>7709301</v>
      </c>
      <c r="B2211" s="213" t="s">
        <v>3725</v>
      </c>
      <c r="C2211" s="213" t="s">
        <v>3726</v>
      </c>
    </row>
    <row r="2212" spans="1:3" x14ac:dyDescent="0.25">
      <c r="A2212" s="211">
        <f t="shared" si="34"/>
        <v>7709302</v>
      </c>
      <c r="B2212" s="213" t="s">
        <v>3727</v>
      </c>
      <c r="C2212" s="213" t="s">
        <v>3728</v>
      </c>
    </row>
    <row r="2213" spans="1:3" x14ac:dyDescent="0.25">
      <c r="A2213" s="211">
        <f t="shared" si="34"/>
        <v>7709303</v>
      </c>
      <c r="B2213" s="213" t="s">
        <v>3729</v>
      </c>
      <c r="C2213" s="213" t="s">
        <v>3730</v>
      </c>
    </row>
    <row r="2214" spans="1:3" x14ac:dyDescent="0.25">
      <c r="A2214" s="211">
        <f t="shared" si="34"/>
        <v>7709304</v>
      </c>
      <c r="B2214" s="213" t="s">
        <v>3731</v>
      </c>
      <c r="C2214" s="213" t="s">
        <v>3732</v>
      </c>
    </row>
    <row r="2215" spans="1:3" x14ac:dyDescent="0.25">
      <c r="A2215" s="211">
        <f t="shared" si="34"/>
        <v>7709305</v>
      </c>
      <c r="B2215" s="213" t="s">
        <v>14069</v>
      </c>
      <c r="C2215" s="213" t="s">
        <v>14070</v>
      </c>
    </row>
    <row r="2216" spans="1:3" x14ac:dyDescent="0.25">
      <c r="A2216" s="211">
        <f t="shared" si="34"/>
        <v>7709306</v>
      </c>
      <c r="B2216" s="213" t="s">
        <v>3733</v>
      </c>
      <c r="C2216" s="213" t="s">
        <v>3734</v>
      </c>
    </row>
    <row r="2217" spans="1:3" x14ac:dyDescent="0.25">
      <c r="A2217" s="211">
        <f t="shared" si="34"/>
        <v>7709307</v>
      </c>
      <c r="B2217" s="213" t="s">
        <v>3735</v>
      </c>
      <c r="C2217" s="213" t="s">
        <v>3736</v>
      </c>
    </row>
    <row r="2218" spans="1:3" x14ac:dyDescent="0.25">
      <c r="A2218" s="211">
        <f t="shared" si="34"/>
        <v>7709308</v>
      </c>
      <c r="B2218" s="213" t="s">
        <v>3737</v>
      </c>
      <c r="C2218" s="213" t="s">
        <v>3738</v>
      </c>
    </row>
    <row r="2219" spans="1:3" x14ac:dyDescent="0.25">
      <c r="A2219" s="211">
        <f t="shared" si="34"/>
        <v>7709310</v>
      </c>
      <c r="B2219" s="213" t="s">
        <v>3739</v>
      </c>
      <c r="C2219" s="213" t="s">
        <v>3740</v>
      </c>
    </row>
    <row r="2220" spans="1:3" x14ac:dyDescent="0.25">
      <c r="A2220" s="211">
        <f t="shared" si="34"/>
        <v>7709312</v>
      </c>
      <c r="B2220" s="213" t="s">
        <v>3741</v>
      </c>
      <c r="C2220" s="213" t="s">
        <v>3742</v>
      </c>
    </row>
    <row r="2221" spans="1:3" x14ac:dyDescent="0.25">
      <c r="A2221" s="211">
        <f t="shared" si="34"/>
        <v>7709330</v>
      </c>
      <c r="B2221" s="213" t="s">
        <v>3743</v>
      </c>
      <c r="C2221" s="213" t="s">
        <v>3744</v>
      </c>
    </row>
    <row r="2222" spans="1:3" x14ac:dyDescent="0.25">
      <c r="A2222" s="211">
        <f t="shared" si="34"/>
        <v>7709333</v>
      </c>
      <c r="B2222" s="213" t="s">
        <v>3745</v>
      </c>
      <c r="C2222" s="213" t="s">
        <v>3746</v>
      </c>
    </row>
    <row r="2223" spans="1:3" x14ac:dyDescent="0.25">
      <c r="A2223" s="211">
        <f t="shared" si="34"/>
        <v>7709334</v>
      </c>
      <c r="B2223" s="213" t="s">
        <v>7604</v>
      </c>
      <c r="C2223" s="213" t="s">
        <v>7605</v>
      </c>
    </row>
    <row r="2224" spans="1:3" x14ac:dyDescent="0.25">
      <c r="A2224" s="211">
        <f t="shared" si="34"/>
        <v>7709338</v>
      </c>
      <c r="B2224" s="213" t="s">
        <v>3747</v>
      </c>
      <c r="C2224" s="213" t="s">
        <v>3748</v>
      </c>
    </row>
    <row r="2225" spans="1:3" x14ac:dyDescent="0.25">
      <c r="A2225" s="211" t="str">
        <f t="shared" si="34"/>
        <v/>
      </c>
      <c r="B2225" s="213" t="s">
        <v>13812</v>
      </c>
      <c r="C2225" s="212"/>
    </row>
    <row r="2226" spans="1:3" x14ac:dyDescent="0.25">
      <c r="A2226" s="211">
        <f t="shared" si="34"/>
        <v>7709341</v>
      </c>
      <c r="B2226" s="213" t="s">
        <v>3749</v>
      </c>
      <c r="C2226" s="213" t="s">
        <v>3750</v>
      </c>
    </row>
    <row r="2227" spans="1:3" x14ac:dyDescent="0.25">
      <c r="A2227" s="211">
        <f t="shared" si="34"/>
        <v>7709350</v>
      </c>
      <c r="B2227" s="213" t="s">
        <v>3751</v>
      </c>
      <c r="C2227" s="213" t="s">
        <v>3752</v>
      </c>
    </row>
    <row r="2228" spans="1:3" x14ac:dyDescent="0.25">
      <c r="A2228" s="211">
        <f t="shared" si="34"/>
        <v>7709351</v>
      </c>
      <c r="B2228" s="213" t="s">
        <v>3753</v>
      </c>
      <c r="C2228" s="213" t="s">
        <v>3754</v>
      </c>
    </row>
    <row r="2229" spans="1:3" x14ac:dyDescent="0.25">
      <c r="A2229" s="211" t="str">
        <f t="shared" si="34"/>
        <v/>
      </c>
      <c r="B2229" s="213" t="s">
        <v>13813</v>
      </c>
      <c r="C2229" s="212"/>
    </row>
    <row r="2230" spans="1:3" x14ac:dyDescent="0.25">
      <c r="A2230" s="211">
        <f t="shared" si="34"/>
        <v>7709352</v>
      </c>
      <c r="B2230" s="213" t="s">
        <v>3755</v>
      </c>
      <c r="C2230" s="213" t="s">
        <v>3756</v>
      </c>
    </row>
    <row r="2231" spans="1:3" x14ac:dyDescent="0.25">
      <c r="A2231" s="211">
        <f t="shared" si="34"/>
        <v>7709353</v>
      </c>
      <c r="B2231" s="213" t="s">
        <v>13498</v>
      </c>
      <c r="C2231" s="213" t="s">
        <v>13499</v>
      </c>
    </row>
    <row r="2232" spans="1:3" x14ac:dyDescent="0.25">
      <c r="A2232" s="211">
        <f t="shared" si="34"/>
        <v>7709354</v>
      </c>
      <c r="B2232" s="213" t="s">
        <v>13500</v>
      </c>
      <c r="C2232" s="213" t="s">
        <v>13501</v>
      </c>
    </row>
    <row r="2233" spans="1:3" x14ac:dyDescent="0.25">
      <c r="A2233" s="211">
        <f t="shared" si="34"/>
        <v>7709355</v>
      </c>
      <c r="B2233" s="213" t="s">
        <v>3757</v>
      </c>
      <c r="C2233" s="213" t="s">
        <v>13502</v>
      </c>
    </row>
    <row r="2234" spans="1:3" x14ac:dyDescent="0.25">
      <c r="A2234" s="211">
        <f t="shared" si="34"/>
        <v>7709356</v>
      </c>
      <c r="B2234" s="213" t="s">
        <v>13503</v>
      </c>
      <c r="C2234" s="213" t="s">
        <v>13504</v>
      </c>
    </row>
    <row r="2235" spans="1:3" x14ac:dyDescent="0.25">
      <c r="A2235" s="211">
        <f t="shared" si="34"/>
        <v>7709357</v>
      </c>
      <c r="B2235" s="213" t="s">
        <v>13505</v>
      </c>
      <c r="C2235" s="213" t="s">
        <v>13506</v>
      </c>
    </row>
    <row r="2236" spans="1:3" x14ac:dyDescent="0.25">
      <c r="A2236" s="211">
        <f t="shared" si="34"/>
        <v>7709358</v>
      </c>
      <c r="B2236" s="213" t="s">
        <v>3758</v>
      </c>
      <c r="C2236" s="213" t="s">
        <v>3759</v>
      </c>
    </row>
    <row r="2237" spans="1:3" x14ac:dyDescent="0.25">
      <c r="A2237" s="211">
        <f t="shared" si="34"/>
        <v>7709359</v>
      </c>
      <c r="B2237" s="213" t="s">
        <v>13507</v>
      </c>
      <c r="C2237" s="213" t="s">
        <v>13508</v>
      </c>
    </row>
    <row r="2238" spans="1:3" x14ac:dyDescent="0.25">
      <c r="A2238" s="211">
        <f t="shared" si="34"/>
        <v>7709360</v>
      </c>
      <c r="B2238" s="213" t="s">
        <v>3760</v>
      </c>
      <c r="C2238" s="213" t="s">
        <v>3761</v>
      </c>
    </row>
    <row r="2239" spans="1:3" x14ac:dyDescent="0.25">
      <c r="A2239" s="211">
        <f t="shared" si="34"/>
        <v>7709361</v>
      </c>
      <c r="B2239" s="213" t="s">
        <v>3762</v>
      </c>
      <c r="C2239" s="213" t="s">
        <v>3763</v>
      </c>
    </row>
    <row r="2240" spans="1:3" x14ac:dyDescent="0.25">
      <c r="A2240" s="211">
        <f t="shared" si="34"/>
        <v>7709364</v>
      </c>
      <c r="B2240" s="213" t="s">
        <v>3764</v>
      </c>
      <c r="C2240" s="213" t="s">
        <v>3765</v>
      </c>
    </row>
    <row r="2241" spans="1:3" x14ac:dyDescent="0.25">
      <c r="A2241" s="211">
        <f t="shared" si="34"/>
        <v>7709365</v>
      </c>
      <c r="B2241" s="213" t="s">
        <v>3766</v>
      </c>
      <c r="C2241" s="213" t="s">
        <v>3767</v>
      </c>
    </row>
    <row r="2242" spans="1:3" x14ac:dyDescent="0.25">
      <c r="A2242" s="211">
        <f t="shared" ref="A2242:A2305" si="35">IFERROR(B2242*1,"")</f>
        <v>7709380</v>
      </c>
      <c r="B2242" s="213" t="s">
        <v>3768</v>
      </c>
      <c r="C2242" s="213" t="s">
        <v>3769</v>
      </c>
    </row>
    <row r="2243" spans="1:3" x14ac:dyDescent="0.25">
      <c r="A2243" s="211">
        <f t="shared" si="35"/>
        <v>7709381</v>
      </c>
      <c r="B2243" s="213" t="s">
        <v>3770</v>
      </c>
      <c r="C2243" s="213" t="s">
        <v>3771</v>
      </c>
    </row>
    <row r="2244" spans="1:3" x14ac:dyDescent="0.25">
      <c r="A2244" s="211">
        <f t="shared" si="35"/>
        <v>7709384</v>
      </c>
      <c r="B2244" s="213" t="s">
        <v>3772</v>
      </c>
      <c r="C2244" s="213" t="s">
        <v>7606</v>
      </c>
    </row>
    <row r="2245" spans="1:3" x14ac:dyDescent="0.25">
      <c r="A2245" s="211">
        <f t="shared" si="35"/>
        <v>7709393</v>
      </c>
      <c r="B2245" s="213" t="s">
        <v>3773</v>
      </c>
      <c r="C2245" s="213" t="s">
        <v>3774</v>
      </c>
    </row>
    <row r="2246" spans="1:3" x14ac:dyDescent="0.25">
      <c r="A2246" s="211">
        <f t="shared" si="35"/>
        <v>7709394</v>
      </c>
      <c r="B2246" s="213" t="s">
        <v>3775</v>
      </c>
      <c r="C2246" s="213" t="s">
        <v>3776</v>
      </c>
    </row>
    <row r="2247" spans="1:3" x14ac:dyDescent="0.25">
      <c r="A2247" s="211">
        <f t="shared" si="35"/>
        <v>7709395</v>
      </c>
      <c r="B2247" s="213" t="s">
        <v>3777</v>
      </c>
      <c r="C2247" s="213" t="s">
        <v>3778</v>
      </c>
    </row>
    <row r="2248" spans="1:3" x14ac:dyDescent="0.25">
      <c r="A2248" s="211">
        <f t="shared" si="35"/>
        <v>7709396</v>
      </c>
      <c r="B2248" s="213" t="s">
        <v>3779</v>
      </c>
      <c r="C2248" s="213" t="s">
        <v>3780</v>
      </c>
    </row>
    <row r="2249" spans="1:3" x14ac:dyDescent="0.25">
      <c r="A2249" s="211">
        <f t="shared" si="35"/>
        <v>7709401</v>
      </c>
      <c r="B2249" s="213" t="s">
        <v>3781</v>
      </c>
      <c r="C2249" s="213" t="s">
        <v>3782</v>
      </c>
    </row>
    <row r="2250" spans="1:3" x14ac:dyDescent="0.25">
      <c r="A2250" s="211">
        <f t="shared" si="35"/>
        <v>7709406</v>
      </c>
      <c r="B2250" s="213" t="s">
        <v>3783</v>
      </c>
      <c r="C2250" s="213" t="s">
        <v>3784</v>
      </c>
    </row>
    <row r="2251" spans="1:3" x14ac:dyDescent="0.25">
      <c r="A2251" s="211">
        <f t="shared" si="35"/>
        <v>7709410</v>
      </c>
      <c r="B2251" s="213" t="s">
        <v>3785</v>
      </c>
      <c r="C2251" s="213" t="s">
        <v>3786</v>
      </c>
    </row>
    <row r="2252" spans="1:3" x14ac:dyDescent="0.25">
      <c r="A2252" s="211">
        <f t="shared" si="35"/>
        <v>7709411</v>
      </c>
      <c r="B2252" s="213" t="s">
        <v>3787</v>
      </c>
      <c r="C2252" s="213" t="s">
        <v>3788</v>
      </c>
    </row>
    <row r="2253" spans="1:3" x14ac:dyDescent="0.25">
      <c r="A2253" s="211">
        <f t="shared" si="35"/>
        <v>7709412</v>
      </c>
      <c r="B2253" s="213" t="s">
        <v>3789</v>
      </c>
      <c r="C2253" s="213" t="s">
        <v>3790</v>
      </c>
    </row>
    <row r="2254" spans="1:3" x14ac:dyDescent="0.25">
      <c r="A2254" s="211">
        <f t="shared" si="35"/>
        <v>7709413</v>
      </c>
      <c r="B2254" s="213" t="s">
        <v>3791</v>
      </c>
      <c r="C2254" s="213" t="s">
        <v>3792</v>
      </c>
    </row>
    <row r="2255" spans="1:3" x14ac:dyDescent="0.25">
      <c r="A2255" s="211">
        <f t="shared" si="35"/>
        <v>7709414</v>
      </c>
      <c r="B2255" s="213" t="s">
        <v>7607</v>
      </c>
      <c r="C2255" s="213" t="s">
        <v>7608</v>
      </c>
    </row>
    <row r="2256" spans="1:3" x14ac:dyDescent="0.25">
      <c r="A2256" s="211">
        <f t="shared" si="35"/>
        <v>7709415</v>
      </c>
      <c r="B2256" s="213" t="s">
        <v>7609</v>
      </c>
      <c r="C2256" s="213" t="s">
        <v>7610</v>
      </c>
    </row>
    <row r="2257" spans="1:3" x14ac:dyDescent="0.25">
      <c r="A2257" s="211">
        <f t="shared" si="35"/>
        <v>7709416</v>
      </c>
      <c r="B2257" s="213" t="s">
        <v>7611</v>
      </c>
      <c r="C2257" s="213" t="s">
        <v>7612</v>
      </c>
    </row>
    <row r="2258" spans="1:3" x14ac:dyDescent="0.25">
      <c r="A2258" s="211">
        <f t="shared" si="35"/>
        <v>7709417</v>
      </c>
      <c r="B2258" s="213" t="s">
        <v>3793</v>
      </c>
      <c r="C2258" s="213" t="s">
        <v>3794</v>
      </c>
    </row>
    <row r="2259" spans="1:3" x14ac:dyDescent="0.25">
      <c r="A2259" s="211">
        <f t="shared" si="35"/>
        <v>7709419</v>
      </c>
      <c r="B2259" s="213" t="s">
        <v>3795</v>
      </c>
      <c r="C2259" s="213" t="s">
        <v>3796</v>
      </c>
    </row>
    <row r="2260" spans="1:3" x14ac:dyDescent="0.25">
      <c r="A2260" s="211">
        <f t="shared" si="35"/>
        <v>7709420</v>
      </c>
      <c r="B2260" s="213" t="s">
        <v>3797</v>
      </c>
      <c r="C2260" s="213" t="s">
        <v>3798</v>
      </c>
    </row>
    <row r="2261" spans="1:3" x14ac:dyDescent="0.25">
      <c r="A2261" s="211">
        <f t="shared" si="35"/>
        <v>7709421</v>
      </c>
      <c r="B2261" s="213" t="s">
        <v>3799</v>
      </c>
      <c r="C2261" s="213" t="s">
        <v>3800</v>
      </c>
    </row>
    <row r="2262" spans="1:3" x14ac:dyDescent="0.25">
      <c r="A2262" s="211">
        <f t="shared" si="35"/>
        <v>7709422</v>
      </c>
      <c r="B2262" s="213" t="s">
        <v>3801</v>
      </c>
      <c r="C2262" s="213" t="s">
        <v>3802</v>
      </c>
    </row>
    <row r="2263" spans="1:3" x14ac:dyDescent="0.25">
      <c r="A2263" s="211">
        <f t="shared" si="35"/>
        <v>7709425</v>
      </c>
      <c r="B2263" s="213" t="s">
        <v>3803</v>
      </c>
      <c r="C2263" s="213" t="s">
        <v>3804</v>
      </c>
    </row>
    <row r="2264" spans="1:3" x14ac:dyDescent="0.25">
      <c r="A2264" s="211">
        <f t="shared" si="35"/>
        <v>7709426</v>
      </c>
      <c r="B2264" s="213" t="s">
        <v>3805</v>
      </c>
      <c r="C2264" s="213" t="s">
        <v>3806</v>
      </c>
    </row>
    <row r="2265" spans="1:3" x14ac:dyDescent="0.25">
      <c r="A2265" s="211">
        <f t="shared" si="35"/>
        <v>7709427</v>
      </c>
      <c r="B2265" s="213" t="s">
        <v>13509</v>
      </c>
      <c r="C2265" s="213" t="s">
        <v>14071</v>
      </c>
    </row>
    <row r="2266" spans="1:3" x14ac:dyDescent="0.25">
      <c r="A2266" s="211">
        <f t="shared" si="35"/>
        <v>7709428</v>
      </c>
      <c r="B2266" s="213" t="s">
        <v>13510</v>
      </c>
      <c r="C2266" s="213" t="s">
        <v>14072</v>
      </c>
    </row>
    <row r="2267" spans="1:3" x14ac:dyDescent="0.25">
      <c r="A2267" s="211">
        <f t="shared" si="35"/>
        <v>7709438</v>
      </c>
      <c r="B2267" s="213" t="s">
        <v>13342</v>
      </c>
      <c r="C2267" s="213" t="s">
        <v>13343</v>
      </c>
    </row>
    <row r="2268" spans="1:3" x14ac:dyDescent="0.25">
      <c r="A2268" s="211">
        <f t="shared" si="35"/>
        <v>7709439</v>
      </c>
      <c r="B2268" s="213" t="s">
        <v>3807</v>
      </c>
      <c r="C2268" s="213" t="s">
        <v>3808</v>
      </c>
    </row>
    <row r="2269" spans="1:3" x14ac:dyDescent="0.25">
      <c r="A2269" s="211">
        <f t="shared" si="35"/>
        <v>7709440</v>
      </c>
      <c r="B2269" s="213" t="s">
        <v>3809</v>
      </c>
      <c r="C2269" s="213" t="s">
        <v>3810</v>
      </c>
    </row>
    <row r="2270" spans="1:3" x14ac:dyDescent="0.25">
      <c r="A2270" s="211">
        <f t="shared" si="35"/>
        <v>7709441</v>
      </c>
      <c r="B2270" s="213" t="s">
        <v>3811</v>
      </c>
      <c r="C2270" s="213" t="s">
        <v>3812</v>
      </c>
    </row>
    <row r="2271" spans="1:3" x14ac:dyDescent="0.25">
      <c r="A2271" s="211">
        <f t="shared" si="35"/>
        <v>7709442</v>
      </c>
      <c r="B2271" s="213" t="s">
        <v>3813</v>
      </c>
      <c r="C2271" s="213" t="s">
        <v>3814</v>
      </c>
    </row>
    <row r="2272" spans="1:3" x14ac:dyDescent="0.25">
      <c r="A2272" s="211">
        <f t="shared" si="35"/>
        <v>7709443</v>
      </c>
      <c r="B2272" s="213" t="s">
        <v>3815</v>
      </c>
      <c r="C2272" s="213" t="s">
        <v>3816</v>
      </c>
    </row>
    <row r="2273" spans="1:3" x14ac:dyDescent="0.25">
      <c r="A2273" s="211">
        <f t="shared" si="35"/>
        <v>7709444</v>
      </c>
      <c r="B2273" s="213" t="s">
        <v>14073</v>
      </c>
      <c r="C2273" s="213" t="s">
        <v>14074</v>
      </c>
    </row>
    <row r="2274" spans="1:3" x14ac:dyDescent="0.25">
      <c r="A2274" s="211">
        <f t="shared" si="35"/>
        <v>7709450</v>
      </c>
      <c r="B2274" s="213" t="s">
        <v>3817</v>
      </c>
      <c r="C2274" s="213" t="s">
        <v>3818</v>
      </c>
    </row>
    <row r="2275" spans="1:3" x14ac:dyDescent="0.25">
      <c r="A2275" s="211">
        <f t="shared" si="35"/>
        <v>7709451</v>
      </c>
      <c r="B2275" s="213" t="s">
        <v>3819</v>
      </c>
      <c r="C2275" s="213" t="s">
        <v>3820</v>
      </c>
    </row>
    <row r="2276" spans="1:3" x14ac:dyDescent="0.25">
      <c r="A2276" s="211">
        <f t="shared" si="35"/>
        <v>7709452</v>
      </c>
      <c r="B2276" s="213" t="s">
        <v>3821</v>
      </c>
      <c r="C2276" s="213" t="s">
        <v>3822</v>
      </c>
    </row>
    <row r="2277" spans="1:3" x14ac:dyDescent="0.25">
      <c r="A2277" s="211">
        <f t="shared" si="35"/>
        <v>7709453</v>
      </c>
      <c r="B2277" s="213" t="s">
        <v>3823</v>
      </c>
      <c r="C2277" s="213" t="s">
        <v>3824</v>
      </c>
    </row>
    <row r="2278" spans="1:3" x14ac:dyDescent="0.25">
      <c r="A2278" s="211">
        <f t="shared" si="35"/>
        <v>7709454</v>
      </c>
      <c r="B2278" s="213" t="s">
        <v>3825</v>
      </c>
      <c r="C2278" s="213" t="s">
        <v>3826</v>
      </c>
    </row>
    <row r="2279" spans="1:3" x14ac:dyDescent="0.25">
      <c r="A2279" s="211">
        <f t="shared" si="35"/>
        <v>7709455</v>
      </c>
      <c r="B2279" s="213" t="s">
        <v>3827</v>
      </c>
      <c r="C2279" s="213" t="s">
        <v>3828</v>
      </c>
    </row>
    <row r="2280" spans="1:3" x14ac:dyDescent="0.25">
      <c r="A2280" s="211">
        <f t="shared" si="35"/>
        <v>7709456</v>
      </c>
      <c r="B2280" s="213" t="s">
        <v>3829</v>
      </c>
      <c r="C2280" s="213" t="s">
        <v>3830</v>
      </c>
    </row>
    <row r="2281" spans="1:3" x14ac:dyDescent="0.25">
      <c r="A2281" s="211">
        <f t="shared" si="35"/>
        <v>7709457</v>
      </c>
      <c r="B2281" s="213" t="s">
        <v>3831</v>
      </c>
      <c r="C2281" s="213" t="s">
        <v>3832</v>
      </c>
    </row>
    <row r="2282" spans="1:3" x14ac:dyDescent="0.25">
      <c r="A2282" s="211">
        <f t="shared" si="35"/>
        <v>7709458</v>
      </c>
      <c r="B2282" s="213" t="s">
        <v>3833</v>
      </c>
      <c r="C2282" s="213" t="s">
        <v>3834</v>
      </c>
    </row>
    <row r="2283" spans="1:3" x14ac:dyDescent="0.25">
      <c r="A2283" s="211">
        <f t="shared" si="35"/>
        <v>7709459</v>
      </c>
      <c r="B2283" s="213" t="s">
        <v>3835</v>
      </c>
      <c r="C2283" s="213" t="s">
        <v>3836</v>
      </c>
    </row>
    <row r="2284" spans="1:3" x14ac:dyDescent="0.25">
      <c r="A2284" s="211">
        <f t="shared" si="35"/>
        <v>7709460</v>
      </c>
      <c r="B2284" s="213" t="s">
        <v>3837</v>
      </c>
      <c r="C2284" s="213" t="s">
        <v>3838</v>
      </c>
    </row>
    <row r="2285" spans="1:3" x14ac:dyDescent="0.25">
      <c r="A2285" s="211">
        <f t="shared" si="35"/>
        <v>7709461</v>
      </c>
      <c r="B2285" s="213" t="s">
        <v>3839</v>
      </c>
      <c r="C2285" s="213" t="s">
        <v>3840</v>
      </c>
    </row>
    <row r="2286" spans="1:3" x14ac:dyDescent="0.25">
      <c r="A2286" s="211">
        <f t="shared" si="35"/>
        <v>7709462</v>
      </c>
      <c r="B2286" s="213" t="s">
        <v>3841</v>
      </c>
      <c r="C2286" s="213" t="s">
        <v>3842</v>
      </c>
    </row>
    <row r="2287" spans="1:3" x14ac:dyDescent="0.25">
      <c r="A2287" s="211">
        <f t="shared" si="35"/>
        <v>7709465</v>
      </c>
      <c r="B2287" s="213" t="s">
        <v>3843</v>
      </c>
      <c r="C2287" s="213" t="s">
        <v>3844</v>
      </c>
    </row>
    <row r="2288" spans="1:3" x14ac:dyDescent="0.25">
      <c r="A2288" s="211">
        <f t="shared" si="35"/>
        <v>7709473</v>
      </c>
      <c r="B2288" s="213" t="s">
        <v>3845</v>
      </c>
      <c r="C2288" s="213" t="s">
        <v>3846</v>
      </c>
    </row>
    <row r="2289" spans="1:3" x14ac:dyDescent="0.25">
      <c r="A2289" s="211">
        <f t="shared" si="35"/>
        <v>7709490</v>
      </c>
      <c r="B2289" s="213" t="s">
        <v>3847</v>
      </c>
      <c r="C2289" s="213" t="s">
        <v>3848</v>
      </c>
    </row>
    <row r="2290" spans="1:3" x14ac:dyDescent="0.25">
      <c r="A2290" s="211">
        <f t="shared" si="35"/>
        <v>7709495</v>
      </c>
      <c r="B2290" s="213" t="s">
        <v>3849</v>
      </c>
      <c r="C2290" s="213" t="s">
        <v>3850</v>
      </c>
    </row>
    <row r="2291" spans="1:3" x14ac:dyDescent="0.25">
      <c r="A2291" s="211">
        <f t="shared" si="35"/>
        <v>7709499</v>
      </c>
      <c r="B2291" s="213" t="s">
        <v>3851</v>
      </c>
      <c r="C2291" s="213" t="s">
        <v>3852</v>
      </c>
    </row>
    <row r="2292" spans="1:3" x14ac:dyDescent="0.25">
      <c r="A2292" s="211" t="str">
        <f t="shared" si="35"/>
        <v/>
      </c>
      <c r="B2292" s="213" t="s">
        <v>13814</v>
      </c>
      <c r="C2292" s="212"/>
    </row>
    <row r="2293" spans="1:3" x14ac:dyDescent="0.25">
      <c r="A2293" s="211">
        <f t="shared" si="35"/>
        <v>7709500</v>
      </c>
      <c r="B2293" s="213" t="s">
        <v>3853</v>
      </c>
      <c r="C2293" s="213" t="s">
        <v>3854</v>
      </c>
    </row>
    <row r="2294" spans="1:3" x14ac:dyDescent="0.25">
      <c r="A2294" s="211">
        <f t="shared" si="35"/>
        <v>7709501</v>
      </c>
      <c r="B2294" s="213" t="s">
        <v>3855</v>
      </c>
      <c r="C2294" s="213" t="s">
        <v>3856</v>
      </c>
    </row>
    <row r="2295" spans="1:3" x14ac:dyDescent="0.25">
      <c r="A2295" s="211">
        <f t="shared" si="35"/>
        <v>7709502</v>
      </c>
      <c r="B2295" s="213" t="s">
        <v>3857</v>
      </c>
      <c r="C2295" s="213" t="s">
        <v>3858</v>
      </c>
    </row>
    <row r="2296" spans="1:3" x14ac:dyDescent="0.25">
      <c r="A2296" s="211">
        <f t="shared" si="35"/>
        <v>7709503</v>
      </c>
      <c r="B2296" s="213" t="s">
        <v>3859</v>
      </c>
      <c r="C2296" s="213" t="s">
        <v>3860</v>
      </c>
    </row>
    <row r="2297" spans="1:3" x14ac:dyDescent="0.25">
      <c r="A2297" s="211">
        <f t="shared" si="35"/>
        <v>7709504</v>
      </c>
      <c r="B2297" s="213" t="s">
        <v>3861</v>
      </c>
      <c r="C2297" s="213" t="s">
        <v>3862</v>
      </c>
    </row>
    <row r="2298" spans="1:3" x14ac:dyDescent="0.25">
      <c r="A2298" s="211">
        <f t="shared" si="35"/>
        <v>7709505</v>
      </c>
      <c r="B2298" s="213" t="s">
        <v>3863</v>
      </c>
      <c r="C2298" s="213" t="s">
        <v>3864</v>
      </c>
    </row>
    <row r="2299" spans="1:3" x14ac:dyDescent="0.25">
      <c r="A2299" s="211">
        <f t="shared" si="35"/>
        <v>7709506</v>
      </c>
      <c r="B2299" s="213" t="s">
        <v>3865</v>
      </c>
      <c r="C2299" s="213" t="s">
        <v>3866</v>
      </c>
    </row>
    <row r="2300" spans="1:3" x14ac:dyDescent="0.25">
      <c r="A2300" s="211">
        <f t="shared" si="35"/>
        <v>7709517</v>
      </c>
      <c r="B2300" s="213" t="s">
        <v>3867</v>
      </c>
      <c r="C2300" s="213" t="s">
        <v>3868</v>
      </c>
    </row>
    <row r="2301" spans="1:3" x14ac:dyDescent="0.25">
      <c r="A2301" s="211">
        <f t="shared" si="35"/>
        <v>7709540</v>
      </c>
      <c r="B2301" s="213" t="s">
        <v>3869</v>
      </c>
      <c r="C2301" s="213" t="s">
        <v>3870</v>
      </c>
    </row>
    <row r="2302" spans="1:3" x14ac:dyDescent="0.25">
      <c r="A2302" s="211">
        <f t="shared" si="35"/>
        <v>7709547</v>
      </c>
      <c r="B2302" s="213" t="s">
        <v>3871</v>
      </c>
      <c r="C2302" s="213" t="s">
        <v>3872</v>
      </c>
    </row>
    <row r="2303" spans="1:3" x14ac:dyDescent="0.25">
      <c r="A2303" s="211">
        <f t="shared" si="35"/>
        <v>7709549</v>
      </c>
      <c r="B2303" s="213" t="s">
        <v>3873</v>
      </c>
      <c r="C2303" s="213" t="s">
        <v>3874</v>
      </c>
    </row>
    <row r="2304" spans="1:3" x14ac:dyDescent="0.25">
      <c r="A2304" s="211">
        <f t="shared" si="35"/>
        <v>7709555</v>
      </c>
      <c r="B2304" s="213" t="s">
        <v>3875</v>
      </c>
      <c r="C2304" s="213" t="s">
        <v>3876</v>
      </c>
    </row>
    <row r="2305" spans="1:3" x14ac:dyDescent="0.25">
      <c r="A2305" s="211">
        <f t="shared" si="35"/>
        <v>7709556</v>
      </c>
      <c r="B2305" s="213" t="s">
        <v>3877</v>
      </c>
      <c r="C2305" s="213" t="s">
        <v>3878</v>
      </c>
    </row>
    <row r="2306" spans="1:3" x14ac:dyDescent="0.25">
      <c r="A2306" s="211">
        <f t="shared" ref="A2306:A2369" si="36">IFERROR(B2306*1,"")</f>
        <v>7709572</v>
      </c>
      <c r="B2306" s="213" t="s">
        <v>3879</v>
      </c>
      <c r="C2306" s="213" t="s">
        <v>3880</v>
      </c>
    </row>
    <row r="2307" spans="1:3" x14ac:dyDescent="0.25">
      <c r="A2307" s="211">
        <f t="shared" si="36"/>
        <v>7709600</v>
      </c>
      <c r="B2307" s="213" t="s">
        <v>3881</v>
      </c>
      <c r="C2307" s="213" t="s">
        <v>3882</v>
      </c>
    </row>
    <row r="2308" spans="1:3" x14ac:dyDescent="0.25">
      <c r="A2308" s="211">
        <f t="shared" si="36"/>
        <v>7709601</v>
      </c>
      <c r="B2308" s="213" t="s">
        <v>3883</v>
      </c>
      <c r="C2308" s="213" t="s">
        <v>3884</v>
      </c>
    </row>
    <row r="2309" spans="1:3" x14ac:dyDescent="0.25">
      <c r="A2309" s="211">
        <f t="shared" si="36"/>
        <v>7709602</v>
      </c>
      <c r="B2309" s="213" t="s">
        <v>3885</v>
      </c>
      <c r="C2309" s="213" t="s">
        <v>3886</v>
      </c>
    </row>
    <row r="2310" spans="1:3" x14ac:dyDescent="0.25">
      <c r="A2310" s="211">
        <f t="shared" si="36"/>
        <v>7709603</v>
      </c>
      <c r="B2310" s="213" t="s">
        <v>3887</v>
      </c>
      <c r="C2310" s="213" t="s">
        <v>3888</v>
      </c>
    </row>
    <row r="2311" spans="1:3" x14ac:dyDescent="0.25">
      <c r="A2311" s="211">
        <f t="shared" si="36"/>
        <v>7709606</v>
      </c>
      <c r="B2311" s="213" t="s">
        <v>3889</v>
      </c>
      <c r="C2311" s="213" t="s">
        <v>3890</v>
      </c>
    </row>
    <row r="2312" spans="1:3" x14ac:dyDescent="0.25">
      <c r="A2312" s="211">
        <f t="shared" si="36"/>
        <v>7709608</v>
      </c>
      <c r="B2312" s="213" t="s">
        <v>3891</v>
      </c>
      <c r="C2312" s="213" t="s">
        <v>3892</v>
      </c>
    </row>
    <row r="2313" spans="1:3" x14ac:dyDescent="0.25">
      <c r="A2313" s="211">
        <f t="shared" si="36"/>
        <v>7709625</v>
      </c>
      <c r="B2313" s="213" t="s">
        <v>3893</v>
      </c>
      <c r="C2313" s="213" t="s">
        <v>3894</v>
      </c>
    </row>
    <row r="2314" spans="1:3" x14ac:dyDescent="0.25">
      <c r="A2314" s="211">
        <f t="shared" si="36"/>
        <v>7709650</v>
      </c>
      <c r="B2314" s="213" t="s">
        <v>3895</v>
      </c>
      <c r="C2314" s="213" t="s">
        <v>3896</v>
      </c>
    </row>
    <row r="2315" spans="1:3" x14ac:dyDescent="0.25">
      <c r="A2315" s="211">
        <f t="shared" si="36"/>
        <v>7709653</v>
      </c>
      <c r="B2315" s="213" t="s">
        <v>3897</v>
      </c>
      <c r="C2315" s="213" t="s">
        <v>3898</v>
      </c>
    </row>
    <row r="2316" spans="1:3" x14ac:dyDescent="0.25">
      <c r="A2316" s="211">
        <f t="shared" si="36"/>
        <v>7709654</v>
      </c>
      <c r="B2316" s="213" t="s">
        <v>3899</v>
      </c>
      <c r="C2316" s="213" t="s">
        <v>3900</v>
      </c>
    </row>
    <row r="2317" spans="1:3" x14ac:dyDescent="0.25">
      <c r="A2317" s="211">
        <f t="shared" si="36"/>
        <v>7709655</v>
      </c>
      <c r="B2317" s="213" t="s">
        <v>3901</v>
      </c>
      <c r="C2317" s="213" t="s">
        <v>3902</v>
      </c>
    </row>
    <row r="2318" spans="1:3" x14ac:dyDescent="0.25">
      <c r="A2318" s="211">
        <f t="shared" si="36"/>
        <v>7709656</v>
      </c>
      <c r="B2318" s="213" t="s">
        <v>3903</v>
      </c>
      <c r="C2318" s="213" t="s">
        <v>3904</v>
      </c>
    </row>
    <row r="2319" spans="1:3" x14ac:dyDescent="0.25">
      <c r="A2319" s="211">
        <f t="shared" si="36"/>
        <v>7709660</v>
      </c>
      <c r="B2319" s="213" t="s">
        <v>3905</v>
      </c>
      <c r="C2319" s="213" t="s">
        <v>3906</v>
      </c>
    </row>
    <row r="2320" spans="1:3" x14ac:dyDescent="0.25">
      <c r="A2320" s="211">
        <f t="shared" si="36"/>
        <v>7709661</v>
      </c>
      <c r="B2320" s="213" t="s">
        <v>3907</v>
      </c>
      <c r="C2320" s="213" t="s">
        <v>3908</v>
      </c>
    </row>
    <row r="2321" spans="1:3" x14ac:dyDescent="0.25">
      <c r="A2321" s="211">
        <f t="shared" si="36"/>
        <v>7709662</v>
      </c>
      <c r="B2321" s="213" t="s">
        <v>3909</v>
      </c>
      <c r="C2321" s="213" t="s">
        <v>3910</v>
      </c>
    </row>
    <row r="2322" spans="1:3" x14ac:dyDescent="0.25">
      <c r="A2322" s="211">
        <f t="shared" si="36"/>
        <v>7709663</v>
      </c>
      <c r="B2322" s="213" t="s">
        <v>3911</v>
      </c>
      <c r="C2322" s="213" t="s">
        <v>3912</v>
      </c>
    </row>
    <row r="2323" spans="1:3" x14ac:dyDescent="0.25">
      <c r="A2323" s="211">
        <f t="shared" si="36"/>
        <v>7709664</v>
      </c>
      <c r="B2323" s="213" t="s">
        <v>3913</v>
      </c>
      <c r="C2323" s="213" t="s">
        <v>3914</v>
      </c>
    </row>
    <row r="2324" spans="1:3" x14ac:dyDescent="0.25">
      <c r="A2324" s="211">
        <f t="shared" si="36"/>
        <v>7709665</v>
      </c>
      <c r="B2324" s="213" t="s">
        <v>3915</v>
      </c>
      <c r="C2324" s="213" t="s">
        <v>3916</v>
      </c>
    </row>
    <row r="2325" spans="1:3" x14ac:dyDescent="0.25">
      <c r="A2325" s="211">
        <f t="shared" si="36"/>
        <v>7709666</v>
      </c>
      <c r="B2325" s="213" t="s">
        <v>3917</v>
      </c>
      <c r="C2325" s="213" t="s">
        <v>3918</v>
      </c>
    </row>
    <row r="2326" spans="1:3" x14ac:dyDescent="0.25">
      <c r="A2326" s="211">
        <f t="shared" si="36"/>
        <v>7709667</v>
      </c>
      <c r="B2326" s="213" t="s">
        <v>3919</v>
      </c>
      <c r="C2326" s="213" t="s">
        <v>3920</v>
      </c>
    </row>
    <row r="2327" spans="1:3" x14ac:dyDescent="0.25">
      <c r="A2327" s="211">
        <f t="shared" si="36"/>
        <v>7709668</v>
      </c>
      <c r="B2327" s="213" t="s">
        <v>3921</v>
      </c>
      <c r="C2327" s="213" t="s">
        <v>3922</v>
      </c>
    </row>
    <row r="2328" spans="1:3" x14ac:dyDescent="0.25">
      <c r="A2328" s="211">
        <f t="shared" si="36"/>
        <v>7709669</v>
      </c>
      <c r="B2328" s="213" t="s">
        <v>3923</v>
      </c>
      <c r="C2328" s="213" t="s">
        <v>3924</v>
      </c>
    </row>
    <row r="2329" spans="1:3" x14ac:dyDescent="0.25">
      <c r="A2329" s="211">
        <f t="shared" si="36"/>
        <v>7709670</v>
      </c>
      <c r="B2329" s="213" t="s">
        <v>3925</v>
      </c>
      <c r="C2329" s="213" t="s">
        <v>3926</v>
      </c>
    </row>
    <row r="2330" spans="1:3" x14ac:dyDescent="0.25">
      <c r="A2330" s="211">
        <f t="shared" si="36"/>
        <v>7709671</v>
      </c>
      <c r="B2330" s="213" t="s">
        <v>3927</v>
      </c>
      <c r="C2330" s="213" t="s">
        <v>3928</v>
      </c>
    </row>
    <row r="2331" spans="1:3" x14ac:dyDescent="0.25">
      <c r="A2331" s="211">
        <f t="shared" si="36"/>
        <v>7709680</v>
      </c>
      <c r="B2331" s="213" t="s">
        <v>3929</v>
      </c>
      <c r="C2331" s="213" t="s">
        <v>3930</v>
      </c>
    </row>
    <row r="2332" spans="1:3" x14ac:dyDescent="0.25">
      <c r="A2332" s="211">
        <f t="shared" si="36"/>
        <v>7709700</v>
      </c>
      <c r="B2332" s="213" t="s">
        <v>3931</v>
      </c>
      <c r="C2332" s="213" t="s">
        <v>3932</v>
      </c>
    </row>
    <row r="2333" spans="1:3" x14ac:dyDescent="0.25">
      <c r="A2333" s="211">
        <f t="shared" si="36"/>
        <v>7709709</v>
      </c>
      <c r="B2333" s="213" t="s">
        <v>3933</v>
      </c>
      <c r="C2333" s="213" t="s">
        <v>3934</v>
      </c>
    </row>
    <row r="2334" spans="1:3" x14ac:dyDescent="0.25">
      <c r="A2334" s="211">
        <f t="shared" si="36"/>
        <v>7709712</v>
      </c>
      <c r="B2334" s="213" t="s">
        <v>3935</v>
      </c>
      <c r="C2334" s="213" t="s">
        <v>3936</v>
      </c>
    </row>
    <row r="2335" spans="1:3" x14ac:dyDescent="0.25">
      <c r="A2335" s="211">
        <f t="shared" si="36"/>
        <v>7709753</v>
      </c>
      <c r="B2335" s="213" t="s">
        <v>3937</v>
      </c>
      <c r="C2335" s="213" t="s">
        <v>3938</v>
      </c>
    </row>
    <row r="2336" spans="1:3" x14ac:dyDescent="0.25">
      <c r="A2336" s="211">
        <f t="shared" si="36"/>
        <v>7709754</v>
      </c>
      <c r="B2336" s="213" t="s">
        <v>3939</v>
      </c>
      <c r="C2336" s="213" t="s">
        <v>3940</v>
      </c>
    </row>
    <row r="2337" spans="1:3" x14ac:dyDescent="0.25">
      <c r="A2337" s="211">
        <f t="shared" si="36"/>
        <v>7709755</v>
      </c>
      <c r="B2337" s="213" t="s">
        <v>3941</v>
      </c>
      <c r="C2337" s="213" t="s">
        <v>3942</v>
      </c>
    </row>
    <row r="2338" spans="1:3" x14ac:dyDescent="0.25">
      <c r="A2338" s="211">
        <f t="shared" si="36"/>
        <v>7709756</v>
      </c>
      <c r="B2338" s="213" t="s">
        <v>3943</v>
      </c>
      <c r="C2338" s="213" t="s">
        <v>3944</v>
      </c>
    </row>
    <row r="2339" spans="1:3" x14ac:dyDescent="0.25">
      <c r="A2339" s="211">
        <f t="shared" si="36"/>
        <v>7709784</v>
      </c>
      <c r="B2339" s="213" t="s">
        <v>3945</v>
      </c>
      <c r="C2339" s="213" t="s">
        <v>3946</v>
      </c>
    </row>
    <row r="2340" spans="1:3" x14ac:dyDescent="0.25">
      <c r="A2340" s="211">
        <f t="shared" si="36"/>
        <v>7709785</v>
      </c>
      <c r="B2340" s="213" t="s">
        <v>3947</v>
      </c>
      <c r="C2340" s="213" t="s">
        <v>3948</v>
      </c>
    </row>
    <row r="2341" spans="1:3" x14ac:dyDescent="0.25">
      <c r="A2341" s="211">
        <f t="shared" si="36"/>
        <v>7709786</v>
      </c>
      <c r="B2341" s="213" t="s">
        <v>3949</v>
      </c>
      <c r="C2341" s="213" t="s">
        <v>3950</v>
      </c>
    </row>
    <row r="2342" spans="1:3" x14ac:dyDescent="0.25">
      <c r="A2342" s="211">
        <f t="shared" si="36"/>
        <v>7709787</v>
      </c>
      <c r="B2342" s="213" t="s">
        <v>3951</v>
      </c>
      <c r="C2342" s="213" t="s">
        <v>3952</v>
      </c>
    </row>
    <row r="2343" spans="1:3" x14ac:dyDescent="0.25">
      <c r="A2343" s="211">
        <f t="shared" si="36"/>
        <v>7709788</v>
      </c>
      <c r="B2343" s="213" t="s">
        <v>3953</v>
      </c>
      <c r="C2343" s="213" t="s">
        <v>3954</v>
      </c>
    </row>
    <row r="2344" spans="1:3" x14ac:dyDescent="0.25">
      <c r="A2344" s="211">
        <f t="shared" si="36"/>
        <v>7709789</v>
      </c>
      <c r="B2344" s="213" t="s">
        <v>3955</v>
      </c>
      <c r="C2344" s="213" t="s">
        <v>3956</v>
      </c>
    </row>
    <row r="2345" spans="1:3" x14ac:dyDescent="0.25">
      <c r="A2345" s="211">
        <f t="shared" si="36"/>
        <v>7709790</v>
      </c>
      <c r="B2345" s="213" t="s">
        <v>3957</v>
      </c>
      <c r="C2345" s="213" t="s">
        <v>3958</v>
      </c>
    </row>
    <row r="2346" spans="1:3" x14ac:dyDescent="0.25">
      <c r="A2346" s="211">
        <f t="shared" si="36"/>
        <v>7709799</v>
      </c>
      <c r="B2346" s="213" t="s">
        <v>14075</v>
      </c>
      <c r="C2346" s="213" t="s">
        <v>14076</v>
      </c>
    </row>
    <row r="2347" spans="1:3" x14ac:dyDescent="0.25">
      <c r="A2347" s="211">
        <f t="shared" si="36"/>
        <v>7709800</v>
      </c>
      <c r="B2347" s="213" t="s">
        <v>3959</v>
      </c>
      <c r="C2347" s="213" t="s">
        <v>3960</v>
      </c>
    </row>
    <row r="2348" spans="1:3" x14ac:dyDescent="0.25">
      <c r="A2348" s="211">
        <f t="shared" si="36"/>
        <v>7709801</v>
      </c>
      <c r="B2348" s="213" t="s">
        <v>3961</v>
      </c>
      <c r="C2348" s="213" t="s">
        <v>3962</v>
      </c>
    </row>
    <row r="2349" spans="1:3" x14ac:dyDescent="0.25">
      <c r="A2349" s="211">
        <f t="shared" si="36"/>
        <v>7709802</v>
      </c>
      <c r="B2349" s="213" t="s">
        <v>3963</v>
      </c>
      <c r="C2349" s="213" t="s">
        <v>3964</v>
      </c>
    </row>
    <row r="2350" spans="1:3" x14ac:dyDescent="0.25">
      <c r="A2350" s="211">
        <f t="shared" si="36"/>
        <v>7709803</v>
      </c>
      <c r="B2350" s="213" t="s">
        <v>3965</v>
      </c>
      <c r="C2350" s="213" t="s">
        <v>3966</v>
      </c>
    </row>
    <row r="2351" spans="1:3" x14ac:dyDescent="0.25">
      <c r="A2351" s="211">
        <f t="shared" si="36"/>
        <v>7709804</v>
      </c>
      <c r="B2351" s="213" t="s">
        <v>3967</v>
      </c>
      <c r="C2351" s="213" t="s">
        <v>3968</v>
      </c>
    </row>
    <row r="2352" spans="1:3" x14ac:dyDescent="0.25">
      <c r="A2352" s="211">
        <f t="shared" si="36"/>
        <v>7709805</v>
      </c>
      <c r="B2352" s="213" t="s">
        <v>3969</v>
      </c>
      <c r="C2352" s="213" t="s">
        <v>3970</v>
      </c>
    </row>
    <row r="2353" spans="1:3" x14ac:dyDescent="0.25">
      <c r="A2353" s="211">
        <f t="shared" si="36"/>
        <v>7709806</v>
      </c>
      <c r="B2353" s="213" t="s">
        <v>3971</v>
      </c>
      <c r="C2353" s="213" t="s">
        <v>3972</v>
      </c>
    </row>
    <row r="2354" spans="1:3" x14ac:dyDescent="0.25">
      <c r="A2354" s="211">
        <f t="shared" si="36"/>
        <v>7709807</v>
      </c>
      <c r="B2354" s="213" t="s">
        <v>3973</v>
      </c>
      <c r="C2354" s="213" t="s">
        <v>3974</v>
      </c>
    </row>
    <row r="2355" spans="1:3" x14ac:dyDescent="0.25">
      <c r="A2355" s="211">
        <f t="shared" si="36"/>
        <v>7709808</v>
      </c>
      <c r="B2355" s="213" t="s">
        <v>3975</v>
      </c>
      <c r="C2355" s="213" t="s">
        <v>3976</v>
      </c>
    </row>
    <row r="2356" spans="1:3" x14ac:dyDescent="0.25">
      <c r="A2356" s="211">
        <f t="shared" si="36"/>
        <v>7709809</v>
      </c>
      <c r="B2356" s="213" t="s">
        <v>3977</v>
      </c>
      <c r="C2356" s="213" t="s">
        <v>3978</v>
      </c>
    </row>
    <row r="2357" spans="1:3" x14ac:dyDescent="0.25">
      <c r="A2357" s="211">
        <f t="shared" si="36"/>
        <v>7709810</v>
      </c>
      <c r="B2357" s="213" t="s">
        <v>3979</v>
      </c>
      <c r="C2357" s="213" t="s">
        <v>3980</v>
      </c>
    </row>
    <row r="2358" spans="1:3" x14ac:dyDescent="0.25">
      <c r="A2358" s="211" t="str">
        <f t="shared" si="36"/>
        <v/>
      </c>
      <c r="B2358" s="213" t="s">
        <v>13815</v>
      </c>
      <c r="C2358" s="212"/>
    </row>
    <row r="2359" spans="1:3" x14ac:dyDescent="0.25">
      <c r="A2359" s="211">
        <f t="shared" si="36"/>
        <v>7709811</v>
      </c>
      <c r="B2359" s="213" t="s">
        <v>3981</v>
      </c>
      <c r="C2359" s="213" t="s">
        <v>3982</v>
      </c>
    </row>
    <row r="2360" spans="1:3" x14ac:dyDescent="0.25">
      <c r="A2360" s="211">
        <f t="shared" si="36"/>
        <v>7709812</v>
      </c>
      <c r="B2360" s="213" t="s">
        <v>3983</v>
      </c>
      <c r="C2360" s="213" t="s">
        <v>3984</v>
      </c>
    </row>
    <row r="2361" spans="1:3" x14ac:dyDescent="0.25">
      <c r="A2361" s="211">
        <f t="shared" si="36"/>
        <v>7709813</v>
      </c>
      <c r="B2361" s="213" t="s">
        <v>3985</v>
      </c>
      <c r="C2361" s="213" t="s">
        <v>3986</v>
      </c>
    </row>
    <row r="2362" spans="1:3" x14ac:dyDescent="0.25">
      <c r="A2362" s="211">
        <f t="shared" si="36"/>
        <v>7709814</v>
      </c>
      <c r="B2362" s="213" t="s">
        <v>3987</v>
      </c>
      <c r="C2362" s="213" t="s">
        <v>3988</v>
      </c>
    </row>
    <row r="2363" spans="1:3" x14ac:dyDescent="0.25">
      <c r="A2363" s="211">
        <f t="shared" si="36"/>
        <v>7709815</v>
      </c>
      <c r="B2363" s="213" t="s">
        <v>3989</v>
      </c>
      <c r="C2363" s="213" t="s">
        <v>3990</v>
      </c>
    </row>
    <row r="2364" spans="1:3" x14ac:dyDescent="0.25">
      <c r="A2364" s="211">
        <f t="shared" si="36"/>
        <v>7709816</v>
      </c>
      <c r="B2364" s="213" t="s">
        <v>3991</v>
      </c>
      <c r="C2364" s="213" t="s">
        <v>3992</v>
      </c>
    </row>
    <row r="2365" spans="1:3" x14ac:dyDescent="0.25">
      <c r="A2365" s="211">
        <f t="shared" si="36"/>
        <v>7709817</v>
      </c>
      <c r="B2365" s="213" t="s">
        <v>3993</v>
      </c>
      <c r="C2365" s="213" t="s">
        <v>3994</v>
      </c>
    </row>
    <row r="2366" spans="1:3" x14ac:dyDescent="0.25">
      <c r="A2366" s="211">
        <f t="shared" si="36"/>
        <v>7709818</v>
      </c>
      <c r="B2366" s="213" t="s">
        <v>3995</v>
      </c>
      <c r="C2366" s="213" t="s">
        <v>3996</v>
      </c>
    </row>
    <row r="2367" spans="1:3" x14ac:dyDescent="0.25">
      <c r="A2367" s="211">
        <f t="shared" si="36"/>
        <v>7709819</v>
      </c>
      <c r="B2367" s="213" t="s">
        <v>3997</v>
      </c>
      <c r="C2367" s="213" t="s">
        <v>3998</v>
      </c>
    </row>
    <row r="2368" spans="1:3" x14ac:dyDescent="0.25">
      <c r="A2368" s="211">
        <f t="shared" si="36"/>
        <v>7709820</v>
      </c>
      <c r="B2368" s="213" t="s">
        <v>3999</v>
      </c>
      <c r="C2368" s="213" t="s">
        <v>4000</v>
      </c>
    </row>
    <row r="2369" spans="1:3" x14ac:dyDescent="0.25">
      <c r="A2369" s="211">
        <f t="shared" si="36"/>
        <v>7709821</v>
      </c>
      <c r="B2369" s="213" t="s">
        <v>4001</v>
      </c>
      <c r="C2369" s="213" t="s">
        <v>4002</v>
      </c>
    </row>
    <row r="2370" spans="1:3" x14ac:dyDescent="0.25">
      <c r="A2370" s="211">
        <f t="shared" ref="A2370:A2433" si="37">IFERROR(B2370*1,"")</f>
        <v>7709831</v>
      </c>
      <c r="B2370" s="213" t="s">
        <v>4003</v>
      </c>
      <c r="C2370" s="213" t="s">
        <v>4004</v>
      </c>
    </row>
    <row r="2371" spans="1:3" x14ac:dyDescent="0.25">
      <c r="A2371" s="211">
        <f t="shared" si="37"/>
        <v>7709833</v>
      </c>
      <c r="B2371" s="213" t="s">
        <v>4005</v>
      </c>
      <c r="C2371" s="213" t="s">
        <v>4006</v>
      </c>
    </row>
    <row r="2372" spans="1:3" x14ac:dyDescent="0.25">
      <c r="A2372" s="211">
        <f t="shared" si="37"/>
        <v>7709834</v>
      </c>
      <c r="B2372" s="213" t="s">
        <v>4007</v>
      </c>
      <c r="C2372" s="213" t="s">
        <v>4008</v>
      </c>
    </row>
    <row r="2373" spans="1:3" x14ac:dyDescent="0.25">
      <c r="A2373" s="211">
        <f t="shared" si="37"/>
        <v>7709835</v>
      </c>
      <c r="B2373" s="213" t="s">
        <v>4009</v>
      </c>
      <c r="C2373" s="213" t="s">
        <v>4010</v>
      </c>
    </row>
    <row r="2374" spans="1:3" x14ac:dyDescent="0.25">
      <c r="A2374" s="211">
        <f t="shared" si="37"/>
        <v>7709836</v>
      </c>
      <c r="B2374" s="213" t="s">
        <v>4011</v>
      </c>
      <c r="C2374" s="213" t="s">
        <v>4012</v>
      </c>
    </row>
    <row r="2375" spans="1:3" x14ac:dyDescent="0.25">
      <c r="A2375" s="211">
        <f t="shared" si="37"/>
        <v>7709850</v>
      </c>
      <c r="B2375" s="213" t="s">
        <v>4013</v>
      </c>
      <c r="C2375" s="213" t="s">
        <v>4014</v>
      </c>
    </row>
    <row r="2376" spans="1:3" x14ac:dyDescent="0.25">
      <c r="A2376" s="211">
        <f t="shared" si="37"/>
        <v>7709851</v>
      </c>
      <c r="B2376" s="213" t="s">
        <v>4015</v>
      </c>
      <c r="C2376" s="213" t="s">
        <v>4016</v>
      </c>
    </row>
    <row r="2377" spans="1:3" x14ac:dyDescent="0.25">
      <c r="A2377" s="211">
        <f t="shared" si="37"/>
        <v>7709852</v>
      </c>
      <c r="B2377" s="213" t="s">
        <v>4017</v>
      </c>
      <c r="C2377" s="213" t="s">
        <v>4018</v>
      </c>
    </row>
    <row r="2378" spans="1:3" x14ac:dyDescent="0.25">
      <c r="A2378" s="211">
        <f t="shared" si="37"/>
        <v>7709853</v>
      </c>
      <c r="B2378" s="213" t="s">
        <v>4019</v>
      </c>
      <c r="C2378" s="213" t="s">
        <v>4020</v>
      </c>
    </row>
    <row r="2379" spans="1:3" x14ac:dyDescent="0.25">
      <c r="A2379" s="211">
        <f t="shared" si="37"/>
        <v>7709854</v>
      </c>
      <c r="B2379" s="213" t="s">
        <v>4021</v>
      </c>
      <c r="C2379" s="213" t="s">
        <v>4022</v>
      </c>
    </row>
    <row r="2380" spans="1:3" x14ac:dyDescent="0.25">
      <c r="A2380" s="211">
        <f t="shared" si="37"/>
        <v>7709855</v>
      </c>
      <c r="B2380" s="213" t="s">
        <v>4023</v>
      </c>
      <c r="C2380" s="213" t="s">
        <v>4024</v>
      </c>
    </row>
    <row r="2381" spans="1:3" x14ac:dyDescent="0.25">
      <c r="A2381" s="211">
        <f t="shared" si="37"/>
        <v>7709856</v>
      </c>
      <c r="B2381" s="213" t="s">
        <v>4025</v>
      </c>
      <c r="C2381" s="213" t="s">
        <v>4026</v>
      </c>
    </row>
    <row r="2382" spans="1:3" x14ac:dyDescent="0.25">
      <c r="A2382" s="211">
        <f t="shared" si="37"/>
        <v>7709857</v>
      </c>
      <c r="B2382" s="213" t="s">
        <v>4027</v>
      </c>
      <c r="C2382" s="213" t="s">
        <v>4028</v>
      </c>
    </row>
    <row r="2383" spans="1:3" x14ac:dyDescent="0.25">
      <c r="A2383" s="211">
        <f t="shared" si="37"/>
        <v>7709858</v>
      </c>
      <c r="B2383" s="213" t="s">
        <v>4029</v>
      </c>
      <c r="C2383" s="213" t="s">
        <v>4030</v>
      </c>
    </row>
    <row r="2384" spans="1:3" x14ac:dyDescent="0.25">
      <c r="A2384" s="211">
        <f t="shared" si="37"/>
        <v>7709859</v>
      </c>
      <c r="B2384" s="213" t="s">
        <v>4031</v>
      </c>
      <c r="C2384" s="213" t="s">
        <v>4032</v>
      </c>
    </row>
    <row r="2385" spans="1:3" x14ac:dyDescent="0.25">
      <c r="A2385" s="211">
        <f t="shared" si="37"/>
        <v>7709860</v>
      </c>
      <c r="B2385" s="213" t="s">
        <v>4033</v>
      </c>
      <c r="C2385" s="213" t="s">
        <v>4034</v>
      </c>
    </row>
    <row r="2386" spans="1:3" x14ac:dyDescent="0.25">
      <c r="A2386" s="211">
        <f t="shared" si="37"/>
        <v>7709861</v>
      </c>
      <c r="B2386" s="213" t="s">
        <v>4035</v>
      </c>
      <c r="C2386" s="213" t="s">
        <v>4036</v>
      </c>
    </row>
    <row r="2387" spans="1:3" x14ac:dyDescent="0.25">
      <c r="A2387" s="211">
        <f t="shared" si="37"/>
        <v>7709865</v>
      </c>
      <c r="B2387" s="213" t="s">
        <v>4037</v>
      </c>
      <c r="C2387" s="213" t="s">
        <v>4038</v>
      </c>
    </row>
    <row r="2388" spans="1:3" x14ac:dyDescent="0.25">
      <c r="A2388" s="211">
        <f t="shared" si="37"/>
        <v>7709866</v>
      </c>
      <c r="B2388" s="213" t="s">
        <v>4039</v>
      </c>
      <c r="C2388" s="213" t="s">
        <v>4040</v>
      </c>
    </row>
    <row r="2389" spans="1:3" x14ac:dyDescent="0.25">
      <c r="A2389" s="211">
        <f t="shared" si="37"/>
        <v>7709867</v>
      </c>
      <c r="B2389" s="213" t="s">
        <v>4041</v>
      </c>
      <c r="C2389" s="213" t="s">
        <v>4042</v>
      </c>
    </row>
    <row r="2390" spans="1:3" x14ac:dyDescent="0.25">
      <c r="A2390" s="211">
        <f t="shared" si="37"/>
        <v>7709869</v>
      </c>
      <c r="B2390" s="213" t="s">
        <v>4043</v>
      </c>
      <c r="C2390" s="213" t="s">
        <v>4044</v>
      </c>
    </row>
    <row r="2391" spans="1:3" x14ac:dyDescent="0.25">
      <c r="A2391" s="211">
        <f t="shared" si="37"/>
        <v>77098818</v>
      </c>
      <c r="B2391" s="213" t="s">
        <v>4045</v>
      </c>
      <c r="C2391" s="213" t="s">
        <v>3984</v>
      </c>
    </row>
    <row r="2392" spans="1:3" x14ac:dyDescent="0.25">
      <c r="A2392" s="211" t="str">
        <f t="shared" si="37"/>
        <v/>
      </c>
      <c r="B2392" s="213" t="s">
        <v>13816</v>
      </c>
      <c r="C2392" s="212"/>
    </row>
    <row r="2393" spans="1:3" x14ac:dyDescent="0.25">
      <c r="A2393" s="211">
        <f t="shared" si="37"/>
        <v>7709890</v>
      </c>
      <c r="B2393" s="213" t="s">
        <v>4046</v>
      </c>
      <c r="C2393" s="213" t="s">
        <v>4047</v>
      </c>
    </row>
    <row r="2394" spans="1:3" x14ac:dyDescent="0.25">
      <c r="A2394" s="211">
        <f t="shared" si="37"/>
        <v>7709891</v>
      </c>
      <c r="B2394" s="213" t="s">
        <v>13511</v>
      </c>
      <c r="C2394" s="213" t="s">
        <v>13512</v>
      </c>
    </row>
    <row r="2395" spans="1:3" x14ac:dyDescent="0.25">
      <c r="A2395" s="211">
        <f t="shared" si="37"/>
        <v>7709892</v>
      </c>
      <c r="B2395" s="213" t="s">
        <v>13513</v>
      </c>
      <c r="C2395" s="213" t="s">
        <v>13514</v>
      </c>
    </row>
    <row r="2396" spans="1:3" x14ac:dyDescent="0.25">
      <c r="A2396" s="211">
        <f t="shared" si="37"/>
        <v>7709900</v>
      </c>
      <c r="B2396" s="213" t="s">
        <v>4048</v>
      </c>
      <c r="C2396" s="213" t="s">
        <v>4049</v>
      </c>
    </row>
    <row r="2397" spans="1:3" x14ac:dyDescent="0.25">
      <c r="A2397" s="211">
        <f t="shared" si="37"/>
        <v>7709901</v>
      </c>
      <c r="B2397" s="213" t="s">
        <v>4050</v>
      </c>
      <c r="C2397" s="213" t="s">
        <v>4051</v>
      </c>
    </row>
    <row r="2398" spans="1:3" x14ac:dyDescent="0.25">
      <c r="A2398" s="211">
        <f t="shared" si="37"/>
        <v>7709902</v>
      </c>
      <c r="B2398" s="213" t="s">
        <v>4052</v>
      </c>
      <c r="C2398" s="213" t="s">
        <v>4053</v>
      </c>
    </row>
    <row r="2399" spans="1:3" x14ac:dyDescent="0.25">
      <c r="A2399" s="211">
        <f t="shared" si="37"/>
        <v>7709903</v>
      </c>
      <c r="B2399" s="213" t="s">
        <v>13515</v>
      </c>
      <c r="C2399" s="213" t="s">
        <v>13516</v>
      </c>
    </row>
    <row r="2400" spans="1:3" x14ac:dyDescent="0.25">
      <c r="A2400" s="211">
        <f t="shared" si="37"/>
        <v>7709904</v>
      </c>
      <c r="B2400" s="213" t="s">
        <v>14077</v>
      </c>
      <c r="C2400" s="213" t="s">
        <v>14078</v>
      </c>
    </row>
    <row r="2401" spans="1:3" x14ac:dyDescent="0.25">
      <c r="A2401" s="211">
        <f t="shared" si="37"/>
        <v>7709909</v>
      </c>
      <c r="B2401" s="213" t="s">
        <v>4054</v>
      </c>
      <c r="C2401" s="213" t="s">
        <v>4055</v>
      </c>
    </row>
    <row r="2402" spans="1:3" x14ac:dyDescent="0.25">
      <c r="A2402" s="211">
        <f t="shared" si="37"/>
        <v>7709943</v>
      </c>
      <c r="B2402" s="213" t="s">
        <v>4056</v>
      </c>
      <c r="C2402" s="213" t="s">
        <v>4057</v>
      </c>
    </row>
    <row r="2403" spans="1:3" x14ac:dyDescent="0.25">
      <c r="A2403" s="211">
        <f t="shared" si="37"/>
        <v>7709955</v>
      </c>
      <c r="B2403" s="213" t="s">
        <v>4058</v>
      </c>
      <c r="C2403" s="213" t="s">
        <v>4059</v>
      </c>
    </row>
    <row r="2404" spans="1:3" x14ac:dyDescent="0.25">
      <c r="A2404" s="211">
        <f t="shared" si="37"/>
        <v>7709956</v>
      </c>
      <c r="B2404" s="213" t="s">
        <v>4060</v>
      </c>
      <c r="C2404" s="213" t="s">
        <v>4061</v>
      </c>
    </row>
    <row r="2405" spans="1:3" x14ac:dyDescent="0.25">
      <c r="A2405" s="211">
        <f t="shared" si="37"/>
        <v>7709998</v>
      </c>
      <c r="B2405" s="213" t="s">
        <v>4062</v>
      </c>
      <c r="C2405" s="213" t="s">
        <v>4063</v>
      </c>
    </row>
    <row r="2406" spans="1:3" x14ac:dyDescent="0.25">
      <c r="A2406" s="211" t="str">
        <f t="shared" si="37"/>
        <v/>
      </c>
      <c r="B2406" s="213" t="s">
        <v>13817</v>
      </c>
      <c r="C2406" s="212"/>
    </row>
    <row r="2407" spans="1:3" x14ac:dyDescent="0.25">
      <c r="A2407" s="211">
        <f t="shared" si="37"/>
        <v>7709999</v>
      </c>
      <c r="B2407" s="213" t="s">
        <v>4064</v>
      </c>
      <c r="C2407" s="213" t="s">
        <v>4065</v>
      </c>
    </row>
    <row r="2408" spans="1:3" x14ac:dyDescent="0.25">
      <c r="A2408" s="211">
        <f t="shared" si="37"/>
        <v>7710001</v>
      </c>
      <c r="B2408" s="213" t="s">
        <v>4066</v>
      </c>
      <c r="C2408" s="213" t="s">
        <v>13517</v>
      </c>
    </row>
    <row r="2409" spans="1:3" x14ac:dyDescent="0.25">
      <c r="A2409" s="211">
        <f t="shared" si="37"/>
        <v>7710002</v>
      </c>
      <c r="B2409" s="213" t="s">
        <v>13518</v>
      </c>
      <c r="C2409" s="213" t="s">
        <v>13818</v>
      </c>
    </row>
    <row r="2410" spans="1:3" x14ac:dyDescent="0.25">
      <c r="A2410" s="211">
        <f t="shared" si="37"/>
        <v>7710003</v>
      </c>
      <c r="B2410" s="213" t="s">
        <v>13519</v>
      </c>
      <c r="C2410" s="213" t="s">
        <v>13520</v>
      </c>
    </row>
    <row r="2411" spans="1:3" x14ac:dyDescent="0.25">
      <c r="A2411" s="211">
        <f t="shared" si="37"/>
        <v>7710004</v>
      </c>
      <c r="B2411" s="213" t="s">
        <v>13521</v>
      </c>
      <c r="C2411" s="213" t="s">
        <v>13522</v>
      </c>
    </row>
    <row r="2412" spans="1:3" x14ac:dyDescent="0.25">
      <c r="A2412" s="211">
        <f t="shared" si="37"/>
        <v>7710005</v>
      </c>
      <c r="B2412" s="213" t="s">
        <v>13819</v>
      </c>
      <c r="C2412" s="213" t="s">
        <v>13820</v>
      </c>
    </row>
    <row r="2413" spans="1:3" x14ac:dyDescent="0.25">
      <c r="A2413" s="211">
        <f t="shared" si="37"/>
        <v>7710006</v>
      </c>
      <c r="B2413" s="213" t="s">
        <v>13821</v>
      </c>
      <c r="C2413" s="213" t="s">
        <v>13822</v>
      </c>
    </row>
    <row r="2414" spans="1:3" x14ac:dyDescent="0.25">
      <c r="A2414" s="211">
        <f t="shared" si="37"/>
        <v>7710007</v>
      </c>
      <c r="B2414" s="213" t="s">
        <v>13823</v>
      </c>
      <c r="C2414" s="213" t="s">
        <v>13824</v>
      </c>
    </row>
    <row r="2415" spans="1:3" x14ac:dyDescent="0.25">
      <c r="A2415" s="211">
        <f t="shared" si="37"/>
        <v>7710008</v>
      </c>
      <c r="B2415" s="213" t="s">
        <v>13825</v>
      </c>
      <c r="C2415" s="213" t="s">
        <v>13826</v>
      </c>
    </row>
    <row r="2416" spans="1:3" x14ac:dyDescent="0.25">
      <c r="A2416" s="211">
        <f t="shared" si="37"/>
        <v>7710009</v>
      </c>
      <c r="B2416" s="213" t="s">
        <v>13827</v>
      </c>
      <c r="C2416" s="213" t="s">
        <v>13828</v>
      </c>
    </row>
    <row r="2417" spans="1:3" x14ac:dyDescent="0.25">
      <c r="A2417" s="211">
        <f t="shared" si="37"/>
        <v>7710010</v>
      </c>
      <c r="B2417" s="213" t="s">
        <v>4067</v>
      </c>
      <c r="C2417" s="213" t="s">
        <v>4068</v>
      </c>
    </row>
    <row r="2418" spans="1:3" x14ac:dyDescent="0.25">
      <c r="A2418" s="211">
        <f t="shared" si="37"/>
        <v>7710020</v>
      </c>
      <c r="B2418" s="213" t="s">
        <v>4069</v>
      </c>
      <c r="C2418" s="213" t="s">
        <v>4070</v>
      </c>
    </row>
    <row r="2419" spans="1:3" x14ac:dyDescent="0.25">
      <c r="A2419" s="211">
        <f t="shared" si="37"/>
        <v>7710021</v>
      </c>
      <c r="B2419" s="213" t="s">
        <v>4071</v>
      </c>
      <c r="C2419" s="213" t="s">
        <v>4072</v>
      </c>
    </row>
    <row r="2420" spans="1:3" x14ac:dyDescent="0.25">
      <c r="A2420" s="211">
        <f t="shared" si="37"/>
        <v>7710022</v>
      </c>
      <c r="B2420" s="213" t="s">
        <v>4073</v>
      </c>
      <c r="C2420" s="213" t="s">
        <v>4074</v>
      </c>
    </row>
    <row r="2421" spans="1:3" x14ac:dyDescent="0.25">
      <c r="A2421" s="211">
        <f t="shared" si="37"/>
        <v>7710030</v>
      </c>
      <c r="B2421" s="213" t="s">
        <v>4075</v>
      </c>
      <c r="C2421" s="213" t="s">
        <v>13829</v>
      </c>
    </row>
    <row r="2422" spans="1:3" x14ac:dyDescent="0.25">
      <c r="A2422" s="211">
        <f t="shared" si="37"/>
        <v>7710031</v>
      </c>
      <c r="B2422" s="213" t="s">
        <v>4076</v>
      </c>
      <c r="C2422" s="213" t="s">
        <v>13830</v>
      </c>
    </row>
    <row r="2423" spans="1:3" x14ac:dyDescent="0.25">
      <c r="A2423" s="211">
        <f t="shared" si="37"/>
        <v>7710032</v>
      </c>
      <c r="B2423" s="213" t="s">
        <v>4077</v>
      </c>
      <c r="C2423" s="213" t="s">
        <v>4078</v>
      </c>
    </row>
    <row r="2424" spans="1:3" x14ac:dyDescent="0.25">
      <c r="A2424" s="211">
        <f t="shared" si="37"/>
        <v>7710033</v>
      </c>
      <c r="B2424" s="213" t="s">
        <v>13831</v>
      </c>
      <c r="C2424" s="213" t="s">
        <v>13832</v>
      </c>
    </row>
    <row r="2425" spans="1:3" x14ac:dyDescent="0.25">
      <c r="A2425" s="211">
        <f t="shared" si="37"/>
        <v>7710040</v>
      </c>
      <c r="B2425" s="213" t="s">
        <v>13523</v>
      </c>
      <c r="C2425" s="213" t="s">
        <v>13524</v>
      </c>
    </row>
    <row r="2426" spans="1:3" x14ac:dyDescent="0.25">
      <c r="A2426" s="211">
        <f t="shared" si="37"/>
        <v>7710041</v>
      </c>
      <c r="B2426" s="213" t="s">
        <v>13525</v>
      </c>
      <c r="C2426" s="213" t="s">
        <v>13526</v>
      </c>
    </row>
    <row r="2427" spans="1:3" x14ac:dyDescent="0.25">
      <c r="A2427" s="211">
        <f t="shared" si="37"/>
        <v>7710042</v>
      </c>
      <c r="B2427" s="213" t="s">
        <v>13527</v>
      </c>
      <c r="C2427" s="213" t="s">
        <v>13528</v>
      </c>
    </row>
    <row r="2428" spans="1:3" x14ac:dyDescent="0.25">
      <c r="A2428" s="211">
        <f t="shared" si="37"/>
        <v>7710043</v>
      </c>
      <c r="B2428" s="213" t="s">
        <v>13529</v>
      </c>
      <c r="C2428" s="213" t="s">
        <v>13530</v>
      </c>
    </row>
    <row r="2429" spans="1:3" x14ac:dyDescent="0.25">
      <c r="A2429" s="211">
        <f t="shared" si="37"/>
        <v>7710044</v>
      </c>
      <c r="B2429" s="213" t="s">
        <v>13531</v>
      </c>
      <c r="C2429" s="213" t="s">
        <v>13532</v>
      </c>
    </row>
    <row r="2430" spans="1:3" x14ac:dyDescent="0.25">
      <c r="A2430" s="211">
        <f t="shared" si="37"/>
        <v>7710045</v>
      </c>
      <c r="B2430" s="213" t="s">
        <v>13533</v>
      </c>
      <c r="C2430" s="213" t="s">
        <v>13534</v>
      </c>
    </row>
    <row r="2431" spans="1:3" x14ac:dyDescent="0.25">
      <c r="A2431" s="211">
        <f t="shared" si="37"/>
        <v>7710046</v>
      </c>
      <c r="B2431" s="213" t="s">
        <v>13535</v>
      </c>
      <c r="C2431" s="213" t="s">
        <v>13536</v>
      </c>
    </row>
    <row r="2432" spans="1:3" x14ac:dyDescent="0.25">
      <c r="A2432" s="211">
        <f t="shared" si="37"/>
        <v>7710047</v>
      </c>
      <c r="B2432" s="213" t="s">
        <v>13537</v>
      </c>
      <c r="C2432" s="213" t="s">
        <v>13538</v>
      </c>
    </row>
    <row r="2433" spans="1:3" x14ac:dyDescent="0.25">
      <c r="A2433" s="211">
        <f t="shared" si="37"/>
        <v>7710048</v>
      </c>
      <c r="B2433" s="213" t="s">
        <v>13539</v>
      </c>
      <c r="C2433" s="213" t="s">
        <v>13540</v>
      </c>
    </row>
    <row r="2434" spans="1:3" x14ac:dyDescent="0.25">
      <c r="A2434" s="211">
        <f t="shared" ref="A2434:A2497" si="38">IFERROR(B2434*1,"")</f>
        <v>7710049</v>
      </c>
      <c r="B2434" s="213" t="s">
        <v>13541</v>
      </c>
      <c r="C2434" s="213" t="s">
        <v>13542</v>
      </c>
    </row>
    <row r="2435" spans="1:3" x14ac:dyDescent="0.25">
      <c r="A2435" s="211">
        <f t="shared" si="38"/>
        <v>7710221</v>
      </c>
      <c r="B2435" s="213" t="s">
        <v>13543</v>
      </c>
      <c r="C2435" s="213" t="s">
        <v>13544</v>
      </c>
    </row>
    <row r="2436" spans="1:3" x14ac:dyDescent="0.25">
      <c r="A2436" s="211">
        <f t="shared" si="38"/>
        <v>7710230</v>
      </c>
      <c r="B2436" s="213" t="s">
        <v>13545</v>
      </c>
      <c r="C2436" s="213" t="s">
        <v>13546</v>
      </c>
    </row>
    <row r="2437" spans="1:3" x14ac:dyDescent="0.25">
      <c r="A2437" s="211">
        <f t="shared" si="38"/>
        <v>7710231</v>
      </c>
      <c r="B2437" s="213" t="s">
        <v>13547</v>
      </c>
      <c r="C2437" s="213" t="s">
        <v>13548</v>
      </c>
    </row>
    <row r="2438" spans="1:3" x14ac:dyDescent="0.25">
      <c r="A2438" s="211">
        <f t="shared" si="38"/>
        <v>7711003</v>
      </c>
      <c r="B2438" s="213" t="s">
        <v>4079</v>
      </c>
      <c r="C2438" s="213" t="s">
        <v>4080</v>
      </c>
    </row>
    <row r="2439" spans="1:3" x14ac:dyDescent="0.25">
      <c r="A2439" s="211">
        <f t="shared" si="38"/>
        <v>7711004</v>
      </c>
      <c r="B2439" s="213" t="s">
        <v>14079</v>
      </c>
      <c r="C2439" s="213" t="s">
        <v>14080</v>
      </c>
    </row>
    <row r="2440" spans="1:3" x14ac:dyDescent="0.25">
      <c r="A2440" s="211">
        <f t="shared" si="38"/>
        <v>7711034</v>
      </c>
      <c r="B2440" s="213" t="s">
        <v>4081</v>
      </c>
      <c r="C2440" s="213" t="s">
        <v>4082</v>
      </c>
    </row>
    <row r="2441" spans="1:3" x14ac:dyDescent="0.25">
      <c r="A2441" s="211">
        <f t="shared" si="38"/>
        <v>7711068</v>
      </c>
      <c r="B2441" s="213" t="s">
        <v>4083</v>
      </c>
      <c r="C2441" s="213" t="s">
        <v>4084</v>
      </c>
    </row>
    <row r="2442" spans="1:3" x14ac:dyDescent="0.25">
      <c r="A2442" s="211">
        <f t="shared" si="38"/>
        <v>7711069</v>
      </c>
      <c r="B2442" s="213" t="s">
        <v>4085</v>
      </c>
      <c r="C2442" s="213" t="s">
        <v>4086</v>
      </c>
    </row>
    <row r="2443" spans="1:3" x14ac:dyDescent="0.25">
      <c r="A2443" s="211">
        <f t="shared" si="38"/>
        <v>7711070</v>
      </c>
      <c r="B2443" s="213" t="s">
        <v>4087</v>
      </c>
      <c r="C2443" s="213" t="s">
        <v>4088</v>
      </c>
    </row>
    <row r="2444" spans="1:3" x14ac:dyDescent="0.25">
      <c r="A2444" s="211">
        <f t="shared" si="38"/>
        <v>7711091</v>
      </c>
      <c r="B2444" s="213" t="s">
        <v>4089</v>
      </c>
      <c r="C2444" s="213" t="s">
        <v>4090</v>
      </c>
    </row>
    <row r="2445" spans="1:3" x14ac:dyDescent="0.25">
      <c r="A2445" s="211">
        <f t="shared" si="38"/>
        <v>7711100</v>
      </c>
      <c r="B2445" s="213" t="s">
        <v>4091</v>
      </c>
      <c r="C2445" s="213" t="s">
        <v>4092</v>
      </c>
    </row>
    <row r="2446" spans="1:3" x14ac:dyDescent="0.25">
      <c r="A2446" s="211">
        <f t="shared" si="38"/>
        <v>7711136</v>
      </c>
      <c r="B2446" s="213" t="s">
        <v>4093</v>
      </c>
      <c r="C2446" s="213" t="s">
        <v>4094</v>
      </c>
    </row>
    <row r="2447" spans="1:3" x14ac:dyDescent="0.25">
      <c r="A2447" s="211">
        <f t="shared" si="38"/>
        <v>7711137</v>
      </c>
      <c r="B2447" s="213" t="s">
        <v>4095</v>
      </c>
      <c r="C2447" s="213" t="s">
        <v>4096</v>
      </c>
    </row>
    <row r="2448" spans="1:3" x14ac:dyDescent="0.25">
      <c r="A2448" s="211">
        <f t="shared" si="38"/>
        <v>7711138</v>
      </c>
      <c r="B2448" s="213" t="s">
        <v>4097</v>
      </c>
      <c r="C2448" s="213" t="s">
        <v>4098</v>
      </c>
    </row>
    <row r="2449" spans="1:3" x14ac:dyDescent="0.25">
      <c r="A2449" s="211">
        <f t="shared" si="38"/>
        <v>7711139</v>
      </c>
      <c r="B2449" s="213" t="s">
        <v>4099</v>
      </c>
      <c r="C2449" s="213" t="s">
        <v>4100</v>
      </c>
    </row>
    <row r="2450" spans="1:3" x14ac:dyDescent="0.25">
      <c r="A2450" s="211">
        <f t="shared" si="38"/>
        <v>7711141</v>
      </c>
      <c r="B2450" s="213" t="s">
        <v>4101</v>
      </c>
      <c r="C2450" s="213" t="s">
        <v>4102</v>
      </c>
    </row>
    <row r="2451" spans="1:3" x14ac:dyDescent="0.25">
      <c r="A2451" s="211">
        <f t="shared" si="38"/>
        <v>7711205</v>
      </c>
      <c r="B2451" s="213" t="s">
        <v>4103</v>
      </c>
      <c r="C2451" s="213" t="s">
        <v>4104</v>
      </c>
    </row>
    <row r="2452" spans="1:3" x14ac:dyDescent="0.25">
      <c r="A2452" s="211">
        <f t="shared" si="38"/>
        <v>7711213</v>
      </c>
      <c r="B2452" s="213" t="s">
        <v>4105</v>
      </c>
      <c r="C2452" s="213" t="s">
        <v>4106</v>
      </c>
    </row>
    <row r="2453" spans="1:3" x14ac:dyDescent="0.25">
      <c r="A2453" s="211">
        <f t="shared" si="38"/>
        <v>7711214</v>
      </c>
      <c r="B2453" s="213" t="s">
        <v>4107</v>
      </c>
      <c r="C2453" s="213" t="s">
        <v>4108</v>
      </c>
    </row>
    <row r="2454" spans="1:3" x14ac:dyDescent="0.25">
      <c r="A2454" s="211">
        <f t="shared" si="38"/>
        <v>7711222</v>
      </c>
      <c r="B2454" s="213" t="s">
        <v>4109</v>
      </c>
      <c r="C2454" s="213" t="s">
        <v>4110</v>
      </c>
    </row>
    <row r="2455" spans="1:3" x14ac:dyDescent="0.25">
      <c r="A2455" s="211">
        <f t="shared" si="38"/>
        <v>7711300</v>
      </c>
      <c r="B2455" s="213" t="s">
        <v>4111</v>
      </c>
      <c r="C2455" s="213" t="s">
        <v>4112</v>
      </c>
    </row>
    <row r="2456" spans="1:3" x14ac:dyDescent="0.25">
      <c r="A2456" s="211">
        <f t="shared" si="38"/>
        <v>7711413</v>
      </c>
      <c r="B2456" s="213" t="s">
        <v>4113</v>
      </c>
      <c r="C2456" s="213" t="s">
        <v>4114</v>
      </c>
    </row>
    <row r="2457" spans="1:3" x14ac:dyDescent="0.25">
      <c r="A2457" s="211">
        <f t="shared" si="38"/>
        <v>7711503</v>
      </c>
      <c r="B2457" s="213" t="s">
        <v>4115</v>
      </c>
      <c r="C2457" s="213" t="s">
        <v>4116</v>
      </c>
    </row>
    <row r="2458" spans="1:3" x14ac:dyDescent="0.25">
      <c r="A2458" s="211">
        <f t="shared" si="38"/>
        <v>7711676</v>
      </c>
      <c r="B2458" s="213" t="s">
        <v>4117</v>
      </c>
      <c r="C2458" s="213" t="s">
        <v>4118</v>
      </c>
    </row>
    <row r="2459" spans="1:3" x14ac:dyDescent="0.25">
      <c r="A2459" s="211">
        <f t="shared" si="38"/>
        <v>7800000</v>
      </c>
      <c r="B2459" s="213" t="s">
        <v>4119</v>
      </c>
      <c r="C2459" s="213" t="s">
        <v>4120</v>
      </c>
    </row>
    <row r="2460" spans="1:3" x14ac:dyDescent="0.25">
      <c r="A2460" s="211">
        <f t="shared" si="38"/>
        <v>8203124</v>
      </c>
      <c r="B2460" s="213" t="s">
        <v>4121</v>
      </c>
      <c r="C2460" s="213" t="s">
        <v>4122</v>
      </c>
    </row>
    <row r="2461" spans="1:3" x14ac:dyDescent="0.25">
      <c r="A2461" s="211">
        <f t="shared" si="38"/>
        <v>8203265</v>
      </c>
      <c r="B2461" s="213" t="s">
        <v>4123</v>
      </c>
      <c r="C2461" s="213" t="s">
        <v>4124</v>
      </c>
    </row>
    <row r="2462" spans="1:3" x14ac:dyDescent="0.25">
      <c r="A2462" s="211">
        <f t="shared" si="38"/>
        <v>8203267</v>
      </c>
      <c r="B2462" s="213" t="s">
        <v>4125</v>
      </c>
      <c r="C2462" s="213" t="s">
        <v>4126</v>
      </c>
    </row>
    <row r="2463" spans="1:3" x14ac:dyDescent="0.25">
      <c r="A2463" s="211">
        <f t="shared" si="38"/>
        <v>8203268</v>
      </c>
      <c r="B2463" s="213" t="s">
        <v>4127</v>
      </c>
      <c r="C2463" s="213" t="s">
        <v>4128</v>
      </c>
    </row>
    <row r="2464" spans="1:3" x14ac:dyDescent="0.25">
      <c r="A2464" s="211">
        <f t="shared" si="38"/>
        <v>8203830</v>
      </c>
      <c r="B2464" s="213" t="s">
        <v>4129</v>
      </c>
      <c r="C2464" s="213" t="s">
        <v>4130</v>
      </c>
    </row>
    <row r="2465" spans="1:3" x14ac:dyDescent="0.25">
      <c r="A2465" s="211">
        <f t="shared" si="38"/>
        <v>8203835</v>
      </c>
      <c r="B2465" s="213" t="s">
        <v>4131</v>
      </c>
      <c r="C2465" s="213" t="s">
        <v>4132</v>
      </c>
    </row>
    <row r="2466" spans="1:3" x14ac:dyDescent="0.25">
      <c r="A2466" s="211">
        <f t="shared" si="38"/>
        <v>8205006</v>
      </c>
      <c r="B2466" s="213" t="s">
        <v>14081</v>
      </c>
      <c r="C2466" s="213" t="s">
        <v>14082</v>
      </c>
    </row>
    <row r="2467" spans="1:3" x14ac:dyDescent="0.25">
      <c r="A2467" s="211">
        <f t="shared" si="38"/>
        <v>8205010</v>
      </c>
      <c r="B2467" s="213" t="s">
        <v>4133</v>
      </c>
      <c r="C2467" s="213" t="s">
        <v>4134</v>
      </c>
    </row>
    <row r="2468" spans="1:3" x14ac:dyDescent="0.25">
      <c r="A2468" s="211">
        <f t="shared" si="38"/>
        <v>8205011</v>
      </c>
      <c r="B2468" s="213" t="s">
        <v>4135</v>
      </c>
      <c r="C2468" s="213" t="s">
        <v>4136</v>
      </c>
    </row>
    <row r="2469" spans="1:3" x14ac:dyDescent="0.25">
      <c r="A2469" s="211">
        <f t="shared" si="38"/>
        <v>8205016</v>
      </c>
      <c r="B2469" s="213" t="s">
        <v>4137</v>
      </c>
      <c r="C2469" s="213" t="s">
        <v>4138</v>
      </c>
    </row>
    <row r="2470" spans="1:3" x14ac:dyDescent="0.25">
      <c r="A2470" s="211">
        <f t="shared" si="38"/>
        <v>8205018</v>
      </c>
      <c r="B2470" s="213" t="s">
        <v>4139</v>
      </c>
      <c r="C2470" s="213" t="s">
        <v>4140</v>
      </c>
    </row>
    <row r="2471" spans="1:3" x14ac:dyDescent="0.25">
      <c r="A2471" s="211">
        <f t="shared" si="38"/>
        <v>8205020</v>
      </c>
      <c r="B2471" s="213" t="s">
        <v>4141</v>
      </c>
      <c r="C2471" s="213" t="s">
        <v>4142</v>
      </c>
    </row>
    <row r="2472" spans="1:3" x14ac:dyDescent="0.25">
      <c r="A2472" s="211">
        <f t="shared" si="38"/>
        <v>8205021</v>
      </c>
      <c r="B2472" s="213" t="s">
        <v>4143</v>
      </c>
      <c r="C2472" s="213" t="s">
        <v>4144</v>
      </c>
    </row>
    <row r="2473" spans="1:3" x14ac:dyDescent="0.25">
      <c r="A2473" s="211">
        <f t="shared" si="38"/>
        <v>8205030</v>
      </c>
      <c r="B2473" s="213" t="s">
        <v>4145</v>
      </c>
      <c r="C2473" s="213" t="s">
        <v>4146</v>
      </c>
    </row>
    <row r="2474" spans="1:3" x14ac:dyDescent="0.25">
      <c r="A2474" s="211">
        <f t="shared" si="38"/>
        <v>8205037</v>
      </c>
      <c r="B2474" s="213" t="s">
        <v>14083</v>
      </c>
      <c r="C2474" s="213" t="s">
        <v>14084</v>
      </c>
    </row>
    <row r="2475" spans="1:3" x14ac:dyDescent="0.25">
      <c r="A2475" s="211">
        <f t="shared" si="38"/>
        <v>8205038</v>
      </c>
      <c r="B2475" s="213" t="s">
        <v>14085</v>
      </c>
      <c r="C2475" s="213" t="s">
        <v>14086</v>
      </c>
    </row>
    <row r="2476" spans="1:3" x14ac:dyDescent="0.25">
      <c r="A2476" s="211">
        <f t="shared" si="38"/>
        <v>8205040</v>
      </c>
      <c r="B2476" s="213" t="s">
        <v>4147</v>
      </c>
      <c r="C2476" s="213" t="s">
        <v>4148</v>
      </c>
    </row>
    <row r="2477" spans="1:3" x14ac:dyDescent="0.25">
      <c r="A2477" s="211">
        <f t="shared" si="38"/>
        <v>8205041</v>
      </c>
      <c r="B2477" s="213" t="s">
        <v>4149</v>
      </c>
      <c r="C2477" s="213" t="s">
        <v>4150</v>
      </c>
    </row>
    <row r="2478" spans="1:3" x14ac:dyDescent="0.25">
      <c r="A2478" s="211">
        <f t="shared" si="38"/>
        <v>8205042</v>
      </c>
      <c r="B2478" s="213" t="s">
        <v>4151</v>
      </c>
      <c r="C2478" s="213" t="s">
        <v>4152</v>
      </c>
    </row>
    <row r="2479" spans="1:3" x14ac:dyDescent="0.25">
      <c r="A2479" s="211" t="str">
        <f t="shared" si="38"/>
        <v/>
      </c>
      <c r="B2479" s="213" t="s">
        <v>13833</v>
      </c>
      <c r="C2479" s="212"/>
    </row>
    <row r="2480" spans="1:3" x14ac:dyDescent="0.25">
      <c r="A2480" s="211">
        <f t="shared" si="38"/>
        <v>8205044</v>
      </c>
      <c r="B2480" s="213" t="s">
        <v>4153</v>
      </c>
      <c r="C2480" s="213" t="s">
        <v>4154</v>
      </c>
    </row>
    <row r="2481" spans="1:3" x14ac:dyDescent="0.25">
      <c r="A2481" s="211">
        <f t="shared" si="38"/>
        <v>8205050</v>
      </c>
      <c r="B2481" s="213" t="s">
        <v>4155</v>
      </c>
      <c r="C2481" s="213" t="s">
        <v>4156</v>
      </c>
    </row>
    <row r="2482" spans="1:3" x14ac:dyDescent="0.25">
      <c r="A2482" s="211">
        <f t="shared" si="38"/>
        <v>8205051</v>
      </c>
      <c r="B2482" s="213" t="s">
        <v>4157</v>
      </c>
      <c r="C2482" s="213" t="s">
        <v>4158</v>
      </c>
    </row>
    <row r="2483" spans="1:3" x14ac:dyDescent="0.25">
      <c r="A2483" s="211">
        <f t="shared" si="38"/>
        <v>8205060</v>
      </c>
      <c r="B2483" s="213" t="s">
        <v>4159</v>
      </c>
      <c r="C2483" s="213" t="s">
        <v>4160</v>
      </c>
    </row>
    <row r="2484" spans="1:3" x14ac:dyDescent="0.25">
      <c r="A2484" s="211">
        <f t="shared" si="38"/>
        <v>8205061</v>
      </c>
      <c r="B2484" s="213" t="s">
        <v>4161</v>
      </c>
      <c r="C2484" s="213" t="s">
        <v>4162</v>
      </c>
    </row>
    <row r="2485" spans="1:3" x14ac:dyDescent="0.25">
      <c r="A2485" s="211">
        <f t="shared" si="38"/>
        <v>8205078</v>
      </c>
      <c r="B2485" s="213" t="s">
        <v>4163</v>
      </c>
      <c r="C2485" s="213" t="s">
        <v>13344</v>
      </c>
    </row>
    <row r="2486" spans="1:3" x14ac:dyDescent="0.25">
      <c r="A2486" s="211">
        <f t="shared" si="38"/>
        <v>8205079</v>
      </c>
      <c r="B2486" s="213" t="s">
        <v>4164</v>
      </c>
      <c r="C2486" s="213" t="s">
        <v>4165</v>
      </c>
    </row>
    <row r="2487" spans="1:3" x14ac:dyDescent="0.25">
      <c r="A2487" s="211">
        <f t="shared" si="38"/>
        <v>8205080</v>
      </c>
      <c r="B2487" s="213" t="s">
        <v>4166</v>
      </c>
      <c r="C2487" s="213" t="s">
        <v>4167</v>
      </c>
    </row>
    <row r="2488" spans="1:3" x14ac:dyDescent="0.25">
      <c r="A2488" s="211">
        <f t="shared" si="38"/>
        <v>8205090</v>
      </c>
      <c r="B2488" s="213" t="s">
        <v>7613</v>
      </c>
      <c r="C2488" s="213" t="s">
        <v>7614</v>
      </c>
    </row>
    <row r="2489" spans="1:3" x14ac:dyDescent="0.25">
      <c r="A2489" s="211">
        <f t="shared" si="38"/>
        <v>8205115</v>
      </c>
      <c r="B2489" s="213" t="s">
        <v>4168</v>
      </c>
      <c r="C2489" s="213" t="s">
        <v>4169</v>
      </c>
    </row>
    <row r="2490" spans="1:3" x14ac:dyDescent="0.25">
      <c r="A2490" s="211">
        <f t="shared" si="38"/>
        <v>8205116</v>
      </c>
      <c r="B2490" s="213" t="s">
        <v>4170</v>
      </c>
      <c r="C2490" s="213" t="s">
        <v>4171</v>
      </c>
    </row>
    <row r="2491" spans="1:3" x14ac:dyDescent="0.25">
      <c r="A2491" s="211">
        <f t="shared" si="38"/>
        <v>8205117</v>
      </c>
      <c r="B2491" s="213" t="s">
        <v>4172</v>
      </c>
      <c r="C2491" s="213" t="s">
        <v>4173</v>
      </c>
    </row>
    <row r="2492" spans="1:3" x14ac:dyDescent="0.25">
      <c r="A2492" s="211">
        <f t="shared" si="38"/>
        <v>8205118</v>
      </c>
      <c r="B2492" s="213" t="s">
        <v>4174</v>
      </c>
      <c r="C2492" s="213" t="s">
        <v>4175</v>
      </c>
    </row>
    <row r="2493" spans="1:3" x14ac:dyDescent="0.25">
      <c r="A2493" s="211">
        <f t="shared" si="38"/>
        <v>8205119</v>
      </c>
      <c r="B2493" s="213" t="s">
        <v>4176</v>
      </c>
      <c r="C2493" s="213" t="s">
        <v>14087</v>
      </c>
    </row>
    <row r="2494" spans="1:3" x14ac:dyDescent="0.25">
      <c r="A2494" s="211">
        <f t="shared" si="38"/>
        <v>8205120</v>
      </c>
      <c r="B2494" s="213" t="s">
        <v>4177</v>
      </c>
      <c r="C2494" s="213" t="s">
        <v>4178</v>
      </c>
    </row>
    <row r="2495" spans="1:3" x14ac:dyDescent="0.25">
      <c r="A2495" s="211">
        <f t="shared" si="38"/>
        <v>8205150</v>
      </c>
      <c r="B2495" s="213" t="s">
        <v>4179</v>
      </c>
      <c r="C2495" s="213" t="s">
        <v>4180</v>
      </c>
    </row>
    <row r="2496" spans="1:3" x14ac:dyDescent="0.25">
      <c r="A2496" s="211">
        <f t="shared" si="38"/>
        <v>8205450</v>
      </c>
      <c r="B2496" s="213" t="s">
        <v>4181</v>
      </c>
      <c r="C2496" s="213" t="s">
        <v>4182</v>
      </c>
    </row>
    <row r="2497" spans="1:3" x14ac:dyDescent="0.25">
      <c r="A2497" s="211">
        <f t="shared" si="38"/>
        <v>8205456</v>
      </c>
      <c r="B2497" s="213" t="s">
        <v>4183</v>
      </c>
      <c r="C2497" s="213" t="s">
        <v>4184</v>
      </c>
    </row>
    <row r="2498" spans="1:3" x14ac:dyDescent="0.25">
      <c r="A2498" s="211">
        <f t="shared" ref="A2498:A2561" si="39">IFERROR(B2498*1,"")</f>
        <v>8205600</v>
      </c>
      <c r="B2498" s="213" t="s">
        <v>14088</v>
      </c>
      <c r="C2498" s="213" t="s">
        <v>14089</v>
      </c>
    </row>
    <row r="2499" spans="1:3" x14ac:dyDescent="0.25">
      <c r="A2499" s="211">
        <f t="shared" si="39"/>
        <v>8205800</v>
      </c>
      <c r="B2499" s="213" t="s">
        <v>4185</v>
      </c>
      <c r="C2499" s="213" t="s">
        <v>4186</v>
      </c>
    </row>
    <row r="2500" spans="1:3" x14ac:dyDescent="0.25">
      <c r="A2500" s="211">
        <f t="shared" si="39"/>
        <v>8205801</v>
      </c>
      <c r="B2500" s="213" t="s">
        <v>4187</v>
      </c>
      <c r="C2500" s="213" t="s">
        <v>4188</v>
      </c>
    </row>
    <row r="2501" spans="1:3" x14ac:dyDescent="0.25">
      <c r="A2501" s="211">
        <f t="shared" si="39"/>
        <v>8205818</v>
      </c>
      <c r="B2501" s="213" t="s">
        <v>14090</v>
      </c>
      <c r="C2501" s="213" t="s">
        <v>14091</v>
      </c>
    </row>
    <row r="2502" spans="1:3" x14ac:dyDescent="0.25">
      <c r="A2502" s="211">
        <f t="shared" si="39"/>
        <v>8205881</v>
      </c>
      <c r="B2502" s="213" t="s">
        <v>4189</v>
      </c>
      <c r="C2502" s="213" t="s">
        <v>4190</v>
      </c>
    </row>
    <row r="2503" spans="1:3" x14ac:dyDescent="0.25">
      <c r="A2503" s="211">
        <f t="shared" si="39"/>
        <v>8205989</v>
      </c>
      <c r="B2503" s="213" t="s">
        <v>7615</v>
      </c>
      <c r="C2503" s="213" t="s">
        <v>7616</v>
      </c>
    </row>
    <row r="2504" spans="1:3" x14ac:dyDescent="0.25">
      <c r="A2504" s="211">
        <f t="shared" si="39"/>
        <v>8251025</v>
      </c>
      <c r="B2504" s="213" t="s">
        <v>4191</v>
      </c>
      <c r="C2504" s="213" t="s">
        <v>4192</v>
      </c>
    </row>
    <row r="2505" spans="1:3" x14ac:dyDescent="0.25">
      <c r="A2505" s="211">
        <f t="shared" si="39"/>
        <v>8300777</v>
      </c>
      <c r="B2505" s="213" t="s">
        <v>4193</v>
      </c>
      <c r="C2505" s="213" t="s">
        <v>4194</v>
      </c>
    </row>
    <row r="2506" spans="1:3" x14ac:dyDescent="0.25">
      <c r="A2506" s="211">
        <f t="shared" si="39"/>
        <v>8301000</v>
      </c>
      <c r="B2506" s="213" t="s">
        <v>4195</v>
      </c>
      <c r="C2506" s="213" t="s">
        <v>4196</v>
      </c>
    </row>
    <row r="2507" spans="1:3" x14ac:dyDescent="0.25">
      <c r="A2507" s="211">
        <f t="shared" si="39"/>
        <v>8301008</v>
      </c>
      <c r="B2507" s="213" t="s">
        <v>4197</v>
      </c>
      <c r="C2507" s="213" t="s">
        <v>4198</v>
      </c>
    </row>
    <row r="2508" spans="1:3" x14ac:dyDescent="0.25">
      <c r="A2508" s="211">
        <f t="shared" si="39"/>
        <v>8301300</v>
      </c>
      <c r="B2508" s="213" t="s">
        <v>4199</v>
      </c>
      <c r="C2508" s="213" t="s">
        <v>4200</v>
      </c>
    </row>
    <row r="2509" spans="1:3" x14ac:dyDescent="0.25">
      <c r="A2509" s="211">
        <f t="shared" si="39"/>
        <v>8301301</v>
      </c>
      <c r="B2509" s="213" t="s">
        <v>7617</v>
      </c>
      <c r="C2509" s="213" t="s">
        <v>13345</v>
      </c>
    </row>
    <row r="2510" spans="1:3" x14ac:dyDescent="0.25">
      <c r="A2510" s="211">
        <f t="shared" si="39"/>
        <v>8301310</v>
      </c>
      <c r="B2510" s="213" t="s">
        <v>4201</v>
      </c>
      <c r="C2510" s="213" t="s">
        <v>4202</v>
      </c>
    </row>
    <row r="2511" spans="1:3" x14ac:dyDescent="0.25">
      <c r="A2511" s="211">
        <f t="shared" si="39"/>
        <v>8301311</v>
      </c>
      <c r="B2511" s="213" t="s">
        <v>4203</v>
      </c>
      <c r="C2511" s="213" t="s">
        <v>4204</v>
      </c>
    </row>
    <row r="2512" spans="1:3" x14ac:dyDescent="0.25">
      <c r="A2512" s="211">
        <f t="shared" si="39"/>
        <v>8301312</v>
      </c>
      <c r="B2512" s="213" t="s">
        <v>4205</v>
      </c>
      <c r="C2512" s="213" t="s">
        <v>4206</v>
      </c>
    </row>
    <row r="2513" spans="1:3" x14ac:dyDescent="0.25">
      <c r="A2513" s="211">
        <f t="shared" si="39"/>
        <v>8301313</v>
      </c>
      <c r="B2513" s="213" t="s">
        <v>4207</v>
      </c>
      <c r="C2513" s="213" t="s">
        <v>4208</v>
      </c>
    </row>
    <row r="2514" spans="1:3" x14ac:dyDescent="0.25">
      <c r="A2514" s="211">
        <f t="shared" si="39"/>
        <v>8301350</v>
      </c>
      <c r="B2514" s="213" t="s">
        <v>4209</v>
      </c>
      <c r="C2514" s="213" t="s">
        <v>4210</v>
      </c>
    </row>
    <row r="2515" spans="1:3" x14ac:dyDescent="0.25">
      <c r="A2515" s="211">
        <f t="shared" si="39"/>
        <v>8301495</v>
      </c>
      <c r="B2515" s="213" t="s">
        <v>4211</v>
      </c>
      <c r="C2515" s="213" t="s">
        <v>4212</v>
      </c>
    </row>
    <row r="2516" spans="1:3" x14ac:dyDescent="0.25">
      <c r="A2516" s="211">
        <f t="shared" si="39"/>
        <v>8301558</v>
      </c>
      <c r="B2516" s="213" t="s">
        <v>4213</v>
      </c>
      <c r="C2516" s="213" t="s">
        <v>4214</v>
      </c>
    </row>
    <row r="2517" spans="1:3" x14ac:dyDescent="0.25">
      <c r="A2517" s="211">
        <f t="shared" si="39"/>
        <v>8301700</v>
      </c>
      <c r="B2517" s="213" t="s">
        <v>4215</v>
      </c>
      <c r="C2517" s="213" t="s">
        <v>4216</v>
      </c>
    </row>
    <row r="2518" spans="1:3" x14ac:dyDescent="0.25">
      <c r="A2518" s="211">
        <f t="shared" si="39"/>
        <v>8301805</v>
      </c>
      <c r="B2518" s="213" t="s">
        <v>4217</v>
      </c>
      <c r="C2518" s="213" t="s">
        <v>4218</v>
      </c>
    </row>
    <row r="2519" spans="1:3" x14ac:dyDescent="0.25">
      <c r="A2519" s="211">
        <f t="shared" si="39"/>
        <v>8301900</v>
      </c>
      <c r="B2519" s="213" t="s">
        <v>4219</v>
      </c>
      <c r="C2519" s="213" t="s">
        <v>4220</v>
      </c>
    </row>
    <row r="2520" spans="1:3" x14ac:dyDescent="0.25">
      <c r="A2520" s="211">
        <f t="shared" si="39"/>
        <v>8301901</v>
      </c>
      <c r="B2520" s="213" t="s">
        <v>4221</v>
      </c>
      <c r="C2520" s="213" t="s">
        <v>4222</v>
      </c>
    </row>
    <row r="2521" spans="1:3" x14ac:dyDescent="0.25">
      <c r="A2521" s="211">
        <f t="shared" si="39"/>
        <v>8302001</v>
      </c>
      <c r="B2521" s="213" t="s">
        <v>4223</v>
      </c>
      <c r="C2521" s="213" t="s">
        <v>4224</v>
      </c>
    </row>
    <row r="2522" spans="1:3" x14ac:dyDescent="0.25">
      <c r="A2522" s="211">
        <f t="shared" si="39"/>
        <v>8303000</v>
      </c>
      <c r="B2522" s="213" t="s">
        <v>4225</v>
      </c>
      <c r="C2522" s="213" t="s">
        <v>4226</v>
      </c>
    </row>
    <row r="2523" spans="1:3" x14ac:dyDescent="0.25">
      <c r="A2523" s="211">
        <f t="shared" si="39"/>
        <v>8303001</v>
      </c>
      <c r="B2523" s="213" t="s">
        <v>13549</v>
      </c>
      <c r="C2523" s="213" t="s">
        <v>13550</v>
      </c>
    </row>
    <row r="2524" spans="1:3" x14ac:dyDescent="0.25">
      <c r="A2524" s="211">
        <f t="shared" si="39"/>
        <v>8303002</v>
      </c>
      <c r="B2524" s="213" t="s">
        <v>4227</v>
      </c>
      <c r="C2524" s="213" t="s">
        <v>4228</v>
      </c>
    </row>
    <row r="2525" spans="1:3" x14ac:dyDescent="0.25">
      <c r="A2525" s="211">
        <f t="shared" si="39"/>
        <v>8303003</v>
      </c>
      <c r="B2525" s="213" t="s">
        <v>4229</v>
      </c>
      <c r="C2525" s="213" t="s">
        <v>4230</v>
      </c>
    </row>
    <row r="2526" spans="1:3" x14ac:dyDescent="0.25">
      <c r="A2526" s="211">
        <f t="shared" si="39"/>
        <v>8303004</v>
      </c>
      <c r="B2526" s="213" t="s">
        <v>4231</v>
      </c>
      <c r="C2526" s="213" t="s">
        <v>4232</v>
      </c>
    </row>
    <row r="2527" spans="1:3" x14ac:dyDescent="0.25">
      <c r="A2527" s="211">
        <f t="shared" si="39"/>
        <v>8303005</v>
      </c>
      <c r="B2527" s="213" t="s">
        <v>4233</v>
      </c>
      <c r="C2527" s="213" t="s">
        <v>4234</v>
      </c>
    </row>
    <row r="2528" spans="1:3" x14ac:dyDescent="0.25">
      <c r="A2528" s="211">
        <f t="shared" si="39"/>
        <v>8303006</v>
      </c>
      <c r="B2528" s="213" t="s">
        <v>4235</v>
      </c>
      <c r="C2528" s="213" t="s">
        <v>4236</v>
      </c>
    </row>
    <row r="2529" spans="1:3" x14ac:dyDescent="0.25">
      <c r="A2529" s="211">
        <f t="shared" si="39"/>
        <v>8303007</v>
      </c>
      <c r="B2529" s="213" t="s">
        <v>4237</v>
      </c>
      <c r="C2529" s="213" t="s">
        <v>4238</v>
      </c>
    </row>
    <row r="2530" spans="1:3" x14ac:dyDescent="0.25">
      <c r="A2530" s="211">
        <f t="shared" si="39"/>
        <v>8303008</v>
      </c>
      <c r="B2530" s="213" t="s">
        <v>4239</v>
      </c>
      <c r="C2530" s="213" t="s">
        <v>13551</v>
      </c>
    </row>
    <row r="2531" spans="1:3" x14ac:dyDescent="0.25">
      <c r="A2531" s="211">
        <f t="shared" si="39"/>
        <v>8303009</v>
      </c>
      <c r="B2531" s="213" t="s">
        <v>4240</v>
      </c>
      <c r="C2531" s="213" t="s">
        <v>4241</v>
      </c>
    </row>
    <row r="2532" spans="1:3" x14ac:dyDescent="0.25">
      <c r="A2532" s="211">
        <f t="shared" si="39"/>
        <v>8303010</v>
      </c>
      <c r="B2532" s="213" t="s">
        <v>4242</v>
      </c>
      <c r="C2532" s="213" t="s">
        <v>4234</v>
      </c>
    </row>
    <row r="2533" spans="1:3" x14ac:dyDescent="0.25">
      <c r="A2533" s="211">
        <f t="shared" si="39"/>
        <v>8303011</v>
      </c>
      <c r="B2533" s="213" t="s">
        <v>4243</v>
      </c>
      <c r="C2533" s="213" t="s">
        <v>4244</v>
      </c>
    </row>
    <row r="2534" spans="1:3" x14ac:dyDescent="0.25">
      <c r="A2534" s="211">
        <f t="shared" si="39"/>
        <v>8303012</v>
      </c>
      <c r="B2534" s="213" t="s">
        <v>4245</v>
      </c>
      <c r="C2534" s="213" t="s">
        <v>4246</v>
      </c>
    </row>
    <row r="2535" spans="1:3" x14ac:dyDescent="0.25">
      <c r="A2535" s="211">
        <f t="shared" si="39"/>
        <v>8303013</v>
      </c>
      <c r="B2535" s="213" t="s">
        <v>4247</v>
      </c>
      <c r="C2535" s="213" t="s">
        <v>4248</v>
      </c>
    </row>
    <row r="2536" spans="1:3" x14ac:dyDescent="0.25">
      <c r="A2536" s="211">
        <f t="shared" si="39"/>
        <v>8303014</v>
      </c>
      <c r="B2536" s="213" t="s">
        <v>4249</v>
      </c>
      <c r="C2536" s="213" t="s">
        <v>4250</v>
      </c>
    </row>
    <row r="2537" spans="1:3" x14ac:dyDescent="0.25">
      <c r="A2537" s="211">
        <f t="shared" si="39"/>
        <v>8303015</v>
      </c>
      <c r="B2537" s="213" t="s">
        <v>4251</v>
      </c>
      <c r="C2537" s="213" t="s">
        <v>4252</v>
      </c>
    </row>
    <row r="2538" spans="1:3" x14ac:dyDescent="0.25">
      <c r="A2538" s="211">
        <f t="shared" si="39"/>
        <v>8303016</v>
      </c>
      <c r="B2538" s="213" t="s">
        <v>4253</v>
      </c>
      <c r="C2538" s="213" t="s">
        <v>4254</v>
      </c>
    </row>
    <row r="2539" spans="1:3" x14ac:dyDescent="0.25">
      <c r="A2539" s="211">
        <f t="shared" si="39"/>
        <v>8303017</v>
      </c>
      <c r="B2539" s="213" t="s">
        <v>4255</v>
      </c>
      <c r="C2539" s="213" t="s">
        <v>4256</v>
      </c>
    </row>
    <row r="2540" spans="1:3" x14ac:dyDescent="0.25">
      <c r="A2540" s="211">
        <f t="shared" si="39"/>
        <v>8303018</v>
      </c>
      <c r="B2540" s="213" t="s">
        <v>4257</v>
      </c>
      <c r="C2540" s="213" t="s">
        <v>4258</v>
      </c>
    </row>
    <row r="2541" spans="1:3" x14ac:dyDescent="0.25">
      <c r="A2541" s="211">
        <f t="shared" si="39"/>
        <v>8303019</v>
      </c>
      <c r="B2541" s="213" t="s">
        <v>4259</v>
      </c>
      <c r="C2541" s="213" t="s">
        <v>4260</v>
      </c>
    </row>
    <row r="2542" spans="1:3" x14ac:dyDescent="0.25">
      <c r="A2542" s="211">
        <f t="shared" si="39"/>
        <v>8303020</v>
      </c>
      <c r="B2542" s="213" t="s">
        <v>13552</v>
      </c>
      <c r="C2542" s="213" t="s">
        <v>13553</v>
      </c>
    </row>
    <row r="2543" spans="1:3" x14ac:dyDescent="0.25">
      <c r="A2543" s="211">
        <f t="shared" si="39"/>
        <v>8303032</v>
      </c>
      <c r="B2543" s="213" t="s">
        <v>4261</v>
      </c>
      <c r="C2543" s="213" t="s">
        <v>4262</v>
      </c>
    </row>
    <row r="2544" spans="1:3" x14ac:dyDescent="0.25">
      <c r="A2544" s="211">
        <f t="shared" si="39"/>
        <v>8303033</v>
      </c>
      <c r="B2544" s="213" t="s">
        <v>4263</v>
      </c>
      <c r="C2544" s="213" t="s">
        <v>4264</v>
      </c>
    </row>
    <row r="2545" spans="1:3" x14ac:dyDescent="0.25">
      <c r="A2545" s="211">
        <f t="shared" si="39"/>
        <v>8303110</v>
      </c>
      <c r="B2545" s="213" t="s">
        <v>4265</v>
      </c>
      <c r="C2545" s="213" t="s">
        <v>4266</v>
      </c>
    </row>
    <row r="2546" spans="1:3" x14ac:dyDescent="0.25">
      <c r="A2546" s="211">
        <f t="shared" si="39"/>
        <v>8303111</v>
      </c>
      <c r="B2546" s="213" t="s">
        <v>4267</v>
      </c>
      <c r="C2546" s="213" t="s">
        <v>4268</v>
      </c>
    </row>
    <row r="2547" spans="1:3" x14ac:dyDescent="0.25">
      <c r="A2547" s="211">
        <f t="shared" si="39"/>
        <v>8303112</v>
      </c>
      <c r="B2547" s="213" t="s">
        <v>4269</v>
      </c>
      <c r="C2547" s="213" t="s">
        <v>4270</v>
      </c>
    </row>
    <row r="2548" spans="1:3" x14ac:dyDescent="0.25">
      <c r="A2548" s="211">
        <f t="shared" si="39"/>
        <v>8303113</v>
      </c>
      <c r="B2548" s="213" t="s">
        <v>4271</v>
      </c>
      <c r="C2548" s="213" t="s">
        <v>4272</v>
      </c>
    </row>
    <row r="2549" spans="1:3" x14ac:dyDescent="0.25">
      <c r="A2549" s="211">
        <f t="shared" si="39"/>
        <v>8303114</v>
      </c>
      <c r="B2549" s="213" t="s">
        <v>4273</v>
      </c>
      <c r="C2549" s="213" t="s">
        <v>4274</v>
      </c>
    </row>
    <row r="2550" spans="1:3" x14ac:dyDescent="0.25">
      <c r="A2550" s="211">
        <f t="shared" si="39"/>
        <v>8303115</v>
      </c>
      <c r="B2550" s="213" t="s">
        <v>4275</v>
      </c>
      <c r="C2550" s="213" t="s">
        <v>4276</v>
      </c>
    </row>
    <row r="2551" spans="1:3" x14ac:dyDescent="0.25">
      <c r="A2551" s="211">
        <f t="shared" si="39"/>
        <v>8303120</v>
      </c>
      <c r="B2551" s="213" t="s">
        <v>4277</v>
      </c>
      <c r="C2551" s="213" t="s">
        <v>4278</v>
      </c>
    </row>
    <row r="2552" spans="1:3" x14ac:dyDescent="0.25">
      <c r="A2552" s="211">
        <f t="shared" si="39"/>
        <v>8303121</v>
      </c>
      <c r="B2552" s="213" t="s">
        <v>4279</v>
      </c>
      <c r="C2552" s="213" t="s">
        <v>4280</v>
      </c>
    </row>
    <row r="2553" spans="1:3" x14ac:dyDescent="0.25">
      <c r="A2553" s="211">
        <f t="shared" si="39"/>
        <v>8303123</v>
      </c>
      <c r="B2553" s="213" t="s">
        <v>4281</v>
      </c>
      <c r="C2553" s="213" t="s">
        <v>4282</v>
      </c>
    </row>
    <row r="2554" spans="1:3" x14ac:dyDescent="0.25">
      <c r="A2554" s="211">
        <f t="shared" si="39"/>
        <v>8303124</v>
      </c>
      <c r="B2554" s="213" t="s">
        <v>4283</v>
      </c>
      <c r="C2554" s="213" t="s">
        <v>4284</v>
      </c>
    </row>
    <row r="2555" spans="1:3" x14ac:dyDescent="0.25">
      <c r="A2555" s="211">
        <f t="shared" si="39"/>
        <v>8303125</v>
      </c>
      <c r="B2555" s="213" t="s">
        <v>4285</v>
      </c>
      <c r="C2555" s="213" t="s">
        <v>4286</v>
      </c>
    </row>
    <row r="2556" spans="1:3" x14ac:dyDescent="0.25">
      <c r="A2556" s="211">
        <f t="shared" si="39"/>
        <v>8303126</v>
      </c>
      <c r="B2556" s="213" t="s">
        <v>4287</v>
      </c>
      <c r="C2556" s="213" t="s">
        <v>4288</v>
      </c>
    </row>
    <row r="2557" spans="1:3" x14ac:dyDescent="0.25">
      <c r="A2557" s="211">
        <f t="shared" si="39"/>
        <v>8303127</v>
      </c>
      <c r="B2557" s="213" t="s">
        <v>4289</v>
      </c>
      <c r="C2557" s="213" t="s">
        <v>4290</v>
      </c>
    </row>
    <row r="2558" spans="1:3" x14ac:dyDescent="0.25">
      <c r="A2558" s="211">
        <f t="shared" si="39"/>
        <v>8303128</v>
      </c>
      <c r="B2558" s="213" t="s">
        <v>4291</v>
      </c>
      <c r="C2558" s="213" t="s">
        <v>4292</v>
      </c>
    </row>
    <row r="2559" spans="1:3" x14ac:dyDescent="0.25">
      <c r="A2559" s="211">
        <f t="shared" si="39"/>
        <v>8303129</v>
      </c>
      <c r="B2559" s="213" t="s">
        <v>4293</v>
      </c>
      <c r="C2559" s="213" t="s">
        <v>4294</v>
      </c>
    </row>
    <row r="2560" spans="1:3" x14ac:dyDescent="0.25">
      <c r="A2560" s="211">
        <f t="shared" si="39"/>
        <v>8303130</v>
      </c>
      <c r="B2560" s="213" t="s">
        <v>4295</v>
      </c>
      <c r="C2560" s="213" t="s">
        <v>4296</v>
      </c>
    </row>
    <row r="2561" spans="1:3" x14ac:dyDescent="0.25">
      <c r="A2561" s="211">
        <f t="shared" si="39"/>
        <v>8303131</v>
      </c>
      <c r="B2561" s="213" t="s">
        <v>4297</v>
      </c>
      <c r="C2561" s="213" t="s">
        <v>4298</v>
      </c>
    </row>
    <row r="2562" spans="1:3" x14ac:dyDescent="0.25">
      <c r="A2562" s="211">
        <f t="shared" ref="A2562:A2625" si="40">IFERROR(B2562*1,"")</f>
        <v>8303132</v>
      </c>
      <c r="B2562" s="213" t="s">
        <v>4299</v>
      </c>
      <c r="C2562" s="213" t="s">
        <v>4300</v>
      </c>
    </row>
    <row r="2563" spans="1:3" x14ac:dyDescent="0.25">
      <c r="A2563" s="211">
        <f t="shared" si="40"/>
        <v>8303133</v>
      </c>
      <c r="B2563" s="213" t="s">
        <v>4301</v>
      </c>
      <c r="C2563" s="213" t="s">
        <v>4302</v>
      </c>
    </row>
    <row r="2564" spans="1:3" x14ac:dyDescent="0.25">
      <c r="A2564" s="211">
        <f t="shared" si="40"/>
        <v>8303136</v>
      </c>
      <c r="B2564" s="213" t="s">
        <v>13554</v>
      </c>
      <c r="C2564" s="213" t="s">
        <v>13555</v>
      </c>
    </row>
    <row r="2565" spans="1:3" x14ac:dyDescent="0.25">
      <c r="A2565" s="211">
        <f t="shared" si="40"/>
        <v>8303222</v>
      </c>
      <c r="B2565" s="213" t="s">
        <v>4303</v>
      </c>
      <c r="C2565" s="213" t="s">
        <v>4304</v>
      </c>
    </row>
    <row r="2566" spans="1:3" x14ac:dyDescent="0.25">
      <c r="A2566" s="211">
        <f t="shared" si="40"/>
        <v>8303297</v>
      </c>
      <c r="B2566" s="213" t="s">
        <v>4305</v>
      </c>
      <c r="C2566" s="213" t="s">
        <v>4306</v>
      </c>
    </row>
    <row r="2567" spans="1:3" x14ac:dyDescent="0.25">
      <c r="A2567" s="211">
        <f t="shared" si="40"/>
        <v>8303298</v>
      </c>
      <c r="B2567" s="213" t="s">
        <v>4307</v>
      </c>
      <c r="C2567" s="213" t="s">
        <v>4308</v>
      </c>
    </row>
    <row r="2568" spans="1:3" x14ac:dyDescent="0.25">
      <c r="A2568" s="211">
        <f t="shared" si="40"/>
        <v>8303299</v>
      </c>
      <c r="B2568" s="213" t="s">
        <v>4309</v>
      </c>
      <c r="C2568" s="213" t="s">
        <v>4310</v>
      </c>
    </row>
    <row r="2569" spans="1:3" x14ac:dyDescent="0.25">
      <c r="A2569" s="211">
        <f t="shared" si="40"/>
        <v>8303300</v>
      </c>
      <c r="B2569" s="213" t="s">
        <v>4311</v>
      </c>
      <c r="C2569" s="213" t="s">
        <v>4312</v>
      </c>
    </row>
    <row r="2570" spans="1:3" x14ac:dyDescent="0.25">
      <c r="A2570" s="211">
        <f t="shared" si="40"/>
        <v>8303356</v>
      </c>
      <c r="B2570" s="213" t="s">
        <v>4313</v>
      </c>
      <c r="C2570" s="213" t="s">
        <v>4314</v>
      </c>
    </row>
    <row r="2571" spans="1:3" x14ac:dyDescent="0.25">
      <c r="A2571" s="211">
        <f t="shared" si="40"/>
        <v>8303357</v>
      </c>
      <c r="B2571" s="213" t="s">
        <v>4315</v>
      </c>
      <c r="C2571" s="213" t="s">
        <v>4228</v>
      </c>
    </row>
    <row r="2572" spans="1:3" x14ac:dyDescent="0.25">
      <c r="A2572" s="211">
        <f t="shared" si="40"/>
        <v>8303358</v>
      </c>
      <c r="B2572" s="213" t="s">
        <v>4316</v>
      </c>
      <c r="C2572" s="213" t="s">
        <v>4317</v>
      </c>
    </row>
    <row r="2573" spans="1:3" x14ac:dyDescent="0.25">
      <c r="A2573" s="211">
        <f t="shared" si="40"/>
        <v>8303360</v>
      </c>
      <c r="B2573" s="213" t="s">
        <v>14092</v>
      </c>
      <c r="C2573" s="213" t="s">
        <v>14093</v>
      </c>
    </row>
    <row r="2574" spans="1:3" x14ac:dyDescent="0.25">
      <c r="A2574" s="211">
        <f t="shared" si="40"/>
        <v>8303495</v>
      </c>
      <c r="B2574" s="213" t="s">
        <v>4318</v>
      </c>
      <c r="C2574" s="213" t="s">
        <v>4319</v>
      </c>
    </row>
    <row r="2575" spans="1:3" x14ac:dyDescent="0.25">
      <c r="A2575" s="211">
        <f t="shared" si="40"/>
        <v>8303496</v>
      </c>
      <c r="B2575" s="213" t="s">
        <v>4320</v>
      </c>
      <c r="C2575" s="213" t="s">
        <v>4321</v>
      </c>
    </row>
    <row r="2576" spans="1:3" x14ac:dyDescent="0.25">
      <c r="A2576" s="211">
        <f t="shared" si="40"/>
        <v>8303523</v>
      </c>
      <c r="B2576" s="213" t="s">
        <v>4322</v>
      </c>
      <c r="C2576" s="213" t="s">
        <v>4323</v>
      </c>
    </row>
    <row r="2577" spans="1:3" x14ac:dyDescent="0.25">
      <c r="A2577" s="211">
        <f t="shared" si="40"/>
        <v>8303544</v>
      </c>
      <c r="B2577" s="213" t="s">
        <v>4324</v>
      </c>
      <c r="C2577" s="213" t="s">
        <v>4325</v>
      </c>
    </row>
    <row r="2578" spans="1:3" x14ac:dyDescent="0.25">
      <c r="A2578" s="211">
        <f t="shared" si="40"/>
        <v>8303665</v>
      </c>
      <c r="B2578" s="213" t="s">
        <v>4326</v>
      </c>
      <c r="C2578" s="213" t="s">
        <v>4327</v>
      </c>
    </row>
    <row r="2579" spans="1:3" x14ac:dyDescent="0.25">
      <c r="A2579" s="211">
        <f t="shared" si="40"/>
        <v>8303674</v>
      </c>
      <c r="B2579" s="213" t="s">
        <v>4328</v>
      </c>
      <c r="C2579" s="213" t="s">
        <v>4329</v>
      </c>
    </row>
    <row r="2580" spans="1:3" x14ac:dyDescent="0.25">
      <c r="A2580" s="211">
        <f t="shared" si="40"/>
        <v>8303677</v>
      </c>
      <c r="B2580" s="213" t="s">
        <v>4330</v>
      </c>
      <c r="C2580" s="213" t="s">
        <v>4331</v>
      </c>
    </row>
    <row r="2581" spans="1:3" x14ac:dyDescent="0.25">
      <c r="A2581" s="211">
        <f t="shared" si="40"/>
        <v>8303700</v>
      </c>
      <c r="B2581" s="213" t="s">
        <v>4332</v>
      </c>
      <c r="C2581" s="213" t="s">
        <v>4333</v>
      </c>
    </row>
    <row r="2582" spans="1:3" x14ac:dyDescent="0.25">
      <c r="A2582" s="211">
        <f t="shared" si="40"/>
        <v>8303701</v>
      </c>
      <c r="B2582" s="213" t="s">
        <v>4334</v>
      </c>
      <c r="C2582" s="213" t="s">
        <v>4335</v>
      </c>
    </row>
    <row r="2583" spans="1:3" x14ac:dyDescent="0.25">
      <c r="A2583" s="211">
        <f t="shared" si="40"/>
        <v>8303800</v>
      </c>
      <c r="B2583" s="213" t="s">
        <v>4336</v>
      </c>
      <c r="C2583" s="213" t="s">
        <v>4337</v>
      </c>
    </row>
    <row r="2584" spans="1:3" x14ac:dyDescent="0.25">
      <c r="A2584" s="211">
        <f t="shared" si="40"/>
        <v>8303900</v>
      </c>
      <c r="B2584" s="213" t="s">
        <v>4338</v>
      </c>
      <c r="C2584" s="213" t="s">
        <v>4339</v>
      </c>
    </row>
    <row r="2585" spans="1:3" x14ac:dyDescent="0.25">
      <c r="A2585" s="211">
        <f t="shared" si="40"/>
        <v>8303901</v>
      </c>
      <c r="B2585" s="213" t="s">
        <v>4340</v>
      </c>
      <c r="C2585" s="213" t="s">
        <v>4341</v>
      </c>
    </row>
    <row r="2586" spans="1:3" x14ac:dyDescent="0.25">
      <c r="A2586" s="211">
        <f t="shared" si="40"/>
        <v>8303902</v>
      </c>
      <c r="B2586" s="213" t="s">
        <v>4342</v>
      </c>
      <c r="C2586" s="213" t="s">
        <v>4343</v>
      </c>
    </row>
    <row r="2587" spans="1:3" x14ac:dyDescent="0.25">
      <c r="A2587" s="211">
        <f t="shared" si="40"/>
        <v>8303987</v>
      </c>
      <c r="B2587" s="213" t="s">
        <v>4344</v>
      </c>
      <c r="C2587" s="213" t="s">
        <v>4345</v>
      </c>
    </row>
    <row r="2588" spans="1:3" x14ac:dyDescent="0.25">
      <c r="A2588" s="211">
        <f t="shared" si="40"/>
        <v>8305000</v>
      </c>
      <c r="B2588" s="213" t="s">
        <v>4346</v>
      </c>
      <c r="C2588" s="213" t="s">
        <v>4347</v>
      </c>
    </row>
    <row r="2589" spans="1:3" x14ac:dyDescent="0.25">
      <c r="A2589" s="211">
        <f t="shared" si="40"/>
        <v>8305001</v>
      </c>
      <c r="B2589" s="213" t="s">
        <v>4348</v>
      </c>
      <c r="C2589" s="213" t="s">
        <v>4349</v>
      </c>
    </row>
    <row r="2590" spans="1:3" x14ac:dyDescent="0.25">
      <c r="A2590" s="211">
        <f t="shared" si="40"/>
        <v>8305002</v>
      </c>
      <c r="B2590" s="213" t="s">
        <v>4350</v>
      </c>
      <c r="C2590" s="213" t="s">
        <v>4351</v>
      </c>
    </row>
    <row r="2591" spans="1:3" x14ac:dyDescent="0.25">
      <c r="A2591" s="211">
        <f t="shared" si="40"/>
        <v>8305003</v>
      </c>
      <c r="B2591" s="213" t="s">
        <v>4352</v>
      </c>
      <c r="C2591" s="213" t="s">
        <v>4353</v>
      </c>
    </row>
    <row r="2592" spans="1:3" x14ac:dyDescent="0.25">
      <c r="A2592" s="211">
        <f t="shared" si="40"/>
        <v>8305004</v>
      </c>
      <c r="B2592" s="213" t="s">
        <v>4354</v>
      </c>
      <c r="C2592" s="213" t="s">
        <v>4355</v>
      </c>
    </row>
    <row r="2593" spans="1:3" x14ac:dyDescent="0.25">
      <c r="A2593" s="211">
        <f t="shared" si="40"/>
        <v>8305006</v>
      </c>
      <c r="B2593" s="213" t="s">
        <v>4356</v>
      </c>
      <c r="C2593" s="213" t="s">
        <v>4357</v>
      </c>
    </row>
    <row r="2594" spans="1:3" x14ac:dyDescent="0.25">
      <c r="A2594" s="211">
        <f t="shared" si="40"/>
        <v>8305007</v>
      </c>
      <c r="B2594" s="213" t="s">
        <v>4358</v>
      </c>
      <c r="C2594" s="213" t="s">
        <v>4359</v>
      </c>
    </row>
    <row r="2595" spans="1:3" x14ac:dyDescent="0.25">
      <c r="A2595" s="211">
        <f t="shared" si="40"/>
        <v>8305008</v>
      </c>
      <c r="B2595" s="213" t="s">
        <v>4360</v>
      </c>
      <c r="C2595" s="213" t="s">
        <v>4361</v>
      </c>
    </row>
    <row r="2596" spans="1:3" x14ac:dyDescent="0.25">
      <c r="A2596" s="211">
        <f t="shared" si="40"/>
        <v>8306100</v>
      </c>
      <c r="B2596" s="213" t="s">
        <v>4362</v>
      </c>
      <c r="C2596" s="213" t="s">
        <v>4363</v>
      </c>
    </row>
    <row r="2597" spans="1:3" x14ac:dyDescent="0.25">
      <c r="A2597" s="211">
        <f t="shared" si="40"/>
        <v>8306101</v>
      </c>
      <c r="B2597" s="213" t="s">
        <v>4364</v>
      </c>
      <c r="C2597" s="213" t="s">
        <v>4365</v>
      </c>
    </row>
    <row r="2598" spans="1:3" x14ac:dyDescent="0.25">
      <c r="A2598" s="211">
        <f t="shared" si="40"/>
        <v>8306200</v>
      </c>
      <c r="B2598" s="213" t="s">
        <v>4366</v>
      </c>
      <c r="C2598" s="213" t="s">
        <v>4367</v>
      </c>
    </row>
    <row r="2599" spans="1:3" x14ac:dyDescent="0.25">
      <c r="A2599" s="211">
        <f t="shared" si="40"/>
        <v>8307001</v>
      </c>
      <c r="B2599" s="213" t="s">
        <v>4368</v>
      </c>
      <c r="C2599" s="213" t="s">
        <v>4369</v>
      </c>
    </row>
    <row r="2600" spans="1:3" x14ac:dyDescent="0.25">
      <c r="A2600" s="211" t="str">
        <f t="shared" si="40"/>
        <v/>
      </c>
      <c r="B2600" s="213" t="s">
        <v>13834</v>
      </c>
      <c r="C2600" s="212"/>
    </row>
    <row r="2601" spans="1:3" x14ac:dyDescent="0.25">
      <c r="A2601" s="211">
        <f t="shared" si="40"/>
        <v>8307002</v>
      </c>
      <c r="B2601" s="213" t="s">
        <v>4370</v>
      </c>
      <c r="C2601" s="213" t="s">
        <v>4371</v>
      </c>
    </row>
    <row r="2602" spans="1:3" x14ac:dyDescent="0.25">
      <c r="A2602" s="211">
        <f t="shared" si="40"/>
        <v>8307017</v>
      </c>
      <c r="B2602" s="213" t="s">
        <v>4372</v>
      </c>
      <c r="C2602" s="213" t="s">
        <v>4373</v>
      </c>
    </row>
    <row r="2603" spans="1:3" x14ac:dyDescent="0.25">
      <c r="A2603" s="211">
        <f t="shared" si="40"/>
        <v>8307018</v>
      </c>
      <c r="B2603" s="213" t="s">
        <v>4374</v>
      </c>
      <c r="C2603" s="213" t="s">
        <v>4375</v>
      </c>
    </row>
    <row r="2604" spans="1:3" x14ac:dyDescent="0.25">
      <c r="A2604" s="211">
        <f t="shared" si="40"/>
        <v>8307159</v>
      </c>
      <c r="B2604" s="213" t="s">
        <v>4376</v>
      </c>
      <c r="C2604" s="213" t="s">
        <v>4377</v>
      </c>
    </row>
    <row r="2605" spans="1:3" x14ac:dyDescent="0.25">
      <c r="A2605" s="211">
        <f t="shared" si="40"/>
        <v>8307810</v>
      </c>
      <c r="B2605" s="213" t="s">
        <v>4378</v>
      </c>
      <c r="C2605" s="213" t="s">
        <v>4379</v>
      </c>
    </row>
    <row r="2606" spans="1:3" x14ac:dyDescent="0.25">
      <c r="A2606" s="211">
        <f t="shared" si="40"/>
        <v>8307811</v>
      </c>
      <c r="B2606" s="213" t="s">
        <v>4380</v>
      </c>
      <c r="C2606" s="213" t="s">
        <v>4381</v>
      </c>
    </row>
    <row r="2607" spans="1:3" x14ac:dyDescent="0.25">
      <c r="A2607" s="211">
        <f t="shared" si="40"/>
        <v>8307812</v>
      </c>
      <c r="B2607" s="213" t="s">
        <v>4382</v>
      </c>
      <c r="C2607" s="213" t="s">
        <v>4383</v>
      </c>
    </row>
    <row r="2608" spans="1:3" x14ac:dyDescent="0.25">
      <c r="A2608" s="211">
        <f t="shared" si="40"/>
        <v>8307813</v>
      </c>
      <c r="B2608" s="213" t="s">
        <v>4384</v>
      </c>
      <c r="C2608" s="213" t="s">
        <v>4385</v>
      </c>
    </row>
    <row r="2609" spans="1:3" x14ac:dyDescent="0.25">
      <c r="A2609" s="211">
        <f t="shared" si="40"/>
        <v>8351026</v>
      </c>
      <c r="B2609" s="213" t="s">
        <v>4386</v>
      </c>
      <c r="C2609" s="213" t="s">
        <v>4387</v>
      </c>
    </row>
    <row r="2610" spans="1:3" x14ac:dyDescent="0.25">
      <c r="A2610" s="211">
        <f t="shared" si="40"/>
        <v>8400000</v>
      </c>
      <c r="B2610" s="213" t="s">
        <v>4388</v>
      </c>
      <c r="C2610" s="213" t="s">
        <v>4389</v>
      </c>
    </row>
    <row r="2611" spans="1:3" x14ac:dyDescent="0.25">
      <c r="A2611" s="211">
        <f t="shared" si="40"/>
        <v>8400001</v>
      </c>
      <c r="B2611" s="213" t="s">
        <v>4390</v>
      </c>
      <c r="C2611" s="213" t="s">
        <v>4391</v>
      </c>
    </row>
    <row r="2612" spans="1:3" x14ac:dyDescent="0.25">
      <c r="A2612" s="211">
        <f t="shared" si="40"/>
        <v>8400002</v>
      </c>
      <c r="B2612" s="213" t="s">
        <v>4392</v>
      </c>
      <c r="C2612" s="213" t="s">
        <v>4393</v>
      </c>
    </row>
    <row r="2613" spans="1:3" x14ac:dyDescent="0.25">
      <c r="A2613" s="211">
        <f t="shared" si="40"/>
        <v>8400003</v>
      </c>
      <c r="B2613" s="213" t="s">
        <v>4394</v>
      </c>
      <c r="C2613" s="213" t="s">
        <v>7618</v>
      </c>
    </row>
    <row r="2614" spans="1:3" x14ac:dyDescent="0.25">
      <c r="A2614" s="211">
        <f t="shared" si="40"/>
        <v>8400004</v>
      </c>
      <c r="B2614" s="213" t="s">
        <v>7619</v>
      </c>
      <c r="C2614" s="213" t="s">
        <v>7620</v>
      </c>
    </row>
    <row r="2615" spans="1:3" x14ac:dyDescent="0.25">
      <c r="A2615" s="211">
        <f t="shared" si="40"/>
        <v>8400005</v>
      </c>
      <c r="B2615" s="213" t="s">
        <v>13346</v>
      </c>
      <c r="C2615" s="213" t="s">
        <v>13347</v>
      </c>
    </row>
    <row r="2616" spans="1:3" x14ac:dyDescent="0.25">
      <c r="A2616" s="211">
        <f t="shared" si="40"/>
        <v>8400007</v>
      </c>
      <c r="B2616" s="213" t="s">
        <v>14094</v>
      </c>
      <c r="C2616" s="213" t="s">
        <v>14095</v>
      </c>
    </row>
    <row r="2617" spans="1:3" x14ac:dyDescent="0.25">
      <c r="A2617" s="211">
        <f t="shared" si="40"/>
        <v>8400008</v>
      </c>
      <c r="B2617" s="213" t="s">
        <v>4395</v>
      </c>
      <c r="C2617" s="213" t="s">
        <v>13348</v>
      </c>
    </row>
    <row r="2618" spans="1:3" x14ac:dyDescent="0.25">
      <c r="A2618" s="211">
        <f t="shared" si="40"/>
        <v>8400009</v>
      </c>
      <c r="B2618" s="213" t="s">
        <v>4396</v>
      </c>
      <c r="C2618" s="213" t="s">
        <v>4397</v>
      </c>
    </row>
    <row r="2619" spans="1:3" x14ac:dyDescent="0.25">
      <c r="A2619" s="211">
        <f t="shared" si="40"/>
        <v>8400010</v>
      </c>
      <c r="B2619" s="213" t="s">
        <v>4398</v>
      </c>
      <c r="C2619" s="213" t="s">
        <v>4399</v>
      </c>
    </row>
    <row r="2620" spans="1:3" x14ac:dyDescent="0.25">
      <c r="A2620" s="211">
        <f t="shared" si="40"/>
        <v>8400020</v>
      </c>
      <c r="B2620" s="213" t="s">
        <v>4400</v>
      </c>
      <c r="C2620" s="213" t="s">
        <v>4401</v>
      </c>
    </row>
    <row r="2621" spans="1:3" x14ac:dyDescent="0.25">
      <c r="A2621" s="211">
        <f t="shared" si="40"/>
        <v>8400021</v>
      </c>
      <c r="B2621" s="213" t="s">
        <v>4402</v>
      </c>
      <c r="C2621" s="213" t="s">
        <v>4403</v>
      </c>
    </row>
    <row r="2622" spans="1:3" x14ac:dyDescent="0.25">
      <c r="A2622" s="211">
        <f t="shared" si="40"/>
        <v>8400024</v>
      </c>
      <c r="B2622" s="213" t="s">
        <v>4404</v>
      </c>
      <c r="C2622" s="213" t="s">
        <v>4405</v>
      </c>
    </row>
    <row r="2623" spans="1:3" x14ac:dyDescent="0.25">
      <c r="A2623" s="211">
        <f t="shared" si="40"/>
        <v>8400025</v>
      </c>
      <c r="B2623" s="213" t="s">
        <v>4406</v>
      </c>
      <c r="C2623" s="213" t="s">
        <v>4407</v>
      </c>
    </row>
    <row r="2624" spans="1:3" x14ac:dyDescent="0.25">
      <c r="A2624" s="211">
        <f t="shared" si="40"/>
        <v>8400026</v>
      </c>
      <c r="B2624" s="213" t="s">
        <v>4408</v>
      </c>
      <c r="C2624" s="213" t="s">
        <v>4409</v>
      </c>
    </row>
    <row r="2625" spans="1:3" x14ac:dyDescent="0.25">
      <c r="A2625" s="211">
        <f t="shared" si="40"/>
        <v>8400027</v>
      </c>
      <c r="B2625" s="213" t="s">
        <v>4410</v>
      </c>
      <c r="C2625" s="213" t="s">
        <v>4411</v>
      </c>
    </row>
    <row r="2626" spans="1:3" x14ac:dyDescent="0.25">
      <c r="A2626" s="211">
        <f t="shared" ref="A2626:A2689" si="41">IFERROR(B2626*1,"")</f>
        <v>8400028</v>
      </c>
      <c r="B2626" s="213" t="s">
        <v>4412</v>
      </c>
      <c r="C2626" s="213" t="s">
        <v>4413</v>
      </c>
    </row>
    <row r="2627" spans="1:3" x14ac:dyDescent="0.25">
      <c r="A2627" s="211">
        <f t="shared" si="41"/>
        <v>8400029</v>
      </c>
      <c r="B2627" s="213" t="s">
        <v>4414</v>
      </c>
      <c r="C2627" s="213" t="s">
        <v>4415</v>
      </c>
    </row>
    <row r="2628" spans="1:3" x14ac:dyDescent="0.25">
      <c r="A2628" s="211">
        <f t="shared" si="41"/>
        <v>8400030</v>
      </c>
      <c r="B2628" s="213" t="s">
        <v>4416</v>
      </c>
      <c r="C2628" s="213" t="s">
        <v>4417</v>
      </c>
    </row>
    <row r="2629" spans="1:3" x14ac:dyDescent="0.25">
      <c r="A2629" s="211">
        <f t="shared" si="41"/>
        <v>8400032</v>
      </c>
      <c r="B2629" s="213" t="s">
        <v>4418</v>
      </c>
      <c r="C2629" s="213" t="s">
        <v>4419</v>
      </c>
    </row>
    <row r="2630" spans="1:3" x14ac:dyDescent="0.25">
      <c r="A2630" s="211">
        <f t="shared" si="41"/>
        <v>8400035</v>
      </c>
      <c r="B2630" s="213" t="s">
        <v>4420</v>
      </c>
      <c r="C2630" s="213" t="s">
        <v>4421</v>
      </c>
    </row>
    <row r="2631" spans="1:3" x14ac:dyDescent="0.25">
      <c r="A2631" s="211">
        <f t="shared" si="41"/>
        <v>8400036</v>
      </c>
      <c r="B2631" s="213" t="s">
        <v>4422</v>
      </c>
      <c r="C2631" s="213" t="s">
        <v>4423</v>
      </c>
    </row>
    <row r="2632" spans="1:3" x14ac:dyDescent="0.25">
      <c r="A2632" s="211">
        <f t="shared" si="41"/>
        <v>8400051</v>
      </c>
      <c r="B2632" s="213" t="s">
        <v>13349</v>
      </c>
      <c r="C2632" s="213" t="s">
        <v>13350</v>
      </c>
    </row>
    <row r="2633" spans="1:3" x14ac:dyDescent="0.25">
      <c r="A2633" s="211">
        <f t="shared" si="41"/>
        <v>8400062</v>
      </c>
      <c r="B2633" s="213" t="s">
        <v>4424</v>
      </c>
      <c r="C2633" s="213" t="s">
        <v>4425</v>
      </c>
    </row>
    <row r="2634" spans="1:3" x14ac:dyDescent="0.25">
      <c r="A2634" s="211">
        <f t="shared" si="41"/>
        <v>8400070</v>
      </c>
      <c r="B2634" s="213" t="s">
        <v>4426</v>
      </c>
      <c r="C2634" s="213" t="s">
        <v>4427</v>
      </c>
    </row>
    <row r="2635" spans="1:3" x14ac:dyDescent="0.25">
      <c r="A2635" s="211">
        <f t="shared" si="41"/>
        <v>8400076</v>
      </c>
      <c r="B2635" s="213" t="s">
        <v>4428</v>
      </c>
      <c r="C2635" s="213" t="s">
        <v>4429</v>
      </c>
    </row>
    <row r="2636" spans="1:3" x14ac:dyDescent="0.25">
      <c r="A2636" s="211">
        <f t="shared" si="41"/>
        <v>8400080</v>
      </c>
      <c r="B2636" s="213" t="s">
        <v>4430</v>
      </c>
      <c r="C2636" s="213" t="s">
        <v>4431</v>
      </c>
    </row>
    <row r="2637" spans="1:3" x14ac:dyDescent="0.25">
      <c r="A2637" s="211">
        <f t="shared" si="41"/>
        <v>8400085</v>
      </c>
      <c r="B2637" s="213" t="s">
        <v>4432</v>
      </c>
      <c r="C2637" s="213" t="s">
        <v>4433</v>
      </c>
    </row>
    <row r="2638" spans="1:3" x14ac:dyDescent="0.25">
      <c r="A2638" s="211">
        <f t="shared" si="41"/>
        <v>8400086</v>
      </c>
      <c r="B2638" s="213" t="s">
        <v>4434</v>
      </c>
      <c r="C2638" s="213" t="s">
        <v>4435</v>
      </c>
    </row>
    <row r="2639" spans="1:3" x14ac:dyDescent="0.25">
      <c r="A2639" s="211">
        <f t="shared" si="41"/>
        <v>8400087</v>
      </c>
      <c r="B2639" s="213" t="s">
        <v>4436</v>
      </c>
      <c r="C2639" s="213" t="s">
        <v>4437</v>
      </c>
    </row>
    <row r="2640" spans="1:3" x14ac:dyDescent="0.25">
      <c r="A2640" s="211">
        <f t="shared" si="41"/>
        <v>8400088</v>
      </c>
      <c r="B2640" s="213" t="s">
        <v>4438</v>
      </c>
      <c r="C2640" s="213" t="s">
        <v>4439</v>
      </c>
    </row>
    <row r="2641" spans="1:3" x14ac:dyDescent="0.25">
      <c r="A2641" s="211">
        <f t="shared" si="41"/>
        <v>8400089</v>
      </c>
      <c r="B2641" s="213" t="s">
        <v>4440</v>
      </c>
      <c r="C2641" s="213" t="s">
        <v>4441</v>
      </c>
    </row>
    <row r="2642" spans="1:3" x14ac:dyDescent="0.25">
      <c r="A2642" s="211">
        <f t="shared" si="41"/>
        <v>8400090</v>
      </c>
      <c r="B2642" s="213" t="s">
        <v>4442</v>
      </c>
      <c r="C2642" s="213" t="s">
        <v>4443</v>
      </c>
    </row>
    <row r="2643" spans="1:3" x14ac:dyDescent="0.25">
      <c r="A2643" s="211">
        <f t="shared" si="41"/>
        <v>8400091</v>
      </c>
      <c r="B2643" s="213" t="s">
        <v>7621</v>
      </c>
      <c r="C2643" s="213" t="s">
        <v>7622</v>
      </c>
    </row>
    <row r="2644" spans="1:3" x14ac:dyDescent="0.25">
      <c r="A2644" s="211">
        <f t="shared" si="41"/>
        <v>8400105</v>
      </c>
      <c r="B2644" s="213" t="s">
        <v>4444</v>
      </c>
      <c r="C2644" s="213" t="s">
        <v>4445</v>
      </c>
    </row>
    <row r="2645" spans="1:3" x14ac:dyDescent="0.25">
      <c r="A2645" s="211">
        <f t="shared" si="41"/>
        <v>8400106</v>
      </c>
      <c r="B2645" s="213" t="s">
        <v>4446</v>
      </c>
      <c r="C2645" s="213" t="s">
        <v>4447</v>
      </c>
    </row>
    <row r="2646" spans="1:3" x14ac:dyDescent="0.25">
      <c r="A2646" s="211">
        <f t="shared" si="41"/>
        <v>8400107</v>
      </c>
      <c r="B2646" s="213" t="s">
        <v>7623</v>
      </c>
      <c r="C2646" s="213" t="s">
        <v>7624</v>
      </c>
    </row>
    <row r="2647" spans="1:3" x14ac:dyDescent="0.25">
      <c r="A2647" s="211">
        <f t="shared" si="41"/>
        <v>8400110</v>
      </c>
      <c r="B2647" s="213" t="s">
        <v>4448</v>
      </c>
      <c r="C2647" s="213" t="s">
        <v>4449</v>
      </c>
    </row>
    <row r="2648" spans="1:3" x14ac:dyDescent="0.25">
      <c r="A2648" s="211">
        <f t="shared" si="41"/>
        <v>8400111</v>
      </c>
      <c r="B2648" s="213" t="s">
        <v>4450</v>
      </c>
      <c r="C2648" s="213" t="s">
        <v>4451</v>
      </c>
    </row>
    <row r="2649" spans="1:3" x14ac:dyDescent="0.25">
      <c r="A2649" s="211">
        <f t="shared" si="41"/>
        <v>8400112</v>
      </c>
      <c r="B2649" s="213" t="s">
        <v>4452</v>
      </c>
      <c r="C2649" s="213" t="s">
        <v>4453</v>
      </c>
    </row>
    <row r="2650" spans="1:3" x14ac:dyDescent="0.25">
      <c r="A2650" s="211">
        <f t="shared" si="41"/>
        <v>8400113</v>
      </c>
      <c r="B2650" s="213" t="s">
        <v>4454</v>
      </c>
      <c r="C2650" s="213" t="s">
        <v>4455</v>
      </c>
    </row>
    <row r="2651" spans="1:3" x14ac:dyDescent="0.25">
      <c r="A2651" s="211">
        <f t="shared" si="41"/>
        <v>8400114</v>
      </c>
      <c r="B2651" s="213" t="s">
        <v>4456</v>
      </c>
      <c r="C2651" s="213" t="s">
        <v>4457</v>
      </c>
    </row>
    <row r="2652" spans="1:3" x14ac:dyDescent="0.25">
      <c r="A2652" s="211">
        <f t="shared" si="41"/>
        <v>8400116</v>
      </c>
      <c r="B2652" s="213" t="s">
        <v>4458</v>
      </c>
      <c r="C2652" s="213" t="s">
        <v>4459</v>
      </c>
    </row>
    <row r="2653" spans="1:3" x14ac:dyDescent="0.25">
      <c r="A2653" s="211">
        <f t="shared" si="41"/>
        <v>8400117</v>
      </c>
      <c r="B2653" s="213" t="s">
        <v>4460</v>
      </c>
      <c r="C2653" s="213" t="s">
        <v>4461</v>
      </c>
    </row>
    <row r="2654" spans="1:3" x14ac:dyDescent="0.25">
      <c r="A2654" s="211">
        <f t="shared" si="41"/>
        <v>8400119</v>
      </c>
      <c r="B2654" s="213" t="s">
        <v>4462</v>
      </c>
      <c r="C2654" s="213" t="s">
        <v>13556</v>
      </c>
    </row>
    <row r="2655" spans="1:3" x14ac:dyDescent="0.25">
      <c r="A2655" s="211">
        <f t="shared" si="41"/>
        <v>8400120</v>
      </c>
      <c r="B2655" s="213" t="s">
        <v>4463</v>
      </c>
      <c r="C2655" s="213" t="s">
        <v>4464</v>
      </c>
    </row>
    <row r="2656" spans="1:3" x14ac:dyDescent="0.25">
      <c r="A2656" s="211">
        <f t="shared" si="41"/>
        <v>8400121</v>
      </c>
      <c r="B2656" s="213" t="s">
        <v>4465</v>
      </c>
      <c r="C2656" s="213" t="s">
        <v>4466</v>
      </c>
    </row>
    <row r="2657" spans="1:3" x14ac:dyDescent="0.25">
      <c r="A2657" s="211">
        <f t="shared" si="41"/>
        <v>8400122</v>
      </c>
      <c r="B2657" s="213" t="s">
        <v>4467</v>
      </c>
      <c r="C2657" s="213" t="s">
        <v>4468</v>
      </c>
    </row>
    <row r="2658" spans="1:3" x14ac:dyDescent="0.25">
      <c r="A2658" s="211">
        <f t="shared" si="41"/>
        <v>8400123</v>
      </c>
      <c r="B2658" s="213" t="s">
        <v>4469</v>
      </c>
      <c r="C2658" s="213" t="s">
        <v>4470</v>
      </c>
    </row>
    <row r="2659" spans="1:3" x14ac:dyDescent="0.25">
      <c r="A2659" s="211">
        <f t="shared" si="41"/>
        <v>8400124</v>
      </c>
      <c r="B2659" s="213" t="s">
        <v>4471</v>
      </c>
      <c r="C2659" s="213" t="s">
        <v>4472</v>
      </c>
    </row>
    <row r="2660" spans="1:3" x14ac:dyDescent="0.25">
      <c r="A2660" s="211">
        <f t="shared" si="41"/>
        <v>8400125</v>
      </c>
      <c r="B2660" s="213" t="s">
        <v>4473</v>
      </c>
      <c r="C2660" s="213" t="s">
        <v>4474</v>
      </c>
    </row>
    <row r="2661" spans="1:3" x14ac:dyDescent="0.25">
      <c r="A2661" s="211">
        <f t="shared" si="41"/>
        <v>8400126</v>
      </c>
      <c r="B2661" s="213" t="s">
        <v>4475</v>
      </c>
      <c r="C2661" s="213" t="s">
        <v>4476</v>
      </c>
    </row>
    <row r="2662" spans="1:3" x14ac:dyDescent="0.25">
      <c r="A2662" s="211">
        <f t="shared" si="41"/>
        <v>8400127</v>
      </c>
      <c r="B2662" s="213" t="s">
        <v>4477</v>
      </c>
      <c r="C2662" s="213" t="s">
        <v>4478</v>
      </c>
    </row>
    <row r="2663" spans="1:3" x14ac:dyDescent="0.25">
      <c r="A2663" s="211">
        <f t="shared" si="41"/>
        <v>8400128</v>
      </c>
      <c r="B2663" s="213" t="s">
        <v>4479</v>
      </c>
      <c r="C2663" s="213" t="s">
        <v>4480</v>
      </c>
    </row>
    <row r="2664" spans="1:3" x14ac:dyDescent="0.25">
      <c r="A2664" s="211">
        <f t="shared" si="41"/>
        <v>8400129</v>
      </c>
      <c r="B2664" s="213" t="s">
        <v>4481</v>
      </c>
      <c r="C2664" s="213" t="s">
        <v>4482</v>
      </c>
    </row>
    <row r="2665" spans="1:3" x14ac:dyDescent="0.25">
      <c r="A2665" s="211">
        <f t="shared" si="41"/>
        <v>8400130</v>
      </c>
      <c r="B2665" s="213" t="s">
        <v>4483</v>
      </c>
      <c r="C2665" s="213" t="s">
        <v>4484</v>
      </c>
    </row>
    <row r="2666" spans="1:3" x14ac:dyDescent="0.25">
      <c r="A2666" s="211">
        <f t="shared" si="41"/>
        <v>8400131</v>
      </c>
      <c r="B2666" s="213" t="s">
        <v>4485</v>
      </c>
      <c r="C2666" s="213" t="s">
        <v>4486</v>
      </c>
    </row>
    <row r="2667" spans="1:3" x14ac:dyDescent="0.25">
      <c r="A2667" s="211">
        <f t="shared" si="41"/>
        <v>8400132</v>
      </c>
      <c r="B2667" s="213" t="s">
        <v>4487</v>
      </c>
      <c r="C2667" s="213" t="s">
        <v>4488</v>
      </c>
    </row>
    <row r="2668" spans="1:3" x14ac:dyDescent="0.25">
      <c r="A2668" s="211">
        <f t="shared" si="41"/>
        <v>8400142</v>
      </c>
      <c r="B2668" s="213" t="s">
        <v>4489</v>
      </c>
      <c r="C2668" s="213" t="s">
        <v>4490</v>
      </c>
    </row>
    <row r="2669" spans="1:3" x14ac:dyDescent="0.25">
      <c r="A2669" s="211">
        <f t="shared" si="41"/>
        <v>8400150</v>
      </c>
      <c r="B2669" s="213" t="s">
        <v>4491</v>
      </c>
      <c r="C2669" s="213" t="s">
        <v>4492</v>
      </c>
    </row>
    <row r="2670" spans="1:3" x14ac:dyDescent="0.25">
      <c r="A2670" s="211">
        <f t="shared" si="41"/>
        <v>8400155</v>
      </c>
      <c r="B2670" s="213" t="s">
        <v>4493</v>
      </c>
      <c r="C2670" s="213" t="s">
        <v>4494</v>
      </c>
    </row>
    <row r="2671" spans="1:3" x14ac:dyDescent="0.25">
      <c r="A2671" s="211">
        <f t="shared" si="41"/>
        <v>8400158</v>
      </c>
      <c r="B2671" s="213" t="s">
        <v>4495</v>
      </c>
      <c r="C2671" s="213" t="s">
        <v>4496</v>
      </c>
    </row>
    <row r="2672" spans="1:3" x14ac:dyDescent="0.25">
      <c r="A2672" s="211">
        <f t="shared" si="41"/>
        <v>8400164</v>
      </c>
      <c r="B2672" s="213" t="s">
        <v>4497</v>
      </c>
      <c r="C2672" s="213" t="s">
        <v>4498</v>
      </c>
    </row>
    <row r="2673" spans="1:3" x14ac:dyDescent="0.25">
      <c r="A2673" s="211">
        <f t="shared" si="41"/>
        <v>8400165</v>
      </c>
      <c r="B2673" s="213" t="s">
        <v>4499</v>
      </c>
      <c r="C2673" s="213" t="s">
        <v>4500</v>
      </c>
    </row>
    <row r="2674" spans="1:3" x14ac:dyDescent="0.25">
      <c r="A2674" s="211">
        <f t="shared" si="41"/>
        <v>8400166</v>
      </c>
      <c r="B2674" s="213" t="s">
        <v>4501</v>
      </c>
      <c r="C2674" s="213" t="s">
        <v>4502</v>
      </c>
    </row>
    <row r="2675" spans="1:3" x14ac:dyDescent="0.25">
      <c r="A2675" s="211">
        <f t="shared" si="41"/>
        <v>8400167</v>
      </c>
      <c r="B2675" s="213" t="s">
        <v>4503</v>
      </c>
      <c r="C2675" s="213" t="s">
        <v>4504</v>
      </c>
    </row>
    <row r="2676" spans="1:3" x14ac:dyDescent="0.25">
      <c r="A2676" s="211">
        <f t="shared" si="41"/>
        <v>8400168</v>
      </c>
      <c r="B2676" s="213" t="s">
        <v>4505</v>
      </c>
      <c r="C2676" s="213" t="s">
        <v>4506</v>
      </c>
    </row>
    <row r="2677" spans="1:3" x14ac:dyDescent="0.25">
      <c r="A2677" s="211">
        <f t="shared" si="41"/>
        <v>8400169</v>
      </c>
      <c r="B2677" s="213" t="s">
        <v>4507</v>
      </c>
      <c r="C2677" s="213" t="s">
        <v>4508</v>
      </c>
    </row>
    <row r="2678" spans="1:3" x14ac:dyDescent="0.25">
      <c r="A2678" s="211">
        <f t="shared" si="41"/>
        <v>8400170</v>
      </c>
      <c r="B2678" s="213" t="s">
        <v>4509</v>
      </c>
      <c r="C2678" s="213" t="s">
        <v>4510</v>
      </c>
    </row>
    <row r="2679" spans="1:3" x14ac:dyDescent="0.25">
      <c r="A2679" s="211">
        <f t="shared" si="41"/>
        <v>8400173</v>
      </c>
      <c r="B2679" s="213" t="s">
        <v>4511</v>
      </c>
      <c r="C2679" s="213" t="s">
        <v>4512</v>
      </c>
    </row>
    <row r="2680" spans="1:3" x14ac:dyDescent="0.25">
      <c r="A2680" s="211">
        <f t="shared" si="41"/>
        <v>8400174</v>
      </c>
      <c r="B2680" s="213" t="s">
        <v>4513</v>
      </c>
      <c r="C2680" s="213" t="s">
        <v>4514</v>
      </c>
    </row>
    <row r="2681" spans="1:3" x14ac:dyDescent="0.25">
      <c r="A2681" s="211">
        <f t="shared" si="41"/>
        <v>8400175</v>
      </c>
      <c r="B2681" s="213" t="s">
        <v>7625</v>
      </c>
      <c r="C2681" s="213" t="s">
        <v>7626</v>
      </c>
    </row>
    <row r="2682" spans="1:3" x14ac:dyDescent="0.25">
      <c r="A2682" s="211">
        <f t="shared" si="41"/>
        <v>8400190</v>
      </c>
      <c r="B2682" s="213" t="s">
        <v>4515</v>
      </c>
      <c r="C2682" s="213" t="s">
        <v>4516</v>
      </c>
    </row>
    <row r="2683" spans="1:3" x14ac:dyDescent="0.25">
      <c r="A2683" s="211">
        <f t="shared" si="41"/>
        <v>8400214</v>
      </c>
      <c r="B2683" s="213" t="s">
        <v>4517</v>
      </c>
      <c r="C2683" s="213" t="s">
        <v>4518</v>
      </c>
    </row>
    <row r="2684" spans="1:3" x14ac:dyDescent="0.25">
      <c r="A2684" s="211">
        <f t="shared" si="41"/>
        <v>8400222</v>
      </c>
      <c r="B2684" s="213" t="s">
        <v>4519</v>
      </c>
      <c r="C2684" s="213" t="s">
        <v>4520</v>
      </c>
    </row>
    <row r="2685" spans="1:3" x14ac:dyDescent="0.25">
      <c r="A2685" s="211">
        <f t="shared" si="41"/>
        <v>8400223</v>
      </c>
      <c r="B2685" s="213" t="s">
        <v>4521</v>
      </c>
      <c r="C2685" s="213" t="s">
        <v>4522</v>
      </c>
    </row>
    <row r="2686" spans="1:3" x14ac:dyDescent="0.25">
      <c r="A2686" s="211">
        <f t="shared" si="41"/>
        <v>8400224</v>
      </c>
      <c r="B2686" s="213" t="s">
        <v>4523</v>
      </c>
      <c r="C2686" s="213" t="s">
        <v>4524</v>
      </c>
    </row>
    <row r="2687" spans="1:3" x14ac:dyDescent="0.25">
      <c r="A2687" s="211">
        <f t="shared" si="41"/>
        <v>8400240</v>
      </c>
      <c r="B2687" s="213" t="s">
        <v>4525</v>
      </c>
      <c r="C2687" s="213" t="s">
        <v>4526</v>
      </c>
    </row>
    <row r="2688" spans="1:3" x14ac:dyDescent="0.25">
      <c r="A2688" s="211">
        <f t="shared" si="41"/>
        <v>8400252</v>
      </c>
      <c r="B2688" s="213" t="s">
        <v>4527</v>
      </c>
      <c r="C2688" s="213" t="s">
        <v>4528</v>
      </c>
    </row>
    <row r="2689" spans="1:3" x14ac:dyDescent="0.25">
      <c r="A2689" s="211">
        <f t="shared" si="41"/>
        <v>8400265</v>
      </c>
      <c r="B2689" s="213" t="s">
        <v>4529</v>
      </c>
      <c r="C2689" s="213" t="s">
        <v>4530</v>
      </c>
    </row>
    <row r="2690" spans="1:3" x14ac:dyDescent="0.25">
      <c r="A2690" s="211">
        <f t="shared" ref="A2690:A2753" si="42">IFERROR(B2690*1,"")</f>
        <v>8400266</v>
      </c>
      <c r="B2690" s="213" t="s">
        <v>7627</v>
      </c>
      <c r="C2690" s="213" t="s">
        <v>7628</v>
      </c>
    </row>
    <row r="2691" spans="1:3" x14ac:dyDescent="0.25">
      <c r="A2691" s="211">
        <f t="shared" si="42"/>
        <v>8400280</v>
      </c>
      <c r="B2691" s="213" t="s">
        <v>4531</v>
      </c>
      <c r="C2691" s="213" t="s">
        <v>4532</v>
      </c>
    </row>
    <row r="2692" spans="1:3" x14ac:dyDescent="0.25">
      <c r="A2692" s="211">
        <f t="shared" si="42"/>
        <v>8400286</v>
      </c>
      <c r="B2692" s="213" t="s">
        <v>4533</v>
      </c>
      <c r="C2692" s="213" t="s">
        <v>4534</v>
      </c>
    </row>
    <row r="2693" spans="1:3" x14ac:dyDescent="0.25">
      <c r="A2693" s="211">
        <f t="shared" si="42"/>
        <v>8400287</v>
      </c>
      <c r="B2693" s="213" t="s">
        <v>4535</v>
      </c>
      <c r="C2693" s="213" t="s">
        <v>4536</v>
      </c>
    </row>
    <row r="2694" spans="1:3" x14ac:dyDescent="0.25">
      <c r="A2694" s="211">
        <f t="shared" si="42"/>
        <v>8400292</v>
      </c>
      <c r="B2694" s="213" t="s">
        <v>4537</v>
      </c>
      <c r="C2694" s="213" t="s">
        <v>4538</v>
      </c>
    </row>
    <row r="2695" spans="1:3" x14ac:dyDescent="0.25">
      <c r="A2695" s="211">
        <f t="shared" si="42"/>
        <v>8400300</v>
      </c>
      <c r="B2695" s="213" t="s">
        <v>4539</v>
      </c>
      <c r="C2695" s="213" t="s">
        <v>4540</v>
      </c>
    </row>
    <row r="2696" spans="1:3" x14ac:dyDescent="0.25">
      <c r="A2696" s="211">
        <f t="shared" si="42"/>
        <v>8400309</v>
      </c>
      <c r="B2696" s="213" t="s">
        <v>4541</v>
      </c>
      <c r="C2696" s="213" t="s">
        <v>4542</v>
      </c>
    </row>
    <row r="2697" spans="1:3" x14ac:dyDescent="0.25">
      <c r="A2697" s="211">
        <f t="shared" si="42"/>
        <v>8400311</v>
      </c>
      <c r="B2697" s="213" t="s">
        <v>4543</v>
      </c>
      <c r="C2697" s="213" t="s">
        <v>4544</v>
      </c>
    </row>
    <row r="2698" spans="1:3" x14ac:dyDescent="0.25">
      <c r="A2698" s="211">
        <f t="shared" si="42"/>
        <v>8400312</v>
      </c>
      <c r="B2698" s="213" t="s">
        <v>4545</v>
      </c>
      <c r="C2698" s="213" t="s">
        <v>4546</v>
      </c>
    </row>
    <row r="2699" spans="1:3" x14ac:dyDescent="0.25">
      <c r="A2699" s="211">
        <f t="shared" si="42"/>
        <v>8400323</v>
      </c>
      <c r="B2699" s="213" t="s">
        <v>4547</v>
      </c>
      <c r="C2699" s="213" t="s">
        <v>4548</v>
      </c>
    </row>
    <row r="2700" spans="1:3" x14ac:dyDescent="0.25">
      <c r="A2700" s="211">
        <f t="shared" si="42"/>
        <v>8400330</v>
      </c>
      <c r="B2700" s="213" t="s">
        <v>4549</v>
      </c>
      <c r="C2700" s="213" t="s">
        <v>4550</v>
      </c>
    </row>
    <row r="2701" spans="1:3" x14ac:dyDescent="0.25">
      <c r="A2701" s="211">
        <f t="shared" si="42"/>
        <v>8400331</v>
      </c>
      <c r="B2701" s="213" t="s">
        <v>13557</v>
      </c>
      <c r="C2701" s="213" t="s">
        <v>13558</v>
      </c>
    </row>
    <row r="2702" spans="1:3" x14ac:dyDescent="0.25">
      <c r="A2702" s="211">
        <f t="shared" si="42"/>
        <v>8400333</v>
      </c>
      <c r="B2702" s="213" t="s">
        <v>4551</v>
      </c>
      <c r="C2702" s="213" t="s">
        <v>4552</v>
      </c>
    </row>
    <row r="2703" spans="1:3" x14ac:dyDescent="0.25">
      <c r="A2703" s="211">
        <f t="shared" si="42"/>
        <v>8400356</v>
      </c>
      <c r="B2703" s="213" t="s">
        <v>4553</v>
      </c>
      <c r="C2703" s="213" t="s">
        <v>4554</v>
      </c>
    </row>
    <row r="2704" spans="1:3" x14ac:dyDescent="0.25">
      <c r="A2704" s="211">
        <f t="shared" si="42"/>
        <v>8400357</v>
      </c>
      <c r="B2704" s="213" t="s">
        <v>4555</v>
      </c>
      <c r="C2704" s="213" t="s">
        <v>4556</v>
      </c>
    </row>
    <row r="2705" spans="1:3" x14ac:dyDescent="0.25">
      <c r="A2705" s="211">
        <f t="shared" si="42"/>
        <v>8400360</v>
      </c>
      <c r="B2705" s="213" t="s">
        <v>4557</v>
      </c>
      <c r="C2705" s="213" t="s">
        <v>4558</v>
      </c>
    </row>
    <row r="2706" spans="1:3" x14ac:dyDescent="0.25">
      <c r="A2706" s="211">
        <f t="shared" si="42"/>
        <v>8400367</v>
      </c>
      <c r="B2706" s="213" t="s">
        <v>4559</v>
      </c>
      <c r="C2706" s="213" t="s">
        <v>4560</v>
      </c>
    </row>
    <row r="2707" spans="1:3" x14ac:dyDescent="0.25">
      <c r="A2707" s="211">
        <f t="shared" si="42"/>
        <v>8400368</v>
      </c>
      <c r="B2707" s="213" t="s">
        <v>4561</v>
      </c>
      <c r="C2707" s="213" t="s">
        <v>4562</v>
      </c>
    </row>
    <row r="2708" spans="1:3" x14ac:dyDescent="0.25">
      <c r="A2708" s="211">
        <f t="shared" si="42"/>
        <v>8400369</v>
      </c>
      <c r="B2708" s="213" t="s">
        <v>4563</v>
      </c>
      <c r="C2708" s="213" t="s">
        <v>4564</v>
      </c>
    </row>
    <row r="2709" spans="1:3" x14ac:dyDescent="0.25">
      <c r="A2709" s="211">
        <f t="shared" si="42"/>
        <v>8400370</v>
      </c>
      <c r="B2709" s="213" t="s">
        <v>4565</v>
      </c>
      <c r="C2709" s="213" t="s">
        <v>4566</v>
      </c>
    </row>
    <row r="2710" spans="1:3" x14ac:dyDescent="0.25">
      <c r="A2710" s="211">
        <f t="shared" si="42"/>
        <v>8400390</v>
      </c>
      <c r="B2710" s="213" t="s">
        <v>4567</v>
      </c>
      <c r="C2710" s="213" t="s">
        <v>4568</v>
      </c>
    </row>
    <row r="2711" spans="1:3" x14ac:dyDescent="0.25">
      <c r="A2711" s="211">
        <f t="shared" si="42"/>
        <v>8400391</v>
      </c>
      <c r="B2711" s="213" t="s">
        <v>4569</v>
      </c>
      <c r="C2711" s="213" t="s">
        <v>4570</v>
      </c>
    </row>
    <row r="2712" spans="1:3" x14ac:dyDescent="0.25">
      <c r="A2712" s="211">
        <f t="shared" si="42"/>
        <v>8400392</v>
      </c>
      <c r="B2712" s="213" t="s">
        <v>4571</v>
      </c>
      <c r="C2712" s="213" t="s">
        <v>14096</v>
      </c>
    </row>
    <row r="2713" spans="1:3" x14ac:dyDescent="0.25">
      <c r="A2713" s="211">
        <f t="shared" si="42"/>
        <v>8400393</v>
      </c>
      <c r="B2713" s="213" t="s">
        <v>4572</v>
      </c>
      <c r="C2713" s="213" t="s">
        <v>4573</v>
      </c>
    </row>
    <row r="2714" spans="1:3" x14ac:dyDescent="0.25">
      <c r="A2714" s="211">
        <f t="shared" si="42"/>
        <v>8400452</v>
      </c>
      <c r="B2714" s="213" t="s">
        <v>4574</v>
      </c>
      <c r="C2714" s="213" t="s">
        <v>4575</v>
      </c>
    </row>
    <row r="2715" spans="1:3" x14ac:dyDescent="0.25">
      <c r="A2715" s="211">
        <f t="shared" si="42"/>
        <v>8400456</v>
      </c>
      <c r="B2715" s="213" t="s">
        <v>4576</v>
      </c>
      <c r="C2715" s="213" t="s">
        <v>4577</v>
      </c>
    </row>
    <row r="2716" spans="1:3" x14ac:dyDescent="0.25">
      <c r="A2716" s="211">
        <f t="shared" si="42"/>
        <v>8400564</v>
      </c>
      <c r="B2716" s="213" t="s">
        <v>4578</v>
      </c>
      <c r="C2716" s="213" t="s">
        <v>4579</v>
      </c>
    </row>
    <row r="2717" spans="1:3" x14ac:dyDescent="0.25">
      <c r="A2717" s="211">
        <f t="shared" si="42"/>
        <v>8400650</v>
      </c>
      <c r="B2717" s="213" t="s">
        <v>4580</v>
      </c>
      <c r="C2717" s="213" t="s">
        <v>4581</v>
      </c>
    </row>
    <row r="2718" spans="1:3" x14ac:dyDescent="0.25">
      <c r="A2718" s="211">
        <f t="shared" si="42"/>
        <v>8400651</v>
      </c>
      <c r="B2718" s="213" t="s">
        <v>4582</v>
      </c>
      <c r="C2718" s="213" t="s">
        <v>4583</v>
      </c>
    </row>
    <row r="2719" spans="1:3" x14ac:dyDescent="0.25">
      <c r="A2719" s="211">
        <f t="shared" si="42"/>
        <v>8400654</v>
      </c>
      <c r="B2719" s="213" t="s">
        <v>4584</v>
      </c>
      <c r="C2719" s="213" t="s">
        <v>4585</v>
      </c>
    </row>
    <row r="2720" spans="1:3" x14ac:dyDescent="0.25">
      <c r="A2720" s="211">
        <f t="shared" si="42"/>
        <v>8400661</v>
      </c>
      <c r="B2720" s="213" t="s">
        <v>4586</v>
      </c>
      <c r="C2720" s="213" t="s">
        <v>4587</v>
      </c>
    </row>
    <row r="2721" spans="1:3" x14ac:dyDescent="0.25">
      <c r="A2721" s="211">
        <f t="shared" si="42"/>
        <v>8400662</v>
      </c>
      <c r="B2721" s="213" t="s">
        <v>4588</v>
      </c>
      <c r="C2721" s="213" t="s">
        <v>4589</v>
      </c>
    </row>
    <row r="2722" spans="1:3" x14ac:dyDescent="0.25">
      <c r="A2722" s="211">
        <f t="shared" si="42"/>
        <v>8400663</v>
      </c>
      <c r="B2722" s="213" t="s">
        <v>4590</v>
      </c>
      <c r="C2722" s="213" t="s">
        <v>4591</v>
      </c>
    </row>
    <row r="2723" spans="1:3" x14ac:dyDescent="0.25">
      <c r="A2723" s="211">
        <f t="shared" si="42"/>
        <v>8400664</v>
      </c>
      <c r="B2723" s="213" t="s">
        <v>4592</v>
      </c>
      <c r="C2723" s="213" t="s">
        <v>4593</v>
      </c>
    </row>
    <row r="2724" spans="1:3" x14ac:dyDescent="0.25">
      <c r="A2724" s="211">
        <f t="shared" si="42"/>
        <v>8400689</v>
      </c>
      <c r="B2724" s="213" t="s">
        <v>4594</v>
      </c>
      <c r="C2724" s="213" t="s">
        <v>4595</v>
      </c>
    </row>
    <row r="2725" spans="1:3" x14ac:dyDescent="0.25">
      <c r="A2725" s="211">
        <f t="shared" si="42"/>
        <v>8400691</v>
      </c>
      <c r="B2725" s="213" t="s">
        <v>4596</v>
      </c>
      <c r="C2725" s="213" t="s">
        <v>4597</v>
      </c>
    </row>
    <row r="2726" spans="1:3" x14ac:dyDescent="0.25">
      <c r="A2726" s="211">
        <f t="shared" si="42"/>
        <v>8400753</v>
      </c>
      <c r="B2726" s="213" t="s">
        <v>4598</v>
      </c>
      <c r="C2726" s="213" t="s">
        <v>4599</v>
      </c>
    </row>
    <row r="2727" spans="1:3" x14ac:dyDescent="0.25">
      <c r="A2727" s="211">
        <f t="shared" si="42"/>
        <v>8400852</v>
      </c>
      <c r="B2727" s="213" t="s">
        <v>4600</v>
      </c>
      <c r="C2727" s="213" t="s">
        <v>4601</v>
      </c>
    </row>
    <row r="2728" spans="1:3" x14ac:dyDescent="0.25">
      <c r="A2728" s="211">
        <f t="shared" si="42"/>
        <v>8400907</v>
      </c>
      <c r="B2728" s="213" t="s">
        <v>4602</v>
      </c>
      <c r="C2728" s="213" t="s">
        <v>4603</v>
      </c>
    </row>
    <row r="2729" spans="1:3" x14ac:dyDescent="0.25">
      <c r="A2729" s="211">
        <f t="shared" si="42"/>
        <v>8400908</v>
      </c>
      <c r="B2729" s="213" t="s">
        <v>4604</v>
      </c>
      <c r="C2729" s="213" t="s">
        <v>4605</v>
      </c>
    </row>
    <row r="2730" spans="1:3" x14ac:dyDescent="0.25">
      <c r="A2730" s="211">
        <f t="shared" si="42"/>
        <v>8400951</v>
      </c>
      <c r="B2730" s="213" t="s">
        <v>4606</v>
      </c>
      <c r="C2730" s="213" t="s">
        <v>4607</v>
      </c>
    </row>
    <row r="2731" spans="1:3" x14ac:dyDescent="0.25">
      <c r="A2731" s="211">
        <f t="shared" si="42"/>
        <v>8401001</v>
      </c>
      <c r="B2731" s="213" t="s">
        <v>4608</v>
      </c>
      <c r="C2731" s="213" t="s">
        <v>14097</v>
      </c>
    </row>
    <row r="2732" spans="1:3" x14ac:dyDescent="0.25">
      <c r="A2732" s="211">
        <f t="shared" si="42"/>
        <v>8401002</v>
      </c>
      <c r="B2732" s="213" t="s">
        <v>4609</v>
      </c>
      <c r="C2732" s="213" t="s">
        <v>7629</v>
      </c>
    </row>
    <row r="2733" spans="1:3" x14ac:dyDescent="0.25">
      <c r="A2733" s="211">
        <f t="shared" si="42"/>
        <v>8401003</v>
      </c>
      <c r="B2733" s="213" t="s">
        <v>4610</v>
      </c>
      <c r="C2733" s="213" t="s">
        <v>4611</v>
      </c>
    </row>
    <row r="2734" spans="1:3" x14ac:dyDescent="0.25">
      <c r="A2734" s="211">
        <f t="shared" si="42"/>
        <v>8401004</v>
      </c>
      <c r="B2734" s="213" t="s">
        <v>4612</v>
      </c>
      <c r="C2734" s="213" t="s">
        <v>4613</v>
      </c>
    </row>
    <row r="2735" spans="1:3" x14ac:dyDescent="0.25">
      <c r="A2735" s="211">
        <f t="shared" si="42"/>
        <v>8401005</v>
      </c>
      <c r="B2735" s="213" t="s">
        <v>4614</v>
      </c>
      <c r="C2735" s="213" t="s">
        <v>4615</v>
      </c>
    </row>
    <row r="2736" spans="1:3" x14ac:dyDescent="0.25">
      <c r="A2736" s="211">
        <f t="shared" si="42"/>
        <v>8401006</v>
      </c>
      <c r="B2736" s="213" t="s">
        <v>4616</v>
      </c>
      <c r="C2736" s="213" t="s">
        <v>4617</v>
      </c>
    </row>
    <row r="2737" spans="1:3" x14ac:dyDescent="0.25">
      <c r="A2737" s="211">
        <f t="shared" si="42"/>
        <v>8401007</v>
      </c>
      <c r="B2737" s="213" t="s">
        <v>4618</v>
      </c>
      <c r="C2737" s="213" t="s">
        <v>4619</v>
      </c>
    </row>
    <row r="2738" spans="1:3" x14ac:dyDescent="0.25">
      <c r="A2738" s="211">
        <f t="shared" si="42"/>
        <v>8401008</v>
      </c>
      <c r="B2738" s="213" t="s">
        <v>4620</v>
      </c>
      <c r="C2738" s="213" t="s">
        <v>4621</v>
      </c>
    </row>
    <row r="2739" spans="1:3" x14ac:dyDescent="0.25">
      <c r="A2739" s="211">
        <f t="shared" si="42"/>
        <v>8401009</v>
      </c>
      <c r="B2739" s="213" t="s">
        <v>4622</v>
      </c>
      <c r="C2739" s="213" t="s">
        <v>4623</v>
      </c>
    </row>
    <row r="2740" spans="1:3" x14ac:dyDescent="0.25">
      <c r="A2740" s="211">
        <f t="shared" si="42"/>
        <v>8401010</v>
      </c>
      <c r="B2740" s="213" t="s">
        <v>4624</v>
      </c>
      <c r="C2740" s="213" t="s">
        <v>4625</v>
      </c>
    </row>
    <row r="2741" spans="1:3" x14ac:dyDescent="0.25">
      <c r="A2741" s="211">
        <f t="shared" si="42"/>
        <v>8401011</v>
      </c>
      <c r="B2741" s="213" t="s">
        <v>4626</v>
      </c>
      <c r="C2741" s="213" t="s">
        <v>4627</v>
      </c>
    </row>
    <row r="2742" spans="1:3" x14ac:dyDescent="0.25">
      <c r="A2742" s="211">
        <f t="shared" si="42"/>
        <v>8401012</v>
      </c>
      <c r="B2742" s="213" t="s">
        <v>4628</v>
      </c>
      <c r="C2742" s="213" t="s">
        <v>4629</v>
      </c>
    </row>
    <row r="2743" spans="1:3" x14ac:dyDescent="0.25">
      <c r="A2743" s="211">
        <f t="shared" si="42"/>
        <v>8401013</v>
      </c>
      <c r="B2743" s="213" t="s">
        <v>7630</v>
      </c>
      <c r="C2743" s="213" t="s">
        <v>7631</v>
      </c>
    </row>
    <row r="2744" spans="1:3" x14ac:dyDescent="0.25">
      <c r="A2744" s="211">
        <f t="shared" si="42"/>
        <v>8401133</v>
      </c>
      <c r="B2744" s="213" t="s">
        <v>13559</v>
      </c>
      <c r="C2744" s="213" t="s">
        <v>13560</v>
      </c>
    </row>
    <row r="2745" spans="1:3" x14ac:dyDescent="0.25">
      <c r="A2745" s="211">
        <f t="shared" si="42"/>
        <v>8401134</v>
      </c>
      <c r="B2745" s="213" t="s">
        <v>13561</v>
      </c>
      <c r="C2745" s="213" t="s">
        <v>13562</v>
      </c>
    </row>
    <row r="2746" spans="1:3" x14ac:dyDescent="0.25">
      <c r="A2746" s="211">
        <f t="shared" si="42"/>
        <v>8401232</v>
      </c>
      <c r="B2746" s="213" t="s">
        <v>4630</v>
      </c>
      <c r="C2746" s="213" t="s">
        <v>4631</v>
      </c>
    </row>
    <row r="2747" spans="1:3" x14ac:dyDescent="0.25">
      <c r="A2747" s="211">
        <f t="shared" si="42"/>
        <v>8500001</v>
      </c>
      <c r="B2747" s="213" t="s">
        <v>4632</v>
      </c>
      <c r="C2747" s="213" t="s">
        <v>4633</v>
      </c>
    </row>
    <row r="2748" spans="1:3" x14ac:dyDescent="0.25">
      <c r="A2748" s="211">
        <f t="shared" si="42"/>
        <v>8500002</v>
      </c>
      <c r="B2748" s="213" t="s">
        <v>4634</v>
      </c>
      <c r="C2748" s="213" t="s">
        <v>4635</v>
      </c>
    </row>
    <row r="2749" spans="1:3" x14ac:dyDescent="0.25">
      <c r="A2749" s="211">
        <f t="shared" si="42"/>
        <v>8500003</v>
      </c>
      <c r="B2749" s="213" t="s">
        <v>4636</v>
      </c>
      <c r="C2749" s="213" t="s">
        <v>4637</v>
      </c>
    </row>
    <row r="2750" spans="1:3" x14ac:dyDescent="0.25">
      <c r="A2750" s="211">
        <f t="shared" si="42"/>
        <v>8500300</v>
      </c>
      <c r="B2750" s="213" t="s">
        <v>4638</v>
      </c>
      <c r="C2750" s="213" t="s">
        <v>4639</v>
      </c>
    </row>
    <row r="2751" spans="1:3" x14ac:dyDescent="0.25">
      <c r="A2751" s="211">
        <f t="shared" si="42"/>
        <v>8500500</v>
      </c>
      <c r="B2751" s="213" t="s">
        <v>4640</v>
      </c>
      <c r="C2751" s="213" t="s">
        <v>4641</v>
      </c>
    </row>
    <row r="2752" spans="1:3" x14ac:dyDescent="0.25">
      <c r="A2752" s="211">
        <f t="shared" si="42"/>
        <v>8501001</v>
      </c>
      <c r="B2752" s="213" t="s">
        <v>4642</v>
      </c>
      <c r="C2752" s="213" t="s">
        <v>4643</v>
      </c>
    </row>
    <row r="2753" spans="1:3" x14ac:dyDescent="0.25">
      <c r="A2753" s="211">
        <f t="shared" si="42"/>
        <v>8501015</v>
      </c>
      <c r="B2753" s="213" t="s">
        <v>4644</v>
      </c>
      <c r="C2753" s="213" t="s">
        <v>4645</v>
      </c>
    </row>
    <row r="2754" spans="1:3" x14ac:dyDescent="0.25">
      <c r="A2754" s="211">
        <f t="shared" ref="A2754:A2817" si="43">IFERROR(B2754*1,"")</f>
        <v>8501024</v>
      </c>
      <c r="B2754" s="213" t="s">
        <v>4646</v>
      </c>
      <c r="C2754" s="213" t="s">
        <v>7632</v>
      </c>
    </row>
    <row r="2755" spans="1:3" x14ac:dyDescent="0.25">
      <c r="A2755" s="211">
        <f t="shared" si="43"/>
        <v>8501025</v>
      </c>
      <c r="B2755" s="213" t="s">
        <v>4647</v>
      </c>
      <c r="C2755" s="213" t="s">
        <v>4648</v>
      </c>
    </row>
    <row r="2756" spans="1:3" x14ac:dyDescent="0.25">
      <c r="A2756" s="211">
        <f t="shared" si="43"/>
        <v>8501026</v>
      </c>
      <c r="B2756" s="213" t="s">
        <v>4649</v>
      </c>
      <c r="C2756" s="213" t="s">
        <v>4650</v>
      </c>
    </row>
    <row r="2757" spans="1:3" x14ac:dyDescent="0.25">
      <c r="A2757" s="211">
        <f t="shared" si="43"/>
        <v>8501027</v>
      </c>
      <c r="B2757" s="213" t="s">
        <v>4651</v>
      </c>
      <c r="C2757" s="213" t="s">
        <v>4652</v>
      </c>
    </row>
    <row r="2758" spans="1:3" x14ac:dyDescent="0.25">
      <c r="A2758" s="211">
        <f t="shared" si="43"/>
        <v>8501034</v>
      </c>
      <c r="B2758" s="213" t="s">
        <v>4653</v>
      </c>
      <c r="C2758" s="213" t="s">
        <v>4654</v>
      </c>
    </row>
    <row r="2759" spans="1:3" x14ac:dyDescent="0.25">
      <c r="A2759" s="211">
        <f t="shared" si="43"/>
        <v>8501228</v>
      </c>
      <c r="B2759" s="213" t="s">
        <v>4655</v>
      </c>
      <c r="C2759" s="213" t="s">
        <v>4656</v>
      </c>
    </row>
    <row r="2760" spans="1:3" x14ac:dyDescent="0.25">
      <c r="A2760" s="211">
        <f t="shared" si="43"/>
        <v>8501551</v>
      </c>
      <c r="B2760" s="213" t="s">
        <v>4657</v>
      </c>
      <c r="C2760" s="213" t="s">
        <v>4658</v>
      </c>
    </row>
    <row r="2761" spans="1:3" x14ac:dyDescent="0.25">
      <c r="A2761" s="211">
        <f t="shared" si="43"/>
        <v>8501594</v>
      </c>
      <c r="B2761" s="213" t="s">
        <v>4659</v>
      </c>
      <c r="C2761" s="213" t="s">
        <v>4660</v>
      </c>
    </row>
    <row r="2762" spans="1:3" x14ac:dyDescent="0.25">
      <c r="A2762" s="211">
        <f t="shared" si="43"/>
        <v>8501602</v>
      </c>
      <c r="B2762" s="213" t="s">
        <v>4661</v>
      </c>
      <c r="C2762" s="213" t="s">
        <v>4662</v>
      </c>
    </row>
    <row r="2763" spans="1:3" x14ac:dyDescent="0.25">
      <c r="A2763" s="211">
        <f t="shared" si="43"/>
        <v>8501621</v>
      </c>
      <c r="B2763" s="213" t="s">
        <v>4663</v>
      </c>
      <c r="C2763" s="213" t="s">
        <v>4664</v>
      </c>
    </row>
    <row r="2764" spans="1:3" x14ac:dyDescent="0.25">
      <c r="A2764" s="211">
        <f t="shared" si="43"/>
        <v>8501654</v>
      </c>
      <c r="B2764" s="213" t="s">
        <v>4665</v>
      </c>
      <c r="C2764" s="213" t="s">
        <v>4666</v>
      </c>
    </row>
    <row r="2765" spans="1:3" x14ac:dyDescent="0.25">
      <c r="A2765" s="211">
        <f t="shared" si="43"/>
        <v>8501655</v>
      </c>
      <c r="B2765" s="213" t="s">
        <v>4667</v>
      </c>
      <c r="C2765" s="213" t="s">
        <v>4668</v>
      </c>
    </row>
    <row r="2766" spans="1:3" x14ac:dyDescent="0.25">
      <c r="A2766" s="211">
        <f t="shared" si="43"/>
        <v>8501662</v>
      </c>
      <c r="B2766" s="213" t="s">
        <v>4669</v>
      </c>
      <c r="C2766" s="213" t="s">
        <v>7633</v>
      </c>
    </row>
    <row r="2767" spans="1:3" x14ac:dyDescent="0.25">
      <c r="A2767" s="211">
        <f t="shared" si="43"/>
        <v>8501700</v>
      </c>
      <c r="B2767" s="213" t="s">
        <v>4670</v>
      </c>
      <c r="C2767" s="213" t="s">
        <v>4671</v>
      </c>
    </row>
    <row r="2768" spans="1:3" x14ac:dyDescent="0.25">
      <c r="A2768" s="211">
        <f t="shared" si="43"/>
        <v>8503000</v>
      </c>
      <c r="B2768" s="213" t="s">
        <v>4672</v>
      </c>
      <c r="C2768" s="213" t="s">
        <v>4673</v>
      </c>
    </row>
    <row r="2769" spans="1:3" x14ac:dyDescent="0.25">
      <c r="A2769" s="211">
        <f t="shared" si="43"/>
        <v>8503003</v>
      </c>
      <c r="B2769" s="213" t="s">
        <v>4674</v>
      </c>
      <c r="C2769" s="213" t="s">
        <v>4675</v>
      </c>
    </row>
    <row r="2770" spans="1:3" x14ac:dyDescent="0.25">
      <c r="A2770" s="211">
        <f t="shared" si="43"/>
        <v>8503011</v>
      </c>
      <c r="B2770" s="213" t="s">
        <v>4676</v>
      </c>
      <c r="C2770" s="213" t="s">
        <v>4677</v>
      </c>
    </row>
    <row r="2771" spans="1:3" x14ac:dyDescent="0.25">
      <c r="A2771" s="211">
        <f t="shared" si="43"/>
        <v>8503012</v>
      </c>
      <c r="B2771" s="213" t="s">
        <v>4678</v>
      </c>
      <c r="C2771" s="213" t="s">
        <v>4679</v>
      </c>
    </row>
    <row r="2772" spans="1:3" x14ac:dyDescent="0.25">
      <c r="A2772" s="211">
        <f t="shared" si="43"/>
        <v>8503020</v>
      </c>
      <c r="B2772" s="213" t="s">
        <v>4680</v>
      </c>
      <c r="C2772" s="213" t="s">
        <v>4681</v>
      </c>
    </row>
    <row r="2773" spans="1:3" x14ac:dyDescent="0.25">
      <c r="A2773" s="211">
        <f t="shared" si="43"/>
        <v>8503026</v>
      </c>
      <c r="B2773" s="213" t="s">
        <v>4682</v>
      </c>
      <c r="C2773" s="213" t="s">
        <v>4683</v>
      </c>
    </row>
    <row r="2774" spans="1:3" x14ac:dyDescent="0.25">
      <c r="A2774" s="211">
        <f t="shared" si="43"/>
        <v>8503045</v>
      </c>
      <c r="B2774" s="213" t="s">
        <v>4684</v>
      </c>
      <c r="C2774" s="213" t="s">
        <v>4685</v>
      </c>
    </row>
    <row r="2775" spans="1:3" x14ac:dyDescent="0.25">
      <c r="A2775" s="211">
        <f t="shared" si="43"/>
        <v>8503046</v>
      </c>
      <c r="B2775" s="213" t="s">
        <v>4686</v>
      </c>
      <c r="C2775" s="213" t="s">
        <v>4687</v>
      </c>
    </row>
    <row r="2776" spans="1:3" x14ac:dyDescent="0.25">
      <c r="A2776" s="211">
        <f t="shared" si="43"/>
        <v>8503060</v>
      </c>
      <c r="B2776" s="213" t="s">
        <v>4688</v>
      </c>
      <c r="C2776" s="213" t="s">
        <v>4689</v>
      </c>
    </row>
    <row r="2777" spans="1:3" x14ac:dyDescent="0.25">
      <c r="A2777" s="211">
        <f t="shared" si="43"/>
        <v>8503061</v>
      </c>
      <c r="B2777" s="213" t="s">
        <v>4690</v>
      </c>
      <c r="C2777" s="213" t="s">
        <v>4691</v>
      </c>
    </row>
    <row r="2778" spans="1:3" x14ac:dyDescent="0.25">
      <c r="A2778" s="211">
        <f t="shared" si="43"/>
        <v>850306101</v>
      </c>
      <c r="B2778" s="213" t="s">
        <v>4692</v>
      </c>
      <c r="C2778" s="213" t="s">
        <v>4693</v>
      </c>
    </row>
    <row r="2779" spans="1:3" x14ac:dyDescent="0.25">
      <c r="A2779" s="211">
        <f t="shared" si="43"/>
        <v>8503063</v>
      </c>
      <c r="B2779" s="213" t="s">
        <v>4694</v>
      </c>
      <c r="C2779" s="213" t="s">
        <v>4695</v>
      </c>
    </row>
    <row r="2780" spans="1:3" x14ac:dyDescent="0.25">
      <c r="A2780" s="211">
        <f t="shared" si="43"/>
        <v>8503090</v>
      </c>
      <c r="B2780" s="213" t="s">
        <v>4696</v>
      </c>
      <c r="C2780" s="213" t="s">
        <v>4697</v>
      </c>
    </row>
    <row r="2781" spans="1:3" x14ac:dyDescent="0.25">
      <c r="A2781" s="211">
        <f t="shared" si="43"/>
        <v>8503091</v>
      </c>
      <c r="B2781" s="213" t="s">
        <v>4698</v>
      </c>
      <c r="C2781" s="213" t="s">
        <v>4699</v>
      </c>
    </row>
    <row r="2782" spans="1:3" x14ac:dyDescent="0.25">
      <c r="A2782" s="211" t="str">
        <f t="shared" si="43"/>
        <v/>
      </c>
      <c r="B2782" s="213" t="s">
        <v>13835</v>
      </c>
      <c r="C2782" s="212"/>
    </row>
    <row r="2783" spans="1:3" x14ac:dyDescent="0.25">
      <c r="A2783" s="211">
        <f t="shared" si="43"/>
        <v>8503092</v>
      </c>
      <c r="B2783" s="213" t="s">
        <v>13351</v>
      </c>
      <c r="C2783" s="213" t="s">
        <v>13352</v>
      </c>
    </row>
    <row r="2784" spans="1:3" x14ac:dyDescent="0.25">
      <c r="A2784" s="211">
        <f t="shared" si="43"/>
        <v>8503098</v>
      </c>
      <c r="B2784" s="213" t="s">
        <v>4700</v>
      </c>
      <c r="C2784" s="213" t="s">
        <v>4701</v>
      </c>
    </row>
    <row r="2785" spans="1:3" x14ac:dyDescent="0.25">
      <c r="A2785" s="211">
        <f t="shared" si="43"/>
        <v>8503100</v>
      </c>
      <c r="B2785" s="213" t="s">
        <v>4702</v>
      </c>
      <c r="C2785" s="213" t="s">
        <v>4703</v>
      </c>
    </row>
    <row r="2786" spans="1:3" x14ac:dyDescent="0.25">
      <c r="A2786" s="211">
        <f t="shared" si="43"/>
        <v>8503111</v>
      </c>
      <c r="B2786" s="213" t="s">
        <v>4704</v>
      </c>
      <c r="C2786" s="213" t="s">
        <v>4705</v>
      </c>
    </row>
    <row r="2787" spans="1:3" x14ac:dyDescent="0.25">
      <c r="A2787" s="211">
        <f t="shared" si="43"/>
        <v>8503125</v>
      </c>
      <c r="B2787" s="213" t="s">
        <v>4706</v>
      </c>
      <c r="C2787" s="213" t="s">
        <v>14098</v>
      </c>
    </row>
    <row r="2788" spans="1:3" x14ac:dyDescent="0.25">
      <c r="A2788" s="211">
        <f t="shared" si="43"/>
        <v>8503130</v>
      </c>
      <c r="B2788" s="213" t="s">
        <v>4707</v>
      </c>
      <c r="C2788" s="213" t="s">
        <v>4708</v>
      </c>
    </row>
    <row r="2789" spans="1:3" x14ac:dyDescent="0.25">
      <c r="A2789" s="211">
        <f t="shared" si="43"/>
        <v>8503159</v>
      </c>
      <c r="B2789" s="213" t="s">
        <v>4709</v>
      </c>
      <c r="C2789" s="213" t="s">
        <v>4710</v>
      </c>
    </row>
    <row r="2790" spans="1:3" x14ac:dyDescent="0.25">
      <c r="A2790" s="211">
        <f t="shared" si="43"/>
        <v>8503168</v>
      </c>
      <c r="B2790" s="213" t="s">
        <v>4711</v>
      </c>
      <c r="C2790" s="213" t="s">
        <v>7634</v>
      </c>
    </row>
    <row r="2791" spans="1:3" x14ac:dyDescent="0.25">
      <c r="A2791" s="211">
        <f t="shared" si="43"/>
        <v>8503201</v>
      </c>
      <c r="B2791" s="213" t="s">
        <v>4712</v>
      </c>
      <c r="C2791" s="213" t="s">
        <v>4713</v>
      </c>
    </row>
    <row r="2792" spans="1:3" x14ac:dyDescent="0.25">
      <c r="A2792" s="211">
        <f t="shared" si="43"/>
        <v>8503202</v>
      </c>
      <c r="B2792" s="213" t="s">
        <v>4714</v>
      </c>
      <c r="C2792" s="213" t="s">
        <v>4715</v>
      </c>
    </row>
    <row r="2793" spans="1:3" x14ac:dyDescent="0.25">
      <c r="A2793" s="211">
        <f t="shared" si="43"/>
        <v>8503209</v>
      </c>
      <c r="B2793" s="213" t="s">
        <v>4716</v>
      </c>
      <c r="C2793" s="213" t="s">
        <v>4717</v>
      </c>
    </row>
    <row r="2794" spans="1:3" x14ac:dyDescent="0.25">
      <c r="A2794" s="211">
        <f t="shared" si="43"/>
        <v>8503224</v>
      </c>
      <c r="B2794" s="213" t="s">
        <v>4718</v>
      </c>
      <c r="C2794" s="213" t="s">
        <v>7635</v>
      </c>
    </row>
    <row r="2795" spans="1:3" x14ac:dyDescent="0.25">
      <c r="A2795" s="211">
        <f t="shared" si="43"/>
        <v>8503225</v>
      </c>
      <c r="B2795" s="213" t="s">
        <v>13563</v>
      </c>
      <c r="C2795" s="213" t="s">
        <v>13564</v>
      </c>
    </row>
    <row r="2796" spans="1:3" x14ac:dyDescent="0.25">
      <c r="A2796" s="211">
        <f t="shared" si="43"/>
        <v>8503230</v>
      </c>
      <c r="B2796" s="213" t="s">
        <v>4719</v>
      </c>
      <c r="C2796" s="213" t="s">
        <v>4720</v>
      </c>
    </row>
    <row r="2797" spans="1:3" x14ac:dyDescent="0.25">
      <c r="A2797" s="211">
        <f t="shared" si="43"/>
        <v>8503234</v>
      </c>
      <c r="B2797" s="213" t="s">
        <v>4721</v>
      </c>
      <c r="C2797" s="213" t="s">
        <v>4722</v>
      </c>
    </row>
    <row r="2798" spans="1:3" x14ac:dyDescent="0.25">
      <c r="A2798" s="211">
        <f t="shared" si="43"/>
        <v>8503235</v>
      </c>
      <c r="B2798" s="213" t="s">
        <v>4723</v>
      </c>
      <c r="C2798" s="213" t="s">
        <v>4724</v>
      </c>
    </row>
    <row r="2799" spans="1:3" x14ac:dyDescent="0.25">
      <c r="A2799" s="211">
        <f t="shared" si="43"/>
        <v>8503236</v>
      </c>
      <c r="B2799" s="213" t="s">
        <v>4725</v>
      </c>
      <c r="C2799" s="213" t="s">
        <v>4726</v>
      </c>
    </row>
    <row r="2800" spans="1:3" x14ac:dyDescent="0.25">
      <c r="A2800" s="211">
        <f t="shared" si="43"/>
        <v>8503238</v>
      </c>
      <c r="B2800" s="213" t="s">
        <v>4727</v>
      </c>
      <c r="C2800" s="213" t="s">
        <v>4728</v>
      </c>
    </row>
    <row r="2801" spans="1:3" x14ac:dyDescent="0.25">
      <c r="A2801" s="211">
        <f t="shared" si="43"/>
        <v>8503250</v>
      </c>
      <c r="B2801" s="213" t="s">
        <v>4729</v>
      </c>
      <c r="C2801" s="213" t="s">
        <v>4730</v>
      </c>
    </row>
    <row r="2802" spans="1:3" x14ac:dyDescent="0.25">
      <c r="A2802" s="211">
        <f t="shared" si="43"/>
        <v>8503258</v>
      </c>
      <c r="B2802" s="213" t="s">
        <v>4731</v>
      </c>
      <c r="C2802" s="213" t="s">
        <v>4732</v>
      </c>
    </row>
    <row r="2803" spans="1:3" x14ac:dyDescent="0.25">
      <c r="A2803" s="211">
        <f t="shared" si="43"/>
        <v>8503302</v>
      </c>
      <c r="B2803" s="213" t="s">
        <v>4733</v>
      </c>
      <c r="C2803" s="213" t="s">
        <v>4734</v>
      </c>
    </row>
    <row r="2804" spans="1:3" x14ac:dyDescent="0.25">
      <c r="A2804" s="211">
        <f t="shared" si="43"/>
        <v>8503303</v>
      </c>
      <c r="B2804" s="213" t="s">
        <v>4735</v>
      </c>
      <c r="C2804" s="213" t="s">
        <v>4736</v>
      </c>
    </row>
    <row r="2805" spans="1:3" x14ac:dyDescent="0.25">
      <c r="A2805" s="211">
        <f t="shared" si="43"/>
        <v>8503304</v>
      </c>
      <c r="B2805" s="213" t="s">
        <v>4737</v>
      </c>
      <c r="C2805" s="213" t="s">
        <v>4738</v>
      </c>
    </row>
    <row r="2806" spans="1:3" x14ac:dyDescent="0.25">
      <c r="A2806" s="211">
        <f t="shared" si="43"/>
        <v>8503305</v>
      </c>
      <c r="B2806" s="213" t="s">
        <v>4739</v>
      </c>
      <c r="C2806" s="213" t="s">
        <v>4740</v>
      </c>
    </row>
    <row r="2807" spans="1:3" x14ac:dyDescent="0.25">
      <c r="A2807" s="211">
        <f t="shared" si="43"/>
        <v>8503310</v>
      </c>
      <c r="B2807" s="213" t="s">
        <v>4741</v>
      </c>
      <c r="C2807" s="213" t="s">
        <v>4742</v>
      </c>
    </row>
    <row r="2808" spans="1:3" x14ac:dyDescent="0.25">
      <c r="A2808" s="211">
        <f t="shared" si="43"/>
        <v>8503320</v>
      </c>
      <c r="B2808" s="213" t="s">
        <v>4743</v>
      </c>
      <c r="C2808" s="213" t="s">
        <v>4744</v>
      </c>
    </row>
    <row r="2809" spans="1:3" x14ac:dyDescent="0.25">
      <c r="A2809" s="211">
        <f t="shared" si="43"/>
        <v>8503332</v>
      </c>
      <c r="B2809" s="213" t="s">
        <v>13353</v>
      </c>
      <c r="C2809" s="213" t="s">
        <v>13354</v>
      </c>
    </row>
    <row r="2810" spans="1:3" x14ac:dyDescent="0.25">
      <c r="A2810" s="211">
        <f t="shared" si="43"/>
        <v>8503401</v>
      </c>
      <c r="B2810" s="213" t="s">
        <v>4745</v>
      </c>
      <c r="C2810" s="213" t="s">
        <v>4746</v>
      </c>
    </row>
    <row r="2811" spans="1:3" x14ac:dyDescent="0.25">
      <c r="A2811" s="211">
        <f t="shared" si="43"/>
        <v>8503402</v>
      </c>
      <c r="B2811" s="213" t="s">
        <v>4747</v>
      </c>
      <c r="C2811" s="213" t="s">
        <v>4748</v>
      </c>
    </row>
    <row r="2812" spans="1:3" x14ac:dyDescent="0.25">
      <c r="A2812" s="211">
        <f t="shared" si="43"/>
        <v>8503424</v>
      </c>
      <c r="B2812" s="213" t="s">
        <v>4749</v>
      </c>
      <c r="C2812" s="213" t="s">
        <v>4750</v>
      </c>
    </row>
    <row r="2813" spans="1:3" x14ac:dyDescent="0.25">
      <c r="A2813" s="211">
        <f t="shared" si="43"/>
        <v>8503425</v>
      </c>
      <c r="B2813" s="213" t="s">
        <v>4751</v>
      </c>
      <c r="C2813" s="213" t="s">
        <v>4752</v>
      </c>
    </row>
    <row r="2814" spans="1:3" x14ac:dyDescent="0.25">
      <c r="A2814" s="211">
        <f t="shared" si="43"/>
        <v>8503426</v>
      </c>
      <c r="B2814" s="213" t="s">
        <v>4753</v>
      </c>
      <c r="C2814" s="213" t="s">
        <v>4754</v>
      </c>
    </row>
    <row r="2815" spans="1:3" x14ac:dyDescent="0.25">
      <c r="A2815" s="211">
        <f t="shared" si="43"/>
        <v>8503427</v>
      </c>
      <c r="B2815" s="213" t="s">
        <v>4755</v>
      </c>
      <c r="C2815" s="213" t="s">
        <v>4756</v>
      </c>
    </row>
    <row r="2816" spans="1:3" x14ac:dyDescent="0.25">
      <c r="A2816" s="211">
        <f t="shared" si="43"/>
        <v>8503428</v>
      </c>
      <c r="B2816" s="213" t="s">
        <v>4757</v>
      </c>
      <c r="C2816" s="213" t="s">
        <v>7636</v>
      </c>
    </row>
    <row r="2817" spans="1:3" x14ac:dyDescent="0.25">
      <c r="A2817" s="211">
        <f t="shared" si="43"/>
        <v>8503429</v>
      </c>
      <c r="B2817" s="213" t="s">
        <v>4758</v>
      </c>
      <c r="C2817" s="213" t="s">
        <v>4759</v>
      </c>
    </row>
    <row r="2818" spans="1:3" x14ac:dyDescent="0.25">
      <c r="A2818" s="211">
        <f t="shared" ref="A2818:A2881" si="44">IFERROR(B2818*1,"")</f>
        <v>8503450</v>
      </c>
      <c r="B2818" s="213" t="s">
        <v>4760</v>
      </c>
      <c r="C2818" s="213" t="s">
        <v>4761</v>
      </c>
    </row>
    <row r="2819" spans="1:3" x14ac:dyDescent="0.25">
      <c r="A2819" s="211">
        <f t="shared" si="44"/>
        <v>8503451</v>
      </c>
      <c r="B2819" s="213" t="s">
        <v>4762</v>
      </c>
      <c r="C2819" s="213" t="s">
        <v>4763</v>
      </c>
    </row>
    <row r="2820" spans="1:3" x14ac:dyDescent="0.25">
      <c r="A2820" s="211">
        <f t="shared" si="44"/>
        <v>8503456</v>
      </c>
      <c r="B2820" s="213" t="s">
        <v>4764</v>
      </c>
      <c r="C2820" s="213" t="s">
        <v>4687</v>
      </c>
    </row>
    <row r="2821" spans="1:3" x14ac:dyDescent="0.25">
      <c r="A2821" s="211">
        <f t="shared" si="44"/>
        <v>8503457</v>
      </c>
      <c r="B2821" s="213" t="s">
        <v>4765</v>
      </c>
      <c r="C2821" s="213" t="s">
        <v>4766</v>
      </c>
    </row>
    <row r="2822" spans="1:3" x14ac:dyDescent="0.25">
      <c r="A2822" s="211">
        <f t="shared" si="44"/>
        <v>8503458</v>
      </c>
      <c r="B2822" s="213" t="s">
        <v>4767</v>
      </c>
      <c r="C2822" s="213" t="s">
        <v>4768</v>
      </c>
    </row>
    <row r="2823" spans="1:3" x14ac:dyDescent="0.25">
      <c r="A2823" s="211">
        <f t="shared" si="44"/>
        <v>8503500</v>
      </c>
      <c r="B2823" s="213" t="s">
        <v>4769</v>
      </c>
      <c r="C2823" s="213" t="s">
        <v>4770</v>
      </c>
    </row>
    <row r="2824" spans="1:3" x14ac:dyDescent="0.25">
      <c r="A2824" s="211">
        <f t="shared" si="44"/>
        <v>8503505</v>
      </c>
      <c r="B2824" s="213" t="s">
        <v>4771</v>
      </c>
      <c r="C2824" s="213" t="s">
        <v>4772</v>
      </c>
    </row>
    <row r="2825" spans="1:3" x14ac:dyDescent="0.25">
      <c r="A2825" s="211">
        <f t="shared" si="44"/>
        <v>8503600</v>
      </c>
      <c r="B2825" s="213" t="s">
        <v>4773</v>
      </c>
      <c r="C2825" s="213" t="s">
        <v>4774</v>
      </c>
    </row>
    <row r="2826" spans="1:3" x14ac:dyDescent="0.25">
      <c r="A2826" s="211">
        <f t="shared" si="44"/>
        <v>8503638</v>
      </c>
      <c r="B2826" s="213" t="s">
        <v>4775</v>
      </c>
      <c r="C2826" s="213" t="s">
        <v>4776</v>
      </c>
    </row>
    <row r="2827" spans="1:3" x14ac:dyDescent="0.25">
      <c r="A2827" s="211">
        <f t="shared" si="44"/>
        <v>8503639</v>
      </c>
      <c r="B2827" s="213" t="s">
        <v>4777</v>
      </c>
      <c r="C2827" s="213" t="s">
        <v>4778</v>
      </c>
    </row>
    <row r="2828" spans="1:3" x14ac:dyDescent="0.25">
      <c r="A2828" s="211">
        <f t="shared" si="44"/>
        <v>8503712</v>
      </c>
      <c r="B2828" s="213" t="s">
        <v>4779</v>
      </c>
      <c r="C2828" s="213" t="s">
        <v>4780</v>
      </c>
    </row>
    <row r="2829" spans="1:3" x14ac:dyDescent="0.25">
      <c r="A2829" s="211">
        <f t="shared" si="44"/>
        <v>8503716</v>
      </c>
      <c r="B2829" s="213" t="s">
        <v>4781</v>
      </c>
      <c r="C2829" s="213" t="s">
        <v>4782</v>
      </c>
    </row>
    <row r="2830" spans="1:3" x14ac:dyDescent="0.25">
      <c r="A2830" s="211">
        <f t="shared" si="44"/>
        <v>8503750</v>
      </c>
      <c r="B2830" s="213" t="s">
        <v>4783</v>
      </c>
      <c r="C2830" s="213" t="s">
        <v>4784</v>
      </c>
    </row>
    <row r="2831" spans="1:3" x14ac:dyDescent="0.25">
      <c r="A2831" s="211">
        <f t="shared" si="44"/>
        <v>8503760</v>
      </c>
      <c r="B2831" s="213" t="s">
        <v>4785</v>
      </c>
      <c r="C2831" s="213" t="s">
        <v>4786</v>
      </c>
    </row>
    <row r="2832" spans="1:3" x14ac:dyDescent="0.25">
      <c r="A2832" s="211">
        <f t="shared" si="44"/>
        <v>8503800</v>
      </c>
      <c r="B2832" s="213" t="s">
        <v>4787</v>
      </c>
      <c r="C2832" s="213" t="s">
        <v>4788</v>
      </c>
    </row>
    <row r="2833" spans="1:3" x14ac:dyDescent="0.25">
      <c r="A2833" s="211">
        <f t="shared" si="44"/>
        <v>8503801</v>
      </c>
      <c r="B2833" s="213" t="s">
        <v>4789</v>
      </c>
      <c r="C2833" s="213" t="s">
        <v>4790</v>
      </c>
    </row>
    <row r="2834" spans="1:3" x14ac:dyDescent="0.25">
      <c r="A2834" s="211">
        <f t="shared" si="44"/>
        <v>8503802</v>
      </c>
      <c r="B2834" s="213" t="s">
        <v>4791</v>
      </c>
      <c r="C2834" s="213" t="s">
        <v>4792</v>
      </c>
    </row>
    <row r="2835" spans="1:3" x14ac:dyDescent="0.25">
      <c r="A2835" s="211">
        <f t="shared" si="44"/>
        <v>8503803</v>
      </c>
      <c r="B2835" s="213" t="s">
        <v>4793</v>
      </c>
      <c r="C2835" s="213" t="s">
        <v>4794</v>
      </c>
    </row>
    <row r="2836" spans="1:3" x14ac:dyDescent="0.25">
      <c r="A2836" s="211">
        <f t="shared" si="44"/>
        <v>8503804</v>
      </c>
      <c r="B2836" s="213" t="s">
        <v>4795</v>
      </c>
      <c r="C2836" s="213" t="s">
        <v>4796</v>
      </c>
    </row>
    <row r="2837" spans="1:3" x14ac:dyDescent="0.25">
      <c r="A2837" s="211">
        <f t="shared" si="44"/>
        <v>8503808</v>
      </c>
      <c r="B2837" s="213" t="s">
        <v>4797</v>
      </c>
      <c r="C2837" s="213" t="s">
        <v>4798</v>
      </c>
    </row>
    <row r="2838" spans="1:3" x14ac:dyDescent="0.25">
      <c r="A2838" s="211">
        <f t="shared" si="44"/>
        <v>8503820</v>
      </c>
      <c r="B2838" s="213" t="s">
        <v>4799</v>
      </c>
      <c r="C2838" s="213" t="s">
        <v>4800</v>
      </c>
    </row>
    <row r="2839" spans="1:3" x14ac:dyDescent="0.25">
      <c r="A2839" s="211">
        <f t="shared" si="44"/>
        <v>8503821</v>
      </c>
      <c r="B2839" s="213" t="s">
        <v>4801</v>
      </c>
      <c r="C2839" s="213" t="s">
        <v>4802</v>
      </c>
    </row>
    <row r="2840" spans="1:3" x14ac:dyDescent="0.25">
      <c r="A2840" s="211">
        <f t="shared" si="44"/>
        <v>8503822</v>
      </c>
      <c r="B2840" s="213" t="s">
        <v>4803</v>
      </c>
      <c r="C2840" s="213" t="s">
        <v>4804</v>
      </c>
    </row>
    <row r="2841" spans="1:3" x14ac:dyDescent="0.25">
      <c r="A2841" s="211">
        <f t="shared" si="44"/>
        <v>8503823</v>
      </c>
      <c r="B2841" s="213" t="s">
        <v>4805</v>
      </c>
      <c r="C2841" s="213" t="s">
        <v>4806</v>
      </c>
    </row>
    <row r="2842" spans="1:3" x14ac:dyDescent="0.25">
      <c r="A2842" s="211">
        <f t="shared" si="44"/>
        <v>8503824</v>
      </c>
      <c r="B2842" s="213" t="s">
        <v>4807</v>
      </c>
      <c r="C2842" s="213" t="s">
        <v>4808</v>
      </c>
    </row>
    <row r="2843" spans="1:3" x14ac:dyDescent="0.25">
      <c r="A2843" s="211">
        <f t="shared" si="44"/>
        <v>8503825</v>
      </c>
      <c r="B2843" s="213" t="s">
        <v>4809</v>
      </c>
      <c r="C2843" s="213" t="s">
        <v>4810</v>
      </c>
    </row>
    <row r="2844" spans="1:3" x14ac:dyDescent="0.25">
      <c r="A2844" s="211">
        <f t="shared" si="44"/>
        <v>8503826</v>
      </c>
      <c r="B2844" s="213" t="s">
        <v>4811</v>
      </c>
      <c r="C2844" s="213" t="s">
        <v>4812</v>
      </c>
    </row>
    <row r="2845" spans="1:3" x14ac:dyDescent="0.25">
      <c r="A2845" s="211">
        <f t="shared" si="44"/>
        <v>8503827</v>
      </c>
      <c r="B2845" s="213" t="s">
        <v>4813</v>
      </c>
      <c r="C2845" s="213" t="s">
        <v>4814</v>
      </c>
    </row>
    <row r="2846" spans="1:3" x14ac:dyDescent="0.25">
      <c r="A2846" s="211">
        <f t="shared" si="44"/>
        <v>8503828</v>
      </c>
      <c r="B2846" s="213" t="s">
        <v>4815</v>
      </c>
      <c r="C2846" s="213" t="s">
        <v>4816</v>
      </c>
    </row>
    <row r="2847" spans="1:3" x14ac:dyDescent="0.25">
      <c r="A2847" s="211">
        <f t="shared" si="44"/>
        <v>8503829</v>
      </c>
      <c r="B2847" s="213" t="s">
        <v>4817</v>
      </c>
      <c r="C2847" s="213" t="s">
        <v>4818</v>
      </c>
    </row>
    <row r="2848" spans="1:3" x14ac:dyDescent="0.25">
      <c r="A2848" s="211">
        <f t="shared" si="44"/>
        <v>8503830</v>
      </c>
      <c r="B2848" s="213" t="s">
        <v>4819</v>
      </c>
      <c r="C2848" s="213" t="s">
        <v>4820</v>
      </c>
    </row>
    <row r="2849" spans="1:3" x14ac:dyDescent="0.25">
      <c r="A2849" s="211">
        <f t="shared" si="44"/>
        <v>8503831</v>
      </c>
      <c r="B2849" s="213" t="s">
        <v>4821</v>
      </c>
      <c r="C2849" s="213" t="s">
        <v>4822</v>
      </c>
    </row>
    <row r="2850" spans="1:3" x14ac:dyDescent="0.25">
      <c r="A2850" s="211">
        <f t="shared" si="44"/>
        <v>8503832</v>
      </c>
      <c r="B2850" s="213" t="s">
        <v>4823</v>
      </c>
      <c r="C2850" s="213" t="s">
        <v>4824</v>
      </c>
    </row>
    <row r="2851" spans="1:3" x14ac:dyDescent="0.25">
      <c r="A2851" s="211">
        <f t="shared" si="44"/>
        <v>8503833</v>
      </c>
      <c r="B2851" s="213" t="s">
        <v>4825</v>
      </c>
      <c r="C2851" s="213" t="s">
        <v>4826</v>
      </c>
    </row>
    <row r="2852" spans="1:3" x14ac:dyDescent="0.25">
      <c r="A2852" s="211">
        <f t="shared" si="44"/>
        <v>8503834</v>
      </c>
      <c r="B2852" s="213" t="s">
        <v>4827</v>
      </c>
      <c r="C2852" s="213" t="s">
        <v>4828</v>
      </c>
    </row>
    <row r="2853" spans="1:3" x14ac:dyDescent="0.25">
      <c r="A2853" s="211">
        <f t="shared" si="44"/>
        <v>8503835</v>
      </c>
      <c r="B2853" s="213" t="s">
        <v>4829</v>
      </c>
      <c r="C2853" s="213" t="s">
        <v>4830</v>
      </c>
    </row>
    <row r="2854" spans="1:3" x14ac:dyDescent="0.25">
      <c r="A2854" s="211">
        <f t="shared" si="44"/>
        <v>8503836</v>
      </c>
      <c r="B2854" s="213" t="s">
        <v>4831</v>
      </c>
      <c r="C2854" s="213" t="s">
        <v>4832</v>
      </c>
    </row>
    <row r="2855" spans="1:3" x14ac:dyDescent="0.25">
      <c r="A2855" s="211">
        <f t="shared" si="44"/>
        <v>8503837</v>
      </c>
      <c r="B2855" s="213" t="s">
        <v>4833</v>
      </c>
      <c r="C2855" s="213" t="s">
        <v>4834</v>
      </c>
    </row>
    <row r="2856" spans="1:3" x14ac:dyDescent="0.25">
      <c r="A2856" s="211">
        <f t="shared" si="44"/>
        <v>8503853</v>
      </c>
      <c r="B2856" s="213" t="s">
        <v>4835</v>
      </c>
      <c r="C2856" s="213" t="s">
        <v>4836</v>
      </c>
    </row>
    <row r="2857" spans="1:3" x14ac:dyDescent="0.25">
      <c r="A2857" s="211">
        <f t="shared" si="44"/>
        <v>8503888</v>
      </c>
      <c r="B2857" s="213" t="s">
        <v>4837</v>
      </c>
      <c r="C2857" s="213" t="s">
        <v>4838</v>
      </c>
    </row>
    <row r="2858" spans="1:3" x14ac:dyDescent="0.25">
      <c r="A2858" s="211">
        <f t="shared" si="44"/>
        <v>8503901</v>
      </c>
      <c r="B2858" s="213" t="s">
        <v>4839</v>
      </c>
      <c r="C2858" s="213" t="s">
        <v>4840</v>
      </c>
    </row>
    <row r="2859" spans="1:3" x14ac:dyDescent="0.25">
      <c r="A2859" s="211">
        <f t="shared" si="44"/>
        <v>8503983</v>
      </c>
      <c r="B2859" s="213" t="s">
        <v>4841</v>
      </c>
      <c r="C2859" s="213" t="s">
        <v>4842</v>
      </c>
    </row>
    <row r="2860" spans="1:3" x14ac:dyDescent="0.25">
      <c r="A2860" s="211">
        <f t="shared" si="44"/>
        <v>8503984</v>
      </c>
      <c r="B2860" s="213" t="s">
        <v>4843</v>
      </c>
      <c r="C2860" s="213" t="s">
        <v>4844</v>
      </c>
    </row>
    <row r="2861" spans="1:3" x14ac:dyDescent="0.25">
      <c r="A2861" s="211">
        <f t="shared" si="44"/>
        <v>8503999</v>
      </c>
      <c r="B2861" s="213" t="s">
        <v>4845</v>
      </c>
      <c r="C2861" s="213" t="s">
        <v>4846</v>
      </c>
    </row>
    <row r="2862" spans="1:3" x14ac:dyDescent="0.25">
      <c r="A2862" s="211">
        <f t="shared" si="44"/>
        <v>8505000</v>
      </c>
      <c r="B2862" s="213" t="s">
        <v>4847</v>
      </c>
      <c r="C2862" s="213" t="s">
        <v>4848</v>
      </c>
    </row>
    <row r="2863" spans="1:3" x14ac:dyDescent="0.25">
      <c r="A2863" s="211">
        <f t="shared" si="44"/>
        <v>8505001</v>
      </c>
      <c r="B2863" s="213" t="s">
        <v>4849</v>
      </c>
      <c r="C2863" s="213" t="s">
        <v>4850</v>
      </c>
    </row>
    <row r="2864" spans="1:3" x14ac:dyDescent="0.25">
      <c r="A2864" s="211">
        <f t="shared" si="44"/>
        <v>8505002</v>
      </c>
      <c r="B2864" s="213" t="s">
        <v>4851</v>
      </c>
      <c r="C2864" s="213" t="s">
        <v>4852</v>
      </c>
    </row>
    <row r="2865" spans="1:3" x14ac:dyDescent="0.25">
      <c r="A2865" s="211">
        <f t="shared" si="44"/>
        <v>8505003</v>
      </c>
      <c r="B2865" s="213" t="s">
        <v>4853</v>
      </c>
      <c r="C2865" s="213" t="s">
        <v>4854</v>
      </c>
    </row>
    <row r="2866" spans="1:3" x14ac:dyDescent="0.25">
      <c r="A2866" s="211">
        <f t="shared" si="44"/>
        <v>8505004</v>
      </c>
      <c r="B2866" s="213" t="s">
        <v>4855</v>
      </c>
      <c r="C2866" s="213" t="s">
        <v>4856</v>
      </c>
    </row>
    <row r="2867" spans="1:3" x14ac:dyDescent="0.25">
      <c r="A2867" s="211">
        <f t="shared" si="44"/>
        <v>8505005</v>
      </c>
      <c r="B2867" s="213" t="s">
        <v>4857</v>
      </c>
      <c r="C2867" s="213" t="s">
        <v>4858</v>
      </c>
    </row>
    <row r="2868" spans="1:3" x14ac:dyDescent="0.25">
      <c r="A2868" s="211">
        <f t="shared" si="44"/>
        <v>8505006</v>
      </c>
      <c r="B2868" s="213" t="s">
        <v>4859</v>
      </c>
      <c r="C2868" s="213" t="s">
        <v>4860</v>
      </c>
    </row>
    <row r="2869" spans="1:3" x14ac:dyDescent="0.25">
      <c r="A2869" s="211">
        <f t="shared" si="44"/>
        <v>8505007</v>
      </c>
      <c r="B2869" s="213" t="s">
        <v>4861</v>
      </c>
      <c r="C2869" s="213" t="s">
        <v>4862</v>
      </c>
    </row>
    <row r="2870" spans="1:3" x14ac:dyDescent="0.25">
      <c r="A2870" s="211">
        <f t="shared" si="44"/>
        <v>8505008</v>
      </c>
      <c r="B2870" s="213" t="s">
        <v>4863</v>
      </c>
      <c r="C2870" s="213" t="s">
        <v>4864</v>
      </c>
    </row>
    <row r="2871" spans="1:3" x14ac:dyDescent="0.25">
      <c r="A2871" s="211">
        <f t="shared" si="44"/>
        <v>8505009</v>
      </c>
      <c r="B2871" s="213" t="s">
        <v>4865</v>
      </c>
      <c r="C2871" s="213" t="s">
        <v>4866</v>
      </c>
    </row>
    <row r="2872" spans="1:3" x14ac:dyDescent="0.25">
      <c r="A2872" s="211">
        <f t="shared" si="44"/>
        <v>8505010</v>
      </c>
      <c r="B2872" s="213" t="s">
        <v>4867</v>
      </c>
      <c r="C2872" s="213" t="s">
        <v>4868</v>
      </c>
    </row>
    <row r="2873" spans="1:3" x14ac:dyDescent="0.25">
      <c r="A2873" s="211">
        <f t="shared" si="44"/>
        <v>8505011</v>
      </c>
      <c r="B2873" s="213" t="s">
        <v>4869</v>
      </c>
      <c r="C2873" s="213" t="s">
        <v>4870</v>
      </c>
    </row>
    <row r="2874" spans="1:3" x14ac:dyDescent="0.25">
      <c r="A2874" s="211">
        <f t="shared" si="44"/>
        <v>8505012</v>
      </c>
      <c r="B2874" s="213" t="s">
        <v>4871</v>
      </c>
      <c r="C2874" s="213" t="s">
        <v>4872</v>
      </c>
    </row>
    <row r="2875" spans="1:3" x14ac:dyDescent="0.25">
      <c r="A2875" s="211">
        <f t="shared" si="44"/>
        <v>8505013</v>
      </c>
      <c r="B2875" s="213" t="s">
        <v>4873</v>
      </c>
      <c r="C2875" s="213" t="s">
        <v>4874</v>
      </c>
    </row>
    <row r="2876" spans="1:3" x14ac:dyDescent="0.25">
      <c r="A2876" s="211">
        <f t="shared" si="44"/>
        <v>8505014</v>
      </c>
      <c r="B2876" s="213" t="s">
        <v>4875</v>
      </c>
      <c r="C2876" s="213" t="s">
        <v>4876</v>
      </c>
    </row>
    <row r="2877" spans="1:3" x14ac:dyDescent="0.25">
      <c r="A2877" s="211">
        <f t="shared" si="44"/>
        <v>8505015</v>
      </c>
      <c r="B2877" s="213" t="s">
        <v>4877</v>
      </c>
      <c r="C2877" s="213" t="s">
        <v>4878</v>
      </c>
    </row>
    <row r="2878" spans="1:3" x14ac:dyDescent="0.25">
      <c r="A2878" s="211">
        <f t="shared" si="44"/>
        <v>8505016</v>
      </c>
      <c r="B2878" s="213" t="s">
        <v>4879</v>
      </c>
      <c r="C2878" s="213" t="s">
        <v>4880</v>
      </c>
    </row>
    <row r="2879" spans="1:3" x14ac:dyDescent="0.25">
      <c r="A2879" s="211">
        <f t="shared" si="44"/>
        <v>8505017</v>
      </c>
      <c r="B2879" s="213" t="s">
        <v>4881</v>
      </c>
      <c r="C2879" s="213" t="s">
        <v>14099</v>
      </c>
    </row>
    <row r="2880" spans="1:3" x14ac:dyDescent="0.25">
      <c r="A2880" s="211">
        <f t="shared" si="44"/>
        <v>8505018</v>
      </c>
      <c r="B2880" s="213" t="s">
        <v>4882</v>
      </c>
      <c r="C2880" s="213" t="s">
        <v>4883</v>
      </c>
    </row>
    <row r="2881" spans="1:3" x14ac:dyDescent="0.25">
      <c r="A2881" s="211">
        <f t="shared" si="44"/>
        <v>8505019</v>
      </c>
      <c r="B2881" s="213" t="s">
        <v>4884</v>
      </c>
      <c r="C2881" s="213" t="s">
        <v>14100</v>
      </c>
    </row>
    <row r="2882" spans="1:3" x14ac:dyDescent="0.25">
      <c r="A2882" s="211">
        <f t="shared" ref="A2882:A2945" si="45">IFERROR(B2882*1,"")</f>
        <v>8505020</v>
      </c>
      <c r="B2882" s="213" t="s">
        <v>4885</v>
      </c>
      <c r="C2882" s="213" t="s">
        <v>4886</v>
      </c>
    </row>
    <row r="2883" spans="1:3" x14ac:dyDescent="0.25">
      <c r="A2883" s="211">
        <f t="shared" si="45"/>
        <v>8505021</v>
      </c>
      <c r="B2883" s="213" t="s">
        <v>4887</v>
      </c>
      <c r="C2883" s="213" t="s">
        <v>4888</v>
      </c>
    </row>
    <row r="2884" spans="1:3" x14ac:dyDescent="0.25">
      <c r="A2884" s="211">
        <f t="shared" si="45"/>
        <v>8505022</v>
      </c>
      <c r="B2884" s="213" t="s">
        <v>4889</v>
      </c>
      <c r="C2884" s="213" t="s">
        <v>4890</v>
      </c>
    </row>
    <row r="2885" spans="1:3" x14ac:dyDescent="0.25">
      <c r="A2885" s="211">
        <f t="shared" si="45"/>
        <v>850502201</v>
      </c>
      <c r="B2885" s="213" t="s">
        <v>4891</v>
      </c>
      <c r="C2885" s="213" t="s">
        <v>4892</v>
      </c>
    </row>
    <row r="2886" spans="1:3" x14ac:dyDescent="0.25">
      <c r="A2886" s="211">
        <f t="shared" si="45"/>
        <v>8505023</v>
      </c>
      <c r="B2886" s="213" t="s">
        <v>4893</v>
      </c>
      <c r="C2886" s="213" t="s">
        <v>4894</v>
      </c>
    </row>
    <row r="2887" spans="1:3" x14ac:dyDescent="0.25">
      <c r="A2887" s="211">
        <f t="shared" si="45"/>
        <v>850502302</v>
      </c>
      <c r="B2887" s="213" t="s">
        <v>4895</v>
      </c>
      <c r="C2887" s="213" t="s">
        <v>4896</v>
      </c>
    </row>
    <row r="2888" spans="1:3" x14ac:dyDescent="0.25">
      <c r="A2888" s="211">
        <f t="shared" si="45"/>
        <v>8505024</v>
      </c>
      <c r="B2888" s="213" t="s">
        <v>4897</v>
      </c>
      <c r="C2888" s="213" t="s">
        <v>4898</v>
      </c>
    </row>
    <row r="2889" spans="1:3" x14ac:dyDescent="0.25">
      <c r="A2889" s="211">
        <f t="shared" si="45"/>
        <v>850502403</v>
      </c>
      <c r="B2889" s="213" t="s">
        <v>4899</v>
      </c>
      <c r="C2889" s="213" t="s">
        <v>4900</v>
      </c>
    </row>
    <row r="2890" spans="1:3" x14ac:dyDescent="0.25">
      <c r="A2890" s="211">
        <f t="shared" si="45"/>
        <v>8505025</v>
      </c>
      <c r="B2890" s="213" t="s">
        <v>4901</v>
      </c>
      <c r="C2890" s="213" t="s">
        <v>4902</v>
      </c>
    </row>
    <row r="2891" spans="1:3" x14ac:dyDescent="0.25">
      <c r="A2891" s="211">
        <f t="shared" si="45"/>
        <v>8505026</v>
      </c>
      <c r="B2891" s="213" t="s">
        <v>4903</v>
      </c>
      <c r="C2891" s="213" t="s">
        <v>4904</v>
      </c>
    </row>
    <row r="2892" spans="1:3" x14ac:dyDescent="0.25">
      <c r="A2892" s="211">
        <f t="shared" si="45"/>
        <v>8505027</v>
      </c>
      <c r="B2892" s="213" t="s">
        <v>4905</v>
      </c>
      <c r="C2892" s="213" t="s">
        <v>4906</v>
      </c>
    </row>
    <row r="2893" spans="1:3" x14ac:dyDescent="0.25">
      <c r="A2893" s="211">
        <f t="shared" si="45"/>
        <v>8505028</v>
      </c>
      <c r="B2893" s="213" t="s">
        <v>4907</v>
      </c>
      <c r="C2893" s="213" t="s">
        <v>4908</v>
      </c>
    </row>
    <row r="2894" spans="1:3" x14ac:dyDescent="0.25">
      <c r="A2894" s="211">
        <f t="shared" si="45"/>
        <v>8505029</v>
      </c>
      <c r="B2894" s="213" t="s">
        <v>4909</v>
      </c>
      <c r="C2894" s="213" t="s">
        <v>4910</v>
      </c>
    </row>
    <row r="2895" spans="1:3" x14ac:dyDescent="0.25">
      <c r="A2895" s="211">
        <f t="shared" si="45"/>
        <v>8505030</v>
      </c>
      <c r="B2895" s="213" t="s">
        <v>4911</v>
      </c>
      <c r="C2895" s="213" t="s">
        <v>4912</v>
      </c>
    </row>
    <row r="2896" spans="1:3" x14ac:dyDescent="0.25">
      <c r="A2896" s="211">
        <f t="shared" si="45"/>
        <v>8505031</v>
      </c>
      <c r="B2896" s="213" t="s">
        <v>4913</v>
      </c>
      <c r="C2896" s="213" t="s">
        <v>4914</v>
      </c>
    </row>
    <row r="2897" spans="1:3" x14ac:dyDescent="0.25">
      <c r="A2897" s="211">
        <f t="shared" si="45"/>
        <v>8505032</v>
      </c>
      <c r="B2897" s="213" t="s">
        <v>4915</v>
      </c>
      <c r="C2897" s="213" t="s">
        <v>4916</v>
      </c>
    </row>
    <row r="2898" spans="1:3" x14ac:dyDescent="0.25">
      <c r="A2898" s="211">
        <f t="shared" si="45"/>
        <v>8505033</v>
      </c>
      <c r="B2898" s="213" t="s">
        <v>4917</v>
      </c>
      <c r="C2898" s="213" t="s">
        <v>4918</v>
      </c>
    </row>
    <row r="2899" spans="1:3" x14ac:dyDescent="0.25">
      <c r="A2899" s="211">
        <f t="shared" si="45"/>
        <v>8505034</v>
      </c>
      <c r="B2899" s="213" t="s">
        <v>14101</v>
      </c>
      <c r="C2899" s="213" t="s">
        <v>14102</v>
      </c>
    </row>
    <row r="2900" spans="1:3" x14ac:dyDescent="0.25">
      <c r="A2900" s="211">
        <f t="shared" si="45"/>
        <v>8505040</v>
      </c>
      <c r="B2900" s="213" t="s">
        <v>7637</v>
      </c>
      <c r="C2900" s="213" t="s">
        <v>7638</v>
      </c>
    </row>
    <row r="2901" spans="1:3" x14ac:dyDescent="0.25">
      <c r="A2901" s="211">
        <f t="shared" si="45"/>
        <v>8505041</v>
      </c>
      <c r="B2901" s="213" t="s">
        <v>7639</v>
      </c>
      <c r="C2901" s="213" t="s">
        <v>7640</v>
      </c>
    </row>
    <row r="2902" spans="1:3" x14ac:dyDescent="0.25">
      <c r="A2902" s="211">
        <f t="shared" si="45"/>
        <v>8505042</v>
      </c>
      <c r="B2902" s="213" t="s">
        <v>7641</v>
      </c>
      <c r="C2902" s="213" t="s">
        <v>7642</v>
      </c>
    </row>
    <row r="2903" spans="1:3" x14ac:dyDescent="0.25">
      <c r="A2903" s="211">
        <f t="shared" si="45"/>
        <v>8505043</v>
      </c>
      <c r="B2903" s="213" t="s">
        <v>7643</v>
      </c>
      <c r="C2903" s="213" t="s">
        <v>7644</v>
      </c>
    </row>
    <row r="2904" spans="1:3" x14ac:dyDescent="0.25">
      <c r="A2904" s="211">
        <f t="shared" si="45"/>
        <v>8505044</v>
      </c>
      <c r="B2904" s="213" t="s">
        <v>7645</v>
      </c>
      <c r="C2904" s="213" t="s">
        <v>7646</v>
      </c>
    </row>
    <row r="2905" spans="1:3" x14ac:dyDescent="0.25">
      <c r="A2905" s="211">
        <f t="shared" si="45"/>
        <v>8505045</v>
      </c>
      <c r="B2905" s="213" t="s">
        <v>7647</v>
      </c>
      <c r="C2905" s="213" t="s">
        <v>7648</v>
      </c>
    </row>
    <row r="2906" spans="1:3" x14ac:dyDescent="0.25">
      <c r="A2906" s="211">
        <f t="shared" si="45"/>
        <v>8505046</v>
      </c>
      <c r="B2906" s="213" t="s">
        <v>7649</v>
      </c>
      <c r="C2906" s="213" t="s">
        <v>7650</v>
      </c>
    </row>
    <row r="2907" spans="1:3" x14ac:dyDescent="0.25">
      <c r="A2907" s="211">
        <f t="shared" si="45"/>
        <v>8505047</v>
      </c>
      <c r="B2907" s="213" t="s">
        <v>7651</v>
      </c>
      <c r="C2907" s="213" t="s">
        <v>7652</v>
      </c>
    </row>
    <row r="2908" spans="1:3" x14ac:dyDescent="0.25">
      <c r="A2908" s="211">
        <f t="shared" si="45"/>
        <v>8505048</v>
      </c>
      <c r="B2908" s="213" t="s">
        <v>7653</v>
      </c>
      <c r="C2908" s="213" t="s">
        <v>7654</v>
      </c>
    </row>
    <row r="2909" spans="1:3" x14ac:dyDescent="0.25">
      <c r="A2909" s="211">
        <f t="shared" si="45"/>
        <v>8505050</v>
      </c>
      <c r="B2909" s="213" t="s">
        <v>14103</v>
      </c>
      <c r="C2909" s="213" t="s">
        <v>14104</v>
      </c>
    </row>
    <row r="2910" spans="1:3" x14ac:dyDescent="0.25">
      <c r="A2910" s="211">
        <f t="shared" si="45"/>
        <v>8505051</v>
      </c>
      <c r="B2910" s="213" t="s">
        <v>14105</v>
      </c>
      <c r="C2910" s="213" t="s">
        <v>14106</v>
      </c>
    </row>
    <row r="2911" spans="1:3" x14ac:dyDescent="0.25">
      <c r="A2911" s="211">
        <f t="shared" si="45"/>
        <v>8505052</v>
      </c>
      <c r="B2911" s="213" t="s">
        <v>14107</v>
      </c>
      <c r="C2911" s="213" t="s">
        <v>14108</v>
      </c>
    </row>
    <row r="2912" spans="1:3" x14ac:dyDescent="0.25">
      <c r="A2912" s="211">
        <f t="shared" si="45"/>
        <v>8505053</v>
      </c>
      <c r="B2912" s="213" t="s">
        <v>14109</v>
      </c>
      <c r="C2912" s="213" t="s">
        <v>14110</v>
      </c>
    </row>
    <row r="2913" spans="1:3" x14ac:dyDescent="0.25">
      <c r="A2913" s="211">
        <f t="shared" si="45"/>
        <v>8505054</v>
      </c>
      <c r="B2913" s="213" t="s">
        <v>14111</v>
      </c>
      <c r="C2913" s="213" t="s">
        <v>14112</v>
      </c>
    </row>
    <row r="2914" spans="1:3" x14ac:dyDescent="0.25">
      <c r="A2914" s="211">
        <f t="shared" si="45"/>
        <v>8505055</v>
      </c>
      <c r="B2914" s="213" t="s">
        <v>14113</v>
      </c>
      <c r="C2914" s="213" t="s">
        <v>14114</v>
      </c>
    </row>
    <row r="2915" spans="1:3" x14ac:dyDescent="0.25">
      <c r="A2915" s="211">
        <f t="shared" si="45"/>
        <v>8505063</v>
      </c>
      <c r="B2915" s="213" t="s">
        <v>4919</v>
      </c>
      <c r="C2915" s="213" t="s">
        <v>4920</v>
      </c>
    </row>
    <row r="2916" spans="1:3" x14ac:dyDescent="0.25">
      <c r="A2916" s="211">
        <f t="shared" si="45"/>
        <v>8505067</v>
      </c>
      <c r="B2916" s="213" t="s">
        <v>7655</v>
      </c>
      <c r="C2916" s="213" t="s">
        <v>7656</v>
      </c>
    </row>
    <row r="2917" spans="1:3" x14ac:dyDescent="0.25">
      <c r="A2917" s="211">
        <f t="shared" si="45"/>
        <v>8505068</v>
      </c>
      <c r="B2917" s="213" t="s">
        <v>4921</v>
      </c>
      <c r="C2917" s="213" t="s">
        <v>4922</v>
      </c>
    </row>
    <row r="2918" spans="1:3" x14ac:dyDescent="0.25">
      <c r="A2918" s="211">
        <f t="shared" si="45"/>
        <v>8505069</v>
      </c>
      <c r="B2918" s="213" t="s">
        <v>4923</v>
      </c>
      <c r="C2918" s="213" t="s">
        <v>4924</v>
      </c>
    </row>
    <row r="2919" spans="1:3" x14ac:dyDescent="0.25">
      <c r="A2919" s="211">
        <f t="shared" si="45"/>
        <v>8505070</v>
      </c>
      <c r="B2919" s="213" t="s">
        <v>4925</v>
      </c>
      <c r="C2919" s="213" t="s">
        <v>4926</v>
      </c>
    </row>
    <row r="2920" spans="1:3" x14ac:dyDescent="0.25">
      <c r="A2920" s="211">
        <f t="shared" si="45"/>
        <v>8505071</v>
      </c>
      <c r="B2920" s="213" t="s">
        <v>4927</v>
      </c>
      <c r="C2920" s="213" t="s">
        <v>4928</v>
      </c>
    </row>
    <row r="2921" spans="1:3" x14ac:dyDescent="0.25">
      <c r="A2921" s="211">
        <f t="shared" si="45"/>
        <v>8505072</v>
      </c>
      <c r="B2921" s="213" t="s">
        <v>4929</v>
      </c>
      <c r="C2921" s="213" t="s">
        <v>4930</v>
      </c>
    </row>
    <row r="2922" spans="1:3" x14ac:dyDescent="0.25">
      <c r="A2922" s="211">
        <f t="shared" si="45"/>
        <v>8505073</v>
      </c>
      <c r="B2922" s="213" t="s">
        <v>4931</v>
      </c>
      <c r="C2922" s="213" t="s">
        <v>4932</v>
      </c>
    </row>
    <row r="2923" spans="1:3" x14ac:dyDescent="0.25">
      <c r="A2923" s="211">
        <f t="shared" si="45"/>
        <v>8505074</v>
      </c>
      <c r="B2923" s="213" t="s">
        <v>4933</v>
      </c>
      <c r="C2923" s="213" t="s">
        <v>4934</v>
      </c>
    </row>
    <row r="2924" spans="1:3" x14ac:dyDescent="0.25">
      <c r="A2924" s="211">
        <f t="shared" si="45"/>
        <v>8505075</v>
      </c>
      <c r="B2924" s="213" t="s">
        <v>4935</v>
      </c>
      <c r="C2924" s="213" t="s">
        <v>4936</v>
      </c>
    </row>
    <row r="2925" spans="1:3" x14ac:dyDescent="0.25">
      <c r="A2925" s="211">
        <f t="shared" si="45"/>
        <v>8505076</v>
      </c>
      <c r="B2925" s="213" t="s">
        <v>4937</v>
      </c>
      <c r="C2925" s="213" t="s">
        <v>4938</v>
      </c>
    </row>
    <row r="2926" spans="1:3" x14ac:dyDescent="0.25">
      <c r="A2926" s="211">
        <f t="shared" si="45"/>
        <v>8505100</v>
      </c>
      <c r="B2926" s="213" t="s">
        <v>4939</v>
      </c>
      <c r="C2926" s="213" t="s">
        <v>4940</v>
      </c>
    </row>
    <row r="2927" spans="1:3" x14ac:dyDescent="0.25">
      <c r="A2927" s="211">
        <f t="shared" si="45"/>
        <v>8505101</v>
      </c>
      <c r="B2927" s="213" t="s">
        <v>4941</v>
      </c>
      <c r="C2927" s="213" t="s">
        <v>4942</v>
      </c>
    </row>
    <row r="2928" spans="1:3" x14ac:dyDescent="0.25">
      <c r="A2928" s="211">
        <f t="shared" si="45"/>
        <v>8505109</v>
      </c>
      <c r="B2928" s="213" t="s">
        <v>4943</v>
      </c>
      <c r="C2928" s="213" t="s">
        <v>4944</v>
      </c>
    </row>
    <row r="2929" spans="1:3" x14ac:dyDescent="0.25">
      <c r="A2929" s="211">
        <f t="shared" si="45"/>
        <v>8505110</v>
      </c>
      <c r="B2929" s="213" t="s">
        <v>4945</v>
      </c>
      <c r="C2929" s="213" t="s">
        <v>4946</v>
      </c>
    </row>
    <row r="2930" spans="1:3" x14ac:dyDescent="0.25">
      <c r="A2930" s="211">
        <f t="shared" si="45"/>
        <v>8505111</v>
      </c>
      <c r="B2930" s="213" t="s">
        <v>4947</v>
      </c>
      <c r="C2930" s="213" t="s">
        <v>4948</v>
      </c>
    </row>
    <row r="2931" spans="1:3" x14ac:dyDescent="0.25">
      <c r="A2931" s="211">
        <f t="shared" si="45"/>
        <v>8505118</v>
      </c>
      <c r="B2931" s="213" t="s">
        <v>4949</v>
      </c>
      <c r="C2931" s="213" t="s">
        <v>4950</v>
      </c>
    </row>
    <row r="2932" spans="1:3" x14ac:dyDescent="0.25">
      <c r="A2932" s="211">
        <f t="shared" si="45"/>
        <v>8505120</v>
      </c>
      <c r="B2932" s="213" t="s">
        <v>4951</v>
      </c>
      <c r="C2932" s="213" t="s">
        <v>4952</v>
      </c>
    </row>
    <row r="2933" spans="1:3" x14ac:dyDescent="0.25">
      <c r="A2933" s="211">
        <f t="shared" si="45"/>
        <v>8505121</v>
      </c>
      <c r="B2933" s="213" t="s">
        <v>4953</v>
      </c>
      <c r="C2933" s="213" t="s">
        <v>4954</v>
      </c>
    </row>
    <row r="2934" spans="1:3" x14ac:dyDescent="0.25">
      <c r="A2934" s="211">
        <f t="shared" si="45"/>
        <v>8505122</v>
      </c>
      <c r="B2934" s="213" t="s">
        <v>4955</v>
      </c>
      <c r="C2934" s="213" t="s">
        <v>4956</v>
      </c>
    </row>
    <row r="2935" spans="1:3" x14ac:dyDescent="0.25">
      <c r="A2935" s="211">
        <f t="shared" si="45"/>
        <v>8505123</v>
      </c>
      <c r="B2935" s="213" t="s">
        <v>4957</v>
      </c>
      <c r="C2935" s="213" t="s">
        <v>4958</v>
      </c>
    </row>
    <row r="2936" spans="1:3" x14ac:dyDescent="0.25">
      <c r="A2936" s="211">
        <f t="shared" si="45"/>
        <v>8505124</v>
      </c>
      <c r="B2936" s="213" t="s">
        <v>4959</v>
      </c>
      <c r="C2936" s="213" t="s">
        <v>4960</v>
      </c>
    </row>
    <row r="2937" spans="1:3" x14ac:dyDescent="0.25">
      <c r="A2937" s="211">
        <f t="shared" si="45"/>
        <v>8505125</v>
      </c>
      <c r="B2937" s="213" t="s">
        <v>4961</v>
      </c>
      <c r="C2937" s="213" t="s">
        <v>4962</v>
      </c>
    </row>
    <row r="2938" spans="1:3" x14ac:dyDescent="0.25">
      <c r="A2938" s="211">
        <f t="shared" si="45"/>
        <v>8505126</v>
      </c>
      <c r="B2938" s="213" t="s">
        <v>4963</v>
      </c>
      <c r="C2938" s="213" t="s">
        <v>4964</v>
      </c>
    </row>
    <row r="2939" spans="1:3" x14ac:dyDescent="0.25">
      <c r="A2939" s="211">
        <f t="shared" si="45"/>
        <v>8505127</v>
      </c>
      <c r="B2939" s="213" t="s">
        <v>4965</v>
      </c>
      <c r="C2939" s="213" t="s">
        <v>4966</v>
      </c>
    </row>
    <row r="2940" spans="1:3" x14ac:dyDescent="0.25">
      <c r="A2940" s="211">
        <f t="shared" si="45"/>
        <v>8505128</v>
      </c>
      <c r="B2940" s="213" t="s">
        <v>4967</v>
      </c>
      <c r="C2940" s="213" t="s">
        <v>4968</v>
      </c>
    </row>
    <row r="2941" spans="1:3" x14ac:dyDescent="0.25">
      <c r="A2941" s="211">
        <f t="shared" si="45"/>
        <v>8505129</v>
      </c>
      <c r="B2941" s="213" t="s">
        <v>4969</v>
      </c>
      <c r="C2941" s="213" t="s">
        <v>4970</v>
      </c>
    </row>
    <row r="2942" spans="1:3" x14ac:dyDescent="0.25">
      <c r="A2942" s="211">
        <f t="shared" si="45"/>
        <v>8505130</v>
      </c>
      <c r="B2942" s="213" t="s">
        <v>4971</v>
      </c>
      <c r="C2942" s="213" t="s">
        <v>4972</v>
      </c>
    </row>
    <row r="2943" spans="1:3" x14ac:dyDescent="0.25">
      <c r="A2943" s="211">
        <f t="shared" si="45"/>
        <v>8505131</v>
      </c>
      <c r="B2943" s="213" t="s">
        <v>4973</v>
      </c>
      <c r="C2943" s="213" t="s">
        <v>4974</v>
      </c>
    </row>
    <row r="2944" spans="1:3" x14ac:dyDescent="0.25">
      <c r="A2944" s="211">
        <f t="shared" si="45"/>
        <v>8505132</v>
      </c>
      <c r="B2944" s="213" t="s">
        <v>4975</v>
      </c>
      <c r="C2944" s="213" t="s">
        <v>4976</v>
      </c>
    </row>
    <row r="2945" spans="1:3" x14ac:dyDescent="0.25">
      <c r="A2945" s="211">
        <f t="shared" si="45"/>
        <v>8505133</v>
      </c>
      <c r="B2945" s="213" t="s">
        <v>4977</v>
      </c>
      <c r="C2945" s="213" t="s">
        <v>4978</v>
      </c>
    </row>
    <row r="2946" spans="1:3" x14ac:dyDescent="0.25">
      <c r="A2946" s="211">
        <f t="shared" ref="A2946:A3009" si="46">IFERROR(B2946*1,"")</f>
        <v>8505134</v>
      </c>
      <c r="B2946" s="213" t="s">
        <v>4979</v>
      </c>
      <c r="C2946" s="213" t="s">
        <v>4980</v>
      </c>
    </row>
    <row r="2947" spans="1:3" x14ac:dyDescent="0.25">
      <c r="A2947" s="211">
        <f t="shared" si="46"/>
        <v>8505135</v>
      </c>
      <c r="B2947" s="213" t="s">
        <v>4981</v>
      </c>
      <c r="C2947" s="213" t="s">
        <v>4982</v>
      </c>
    </row>
    <row r="2948" spans="1:3" x14ac:dyDescent="0.25">
      <c r="A2948" s="211">
        <f t="shared" si="46"/>
        <v>8505136</v>
      </c>
      <c r="B2948" s="213" t="s">
        <v>4983</v>
      </c>
      <c r="C2948" s="213" t="s">
        <v>4984</v>
      </c>
    </row>
    <row r="2949" spans="1:3" x14ac:dyDescent="0.25">
      <c r="A2949" s="211">
        <f t="shared" si="46"/>
        <v>8505137</v>
      </c>
      <c r="B2949" s="213" t="s">
        <v>4985</v>
      </c>
      <c r="C2949" s="213" t="s">
        <v>4986</v>
      </c>
    </row>
    <row r="2950" spans="1:3" x14ac:dyDescent="0.25">
      <c r="A2950" s="211">
        <f t="shared" si="46"/>
        <v>8505138</v>
      </c>
      <c r="B2950" s="213" t="s">
        <v>4987</v>
      </c>
      <c r="C2950" s="213" t="s">
        <v>4988</v>
      </c>
    </row>
    <row r="2951" spans="1:3" x14ac:dyDescent="0.25">
      <c r="A2951" s="211">
        <f t="shared" si="46"/>
        <v>8505139</v>
      </c>
      <c r="B2951" s="213" t="s">
        <v>4989</v>
      </c>
      <c r="C2951" s="213" t="s">
        <v>4990</v>
      </c>
    </row>
    <row r="2952" spans="1:3" x14ac:dyDescent="0.25">
      <c r="A2952" s="211">
        <f t="shared" si="46"/>
        <v>8505140</v>
      </c>
      <c r="B2952" s="213" t="s">
        <v>4991</v>
      </c>
      <c r="C2952" s="213" t="s">
        <v>4992</v>
      </c>
    </row>
    <row r="2953" spans="1:3" x14ac:dyDescent="0.25">
      <c r="A2953" s="211">
        <f t="shared" si="46"/>
        <v>8505141</v>
      </c>
      <c r="B2953" s="213" t="s">
        <v>4993</v>
      </c>
      <c r="C2953" s="213" t="s">
        <v>4994</v>
      </c>
    </row>
    <row r="2954" spans="1:3" x14ac:dyDescent="0.25">
      <c r="A2954" s="211">
        <f t="shared" si="46"/>
        <v>8505142</v>
      </c>
      <c r="B2954" s="213" t="s">
        <v>4995</v>
      </c>
      <c r="C2954" s="213" t="s">
        <v>4996</v>
      </c>
    </row>
    <row r="2955" spans="1:3" x14ac:dyDescent="0.25">
      <c r="A2955" s="211">
        <f t="shared" si="46"/>
        <v>8505149</v>
      </c>
      <c r="B2955" s="213" t="s">
        <v>4997</v>
      </c>
      <c r="C2955" s="213" t="s">
        <v>4998</v>
      </c>
    </row>
    <row r="2956" spans="1:3" x14ac:dyDescent="0.25">
      <c r="A2956" s="211">
        <f t="shared" si="46"/>
        <v>8505150</v>
      </c>
      <c r="B2956" s="213" t="s">
        <v>4999</v>
      </c>
      <c r="C2956" s="213" t="s">
        <v>7657</v>
      </c>
    </row>
    <row r="2957" spans="1:3" x14ac:dyDescent="0.25">
      <c r="A2957" s="211">
        <f t="shared" si="46"/>
        <v>8505151</v>
      </c>
      <c r="B2957" s="213" t="s">
        <v>5000</v>
      </c>
      <c r="C2957" s="213" t="s">
        <v>5001</v>
      </c>
    </row>
    <row r="2958" spans="1:3" x14ac:dyDescent="0.25">
      <c r="A2958" s="211">
        <f t="shared" si="46"/>
        <v>8505153</v>
      </c>
      <c r="B2958" s="213" t="s">
        <v>5002</v>
      </c>
      <c r="C2958" s="213" t="s">
        <v>5003</v>
      </c>
    </row>
    <row r="2959" spans="1:3" x14ac:dyDescent="0.25">
      <c r="A2959" s="211">
        <f t="shared" si="46"/>
        <v>8505154</v>
      </c>
      <c r="B2959" s="213" t="s">
        <v>5004</v>
      </c>
      <c r="C2959" s="213" t="s">
        <v>5005</v>
      </c>
    </row>
    <row r="2960" spans="1:3" x14ac:dyDescent="0.25">
      <c r="A2960" s="211">
        <f t="shared" si="46"/>
        <v>8505155</v>
      </c>
      <c r="B2960" s="213" t="s">
        <v>5006</v>
      </c>
      <c r="C2960" s="213" t="s">
        <v>5007</v>
      </c>
    </row>
    <row r="2961" spans="1:3" x14ac:dyDescent="0.25">
      <c r="A2961" s="211">
        <f t="shared" si="46"/>
        <v>8505156</v>
      </c>
      <c r="B2961" s="213" t="s">
        <v>5008</v>
      </c>
      <c r="C2961" s="213" t="s">
        <v>5009</v>
      </c>
    </row>
    <row r="2962" spans="1:3" x14ac:dyDescent="0.25">
      <c r="A2962" s="211">
        <f t="shared" si="46"/>
        <v>8505157</v>
      </c>
      <c r="B2962" s="213" t="s">
        <v>5010</v>
      </c>
      <c r="C2962" s="213" t="s">
        <v>5011</v>
      </c>
    </row>
    <row r="2963" spans="1:3" x14ac:dyDescent="0.25">
      <c r="A2963" s="211">
        <f t="shared" si="46"/>
        <v>8505158</v>
      </c>
      <c r="B2963" s="213" t="s">
        <v>5012</v>
      </c>
      <c r="C2963" s="213" t="s">
        <v>5013</v>
      </c>
    </row>
    <row r="2964" spans="1:3" x14ac:dyDescent="0.25">
      <c r="A2964" s="211">
        <f t="shared" si="46"/>
        <v>8505159</v>
      </c>
      <c r="B2964" s="213" t="s">
        <v>5014</v>
      </c>
      <c r="C2964" s="213" t="s">
        <v>5015</v>
      </c>
    </row>
    <row r="2965" spans="1:3" x14ac:dyDescent="0.25">
      <c r="A2965" s="211">
        <f t="shared" si="46"/>
        <v>8505160</v>
      </c>
      <c r="B2965" s="213" t="s">
        <v>5016</v>
      </c>
      <c r="C2965" s="213" t="s">
        <v>5017</v>
      </c>
    </row>
    <row r="2966" spans="1:3" x14ac:dyDescent="0.25">
      <c r="A2966" s="211">
        <f t="shared" si="46"/>
        <v>8505161</v>
      </c>
      <c r="B2966" s="213" t="s">
        <v>5018</v>
      </c>
      <c r="C2966" s="213" t="s">
        <v>5019</v>
      </c>
    </row>
    <row r="2967" spans="1:3" x14ac:dyDescent="0.25">
      <c r="A2967" s="211">
        <f t="shared" si="46"/>
        <v>8505162</v>
      </c>
      <c r="B2967" s="213" t="s">
        <v>5020</v>
      </c>
      <c r="C2967" s="213" t="s">
        <v>5021</v>
      </c>
    </row>
    <row r="2968" spans="1:3" x14ac:dyDescent="0.25">
      <c r="A2968" s="211">
        <f t="shared" si="46"/>
        <v>8505163</v>
      </c>
      <c r="B2968" s="213" t="s">
        <v>5022</v>
      </c>
      <c r="C2968" s="213" t="s">
        <v>5023</v>
      </c>
    </row>
    <row r="2969" spans="1:3" x14ac:dyDescent="0.25">
      <c r="A2969" s="211">
        <f t="shared" si="46"/>
        <v>8505164</v>
      </c>
      <c r="B2969" s="213" t="s">
        <v>5024</v>
      </c>
      <c r="C2969" s="213" t="s">
        <v>5025</v>
      </c>
    </row>
    <row r="2970" spans="1:3" x14ac:dyDescent="0.25">
      <c r="A2970" s="211">
        <f t="shared" si="46"/>
        <v>8505165</v>
      </c>
      <c r="B2970" s="213" t="s">
        <v>5026</v>
      </c>
      <c r="C2970" s="213" t="s">
        <v>5027</v>
      </c>
    </row>
    <row r="2971" spans="1:3" x14ac:dyDescent="0.25">
      <c r="A2971" s="211">
        <f t="shared" si="46"/>
        <v>8505166</v>
      </c>
      <c r="B2971" s="213" t="s">
        <v>5028</v>
      </c>
      <c r="C2971" s="213" t="s">
        <v>5029</v>
      </c>
    </row>
    <row r="2972" spans="1:3" x14ac:dyDescent="0.25">
      <c r="A2972" s="211">
        <f t="shared" si="46"/>
        <v>8505167</v>
      </c>
      <c r="B2972" s="213" t="s">
        <v>5030</v>
      </c>
      <c r="C2972" s="213" t="s">
        <v>5031</v>
      </c>
    </row>
    <row r="2973" spans="1:3" x14ac:dyDescent="0.25">
      <c r="A2973" s="211">
        <f t="shared" si="46"/>
        <v>8505168</v>
      </c>
      <c r="B2973" s="213" t="s">
        <v>5032</v>
      </c>
      <c r="C2973" s="213" t="s">
        <v>5033</v>
      </c>
    </row>
    <row r="2974" spans="1:3" x14ac:dyDescent="0.25">
      <c r="A2974" s="211">
        <f t="shared" si="46"/>
        <v>8505169</v>
      </c>
      <c r="B2974" s="213" t="s">
        <v>5034</v>
      </c>
      <c r="C2974" s="213" t="s">
        <v>5035</v>
      </c>
    </row>
    <row r="2975" spans="1:3" x14ac:dyDescent="0.25">
      <c r="A2975" s="211">
        <f t="shared" si="46"/>
        <v>8505170</v>
      </c>
      <c r="B2975" s="213" t="s">
        <v>5036</v>
      </c>
      <c r="C2975" s="213" t="s">
        <v>5037</v>
      </c>
    </row>
    <row r="2976" spans="1:3" x14ac:dyDescent="0.25">
      <c r="A2976" s="211">
        <f t="shared" si="46"/>
        <v>8505171</v>
      </c>
      <c r="B2976" s="213" t="s">
        <v>5038</v>
      </c>
      <c r="C2976" s="213" t="s">
        <v>5039</v>
      </c>
    </row>
    <row r="2977" spans="1:3" x14ac:dyDescent="0.25">
      <c r="A2977" s="211">
        <f t="shared" si="46"/>
        <v>8505172</v>
      </c>
      <c r="B2977" s="213" t="s">
        <v>5040</v>
      </c>
      <c r="C2977" s="213" t="s">
        <v>5041</v>
      </c>
    </row>
    <row r="2978" spans="1:3" x14ac:dyDescent="0.25">
      <c r="A2978" s="211">
        <f t="shared" si="46"/>
        <v>8505173</v>
      </c>
      <c r="B2978" s="213" t="s">
        <v>5042</v>
      </c>
      <c r="C2978" s="213" t="s">
        <v>5043</v>
      </c>
    </row>
    <row r="2979" spans="1:3" x14ac:dyDescent="0.25">
      <c r="A2979" s="211">
        <f t="shared" si="46"/>
        <v>8505174</v>
      </c>
      <c r="B2979" s="213" t="s">
        <v>13565</v>
      </c>
      <c r="C2979" s="213" t="s">
        <v>13566</v>
      </c>
    </row>
    <row r="2980" spans="1:3" x14ac:dyDescent="0.25">
      <c r="A2980" s="211">
        <f t="shared" si="46"/>
        <v>8505175</v>
      </c>
      <c r="B2980" s="213" t="s">
        <v>5044</v>
      </c>
      <c r="C2980" s="213" t="s">
        <v>5045</v>
      </c>
    </row>
    <row r="2981" spans="1:3" x14ac:dyDescent="0.25">
      <c r="A2981" s="211">
        <f t="shared" si="46"/>
        <v>8505176</v>
      </c>
      <c r="B2981" s="213" t="s">
        <v>5046</v>
      </c>
      <c r="C2981" s="213" t="s">
        <v>5047</v>
      </c>
    </row>
    <row r="2982" spans="1:3" x14ac:dyDescent="0.25">
      <c r="A2982" s="211">
        <f t="shared" si="46"/>
        <v>8505177</v>
      </c>
      <c r="B2982" s="213" t="s">
        <v>5048</v>
      </c>
      <c r="C2982" s="213" t="s">
        <v>5049</v>
      </c>
    </row>
    <row r="2983" spans="1:3" x14ac:dyDescent="0.25">
      <c r="A2983" s="211">
        <f t="shared" si="46"/>
        <v>8505178</v>
      </c>
      <c r="B2983" s="213" t="s">
        <v>5050</v>
      </c>
      <c r="C2983" s="213" t="s">
        <v>5051</v>
      </c>
    </row>
    <row r="2984" spans="1:3" x14ac:dyDescent="0.25">
      <c r="A2984" s="211">
        <f t="shared" si="46"/>
        <v>8505196</v>
      </c>
      <c r="B2984" s="213" t="s">
        <v>5052</v>
      </c>
      <c r="C2984" s="213" t="s">
        <v>5053</v>
      </c>
    </row>
    <row r="2985" spans="1:3" x14ac:dyDescent="0.25">
      <c r="A2985" s="211">
        <f t="shared" si="46"/>
        <v>8505200</v>
      </c>
      <c r="B2985" s="213" t="s">
        <v>5054</v>
      </c>
      <c r="C2985" s="213" t="s">
        <v>5055</v>
      </c>
    </row>
    <row r="2986" spans="1:3" x14ac:dyDescent="0.25">
      <c r="A2986" s="211">
        <f t="shared" si="46"/>
        <v>8505201</v>
      </c>
      <c r="B2986" s="213" t="s">
        <v>5056</v>
      </c>
      <c r="C2986" s="213" t="s">
        <v>5057</v>
      </c>
    </row>
    <row r="2987" spans="1:3" x14ac:dyDescent="0.25">
      <c r="A2987" s="211">
        <f t="shared" si="46"/>
        <v>8505202</v>
      </c>
      <c r="B2987" s="213" t="s">
        <v>5058</v>
      </c>
      <c r="C2987" s="213" t="s">
        <v>5059</v>
      </c>
    </row>
    <row r="2988" spans="1:3" x14ac:dyDescent="0.25">
      <c r="A2988" s="211">
        <f t="shared" si="46"/>
        <v>8505203</v>
      </c>
      <c r="B2988" s="213" t="s">
        <v>5060</v>
      </c>
      <c r="C2988" s="213" t="s">
        <v>5061</v>
      </c>
    </row>
    <row r="2989" spans="1:3" x14ac:dyDescent="0.25">
      <c r="A2989" s="211">
        <f t="shared" si="46"/>
        <v>8505204</v>
      </c>
      <c r="B2989" s="213" t="s">
        <v>5062</v>
      </c>
      <c r="C2989" s="213" t="s">
        <v>5063</v>
      </c>
    </row>
    <row r="2990" spans="1:3" x14ac:dyDescent="0.25">
      <c r="A2990" s="211">
        <f t="shared" si="46"/>
        <v>8505205</v>
      </c>
      <c r="B2990" s="213" t="s">
        <v>5064</v>
      </c>
      <c r="C2990" s="213" t="s">
        <v>5065</v>
      </c>
    </row>
    <row r="2991" spans="1:3" x14ac:dyDescent="0.25">
      <c r="A2991" s="211">
        <f t="shared" si="46"/>
        <v>8505206</v>
      </c>
      <c r="B2991" s="213" t="s">
        <v>5066</v>
      </c>
      <c r="C2991" s="213" t="s">
        <v>5067</v>
      </c>
    </row>
    <row r="2992" spans="1:3" x14ac:dyDescent="0.25">
      <c r="A2992" s="211">
        <f t="shared" si="46"/>
        <v>8505207</v>
      </c>
      <c r="B2992" s="213" t="s">
        <v>5068</v>
      </c>
      <c r="C2992" s="213" t="s">
        <v>5069</v>
      </c>
    </row>
    <row r="2993" spans="1:3" x14ac:dyDescent="0.25">
      <c r="A2993" s="211">
        <f t="shared" si="46"/>
        <v>8505208</v>
      </c>
      <c r="B2993" s="213" t="s">
        <v>5070</v>
      </c>
      <c r="C2993" s="213" t="s">
        <v>5071</v>
      </c>
    </row>
    <row r="2994" spans="1:3" x14ac:dyDescent="0.25">
      <c r="A2994" s="211">
        <f t="shared" si="46"/>
        <v>8505209</v>
      </c>
      <c r="B2994" s="213" t="s">
        <v>5072</v>
      </c>
      <c r="C2994" s="213" t="s">
        <v>5073</v>
      </c>
    </row>
    <row r="2995" spans="1:3" x14ac:dyDescent="0.25">
      <c r="A2995" s="211">
        <f t="shared" si="46"/>
        <v>8505210</v>
      </c>
      <c r="B2995" s="213" t="s">
        <v>5074</v>
      </c>
      <c r="C2995" s="213" t="s">
        <v>5075</v>
      </c>
    </row>
    <row r="2996" spans="1:3" x14ac:dyDescent="0.25">
      <c r="A2996" s="211">
        <f t="shared" si="46"/>
        <v>8505211</v>
      </c>
      <c r="B2996" s="213" t="s">
        <v>5076</v>
      </c>
      <c r="C2996" s="213" t="s">
        <v>5077</v>
      </c>
    </row>
    <row r="2997" spans="1:3" x14ac:dyDescent="0.25">
      <c r="A2997" s="211">
        <f t="shared" si="46"/>
        <v>8505215</v>
      </c>
      <c r="B2997" s="213" t="s">
        <v>5078</v>
      </c>
      <c r="C2997" s="213" t="s">
        <v>5079</v>
      </c>
    </row>
    <row r="2998" spans="1:3" x14ac:dyDescent="0.25">
      <c r="A2998" s="211">
        <f t="shared" si="46"/>
        <v>8505216</v>
      </c>
      <c r="B2998" s="213" t="s">
        <v>5080</v>
      </c>
      <c r="C2998" s="213" t="s">
        <v>5081</v>
      </c>
    </row>
    <row r="2999" spans="1:3" x14ac:dyDescent="0.25">
      <c r="A2999" s="211">
        <f t="shared" si="46"/>
        <v>8505217</v>
      </c>
      <c r="B2999" s="213" t="s">
        <v>5082</v>
      </c>
      <c r="C2999" s="213" t="s">
        <v>5083</v>
      </c>
    </row>
    <row r="3000" spans="1:3" x14ac:dyDescent="0.25">
      <c r="A3000" s="211">
        <f t="shared" si="46"/>
        <v>8505219</v>
      </c>
      <c r="B3000" s="213" t="s">
        <v>5084</v>
      </c>
      <c r="C3000" s="213" t="s">
        <v>5085</v>
      </c>
    </row>
    <row r="3001" spans="1:3" x14ac:dyDescent="0.25">
      <c r="A3001" s="211">
        <f t="shared" si="46"/>
        <v>8505220</v>
      </c>
      <c r="B3001" s="213" t="s">
        <v>5086</v>
      </c>
      <c r="C3001" s="213" t="s">
        <v>5087</v>
      </c>
    </row>
    <row r="3002" spans="1:3" x14ac:dyDescent="0.25">
      <c r="A3002" s="211">
        <f t="shared" si="46"/>
        <v>8505221</v>
      </c>
      <c r="B3002" s="213" t="s">
        <v>5088</v>
      </c>
      <c r="C3002" s="213" t="s">
        <v>5089</v>
      </c>
    </row>
    <row r="3003" spans="1:3" x14ac:dyDescent="0.25">
      <c r="A3003" s="211">
        <f t="shared" si="46"/>
        <v>8505223</v>
      </c>
      <c r="B3003" s="213" t="s">
        <v>5090</v>
      </c>
      <c r="C3003" s="213" t="s">
        <v>5091</v>
      </c>
    </row>
    <row r="3004" spans="1:3" x14ac:dyDescent="0.25">
      <c r="A3004" s="211">
        <f t="shared" si="46"/>
        <v>8505224</v>
      </c>
      <c r="B3004" s="213" t="s">
        <v>5092</v>
      </c>
      <c r="C3004" s="213" t="s">
        <v>5093</v>
      </c>
    </row>
    <row r="3005" spans="1:3" x14ac:dyDescent="0.25">
      <c r="A3005" s="211">
        <f t="shared" si="46"/>
        <v>8505225</v>
      </c>
      <c r="B3005" s="213" t="s">
        <v>5094</v>
      </c>
      <c r="C3005" s="213" t="s">
        <v>5095</v>
      </c>
    </row>
    <row r="3006" spans="1:3" x14ac:dyDescent="0.25">
      <c r="A3006" s="211">
        <f t="shared" si="46"/>
        <v>8505233</v>
      </c>
      <c r="B3006" s="213" t="s">
        <v>5096</v>
      </c>
      <c r="C3006" s="213" t="s">
        <v>5097</v>
      </c>
    </row>
    <row r="3007" spans="1:3" x14ac:dyDescent="0.25">
      <c r="A3007" s="211">
        <f t="shared" si="46"/>
        <v>8505243</v>
      </c>
      <c r="B3007" s="213" t="s">
        <v>5098</v>
      </c>
      <c r="C3007" s="213" t="s">
        <v>5099</v>
      </c>
    </row>
    <row r="3008" spans="1:3" x14ac:dyDescent="0.25">
      <c r="A3008" s="211">
        <f t="shared" si="46"/>
        <v>8505250</v>
      </c>
      <c r="B3008" s="213" t="s">
        <v>5100</v>
      </c>
      <c r="C3008" s="213" t="s">
        <v>5101</v>
      </c>
    </row>
    <row r="3009" spans="1:3" x14ac:dyDescent="0.25">
      <c r="A3009" s="211">
        <f t="shared" si="46"/>
        <v>8505262</v>
      </c>
      <c r="B3009" s="213" t="s">
        <v>5102</v>
      </c>
      <c r="C3009" s="213" t="s">
        <v>5103</v>
      </c>
    </row>
    <row r="3010" spans="1:3" x14ac:dyDescent="0.25">
      <c r="A3010" s="211">
        <f t="shared" ref="A3010:A3073" si="47">IFERROR(B3010*1,"")</f>
        <v>8505263</v>
      </c>
      <c r="B3010" s="213" t="s">
        <v>5104</v>
      </c>
      <c r="C3010" s="213" t="s">
        <v>5105</v>
      </c>
    </row>
    <row r="3011" spans="1:3" x14ac:dyDescent="0.25">
      <c r="A3011" s="211">
        <f t="shared" si="47"/>
        <v>8505264</v>
      </c>
      <c r="B3011" s="213" t="s">
        <v>5106</v>
      </c>
      <c r="C3011" s="213" t="s">
        <v>5107</v>
      </c>
    </row>
    <row r="3012" spans="1:3" x14ac:dyDescent="0.25">
      <c r="A3012" s="211" t="str">
        <f t="shared" si="47"/>
        <v/>
      </c>
      <c r="B3012" s="213" t="s">
        <v>13836</v>
      </c>
      <c r="C3012" s="212"/>
    </row>
    <row r="3013" spans="1:3" x14ac:dyDescent="0.25">
      <c r="A3013" s="211">
        <f t="shared" si="47"/>
        <v>8505290</v>
      </c>
      <c r="B3013" s="213" t="s">
        <v>5108</v>
      </c>
      <c r="C3013" s="213" t="s">
        <v>5109</v>
      </c>
    </row>
    <row r="3014" spans="1:3" x14ac:dyDescent="0.25">
      <c r="A3014" s="211">
        <f t="shared" si="47"/>
        <v>8505291</v>
      </c>
      <c r="B3014" s="213" t="s">
        <v>5110</v>
      </c>
      <c r="C3014" s="213" t="s">
        <v>5111</v>
      </c>
    </row>
    <row r="3015" spans="1:3" x14ac:dyDescent="0.25">
      <c r="A3015" s="211">
        <f t="shared" si="47"/>
        <v>8505320</v>
      </c>
      <c r="B3015" s="213" t="s">
        <v>5112</v>
      </c>
      <c r="C3015" s="213" t="s">
        <v>5113</v>
      </c>
    </row>
    <row r="3016" spans="1:3" x14ac:dyDescent="0.25">
      <c r="A3016" s="211">
        <f t="shared" si="47"/>
        <v>8505322</v>
      </c>
      <c r="B3016" s="213" t="s">
        <v>5114</v>
      </c>
      <c r="C3016" s="213" t="s">
        <v>5115</v>
      </c>
    </row>
    <row r="3017" spans="1:3" x14ac:dyDescent="0.25">
      <c r="A3017" s="211">
        <f t="shared" si="47"/>
        <v>8505324</v>
      </c>
      <c r="B3017" s="213" t="s">
        <v>5116</v>
      </c>
      <c r="C3017" s="213" t="s">
        <v>5117</v>
      </c>
    </row>
    <row r="3018" spans="1:3" x14ac:dyDescent="0.25">
      <c r="A3018" s="211">
        <f t="shared" si="47"/>
        <v>8505329</v>
      </c>
      <c r="B3018" s="213" t="s">
        <v>5118</v>
      </c>
      <c r="C3018" s="213" t="s">
        <v>5119</v>
      </c>
    </row>
    <row r="3019" spans="1:3" x14ac:dyDescent="0.25">
      <c r="A3019" s="211">
        <f t="shared" si="47"/>
        <v>8505330</v>
      </c>
      <c r="B3019" s="213" t="s">
        <v>5120</v>
      </c>
      <c r="C3019" s="213" t="s">
        <v>5121</v>
      </c>
    </row>
    <row r="3020" spans="1:3" x14ac:dyDescent="0.25">
      <c r="A3020" s="211">
        <f t="shared" si="47"/>
        <v>8505331</v>
      </c>
      <c r="B3020" s="213" t="s">
        <v>5122</v>
      </c>
      <c r="C3020" s="213" t="s">
        <v>5123</v>
      </c>
    </row>
    <row r="3021" spans="1:3" x14ac:dyDescent="0.25">
      <c r="A3021" s="211">
        <f t="shared" si="47"/>
        <v>8505367</v>
      </c>
      <c r="B3021" s="213" t="s">
        <v>5124</v>
      </c>
      <c r="C3021" s="213" t="s">
        <v>5125</v>
      </c>
    </row>
    <row r="3022" spans="1:3" x14ac:dyDescent="0.25">
      <c r="A3022" s="211">
        <f t="shared" si="47"/>
        <v>8505401</v>
      </c>
      <c r="B3022" s="213" t="s">
        <v>13567</v>
      </c>
      <c r="C3022" s="213" t="s">
        <v>13568</v>
      </c>
    </row>
    <row r="3023" spans="1:3" x14ac:dyDescent="0.25">
      <c r="A3023" s="211">
        <f t="shared" si="47"/>
        <v>8505402</v>
      </c>
      <c r="B3023" s="213" t="s">
        <v>13569</v>
      </c>
      <c r="C3023" s="213" t="s">
        <v>13570</v>
      </c>
    </row>
    <row r="3024" spans="1:3" x14ac:dyDescent="0.25">
      <c r="A3024" s="211">
        <f t="shared" si="47"/>
        <v>8505403</v>
      </c>
      <c r="B3024" s="213" t="s">
        <v>13571</v>
      </c>
      <c r="C3024" s="213" t="s">
        <v>13572</v>
      </c>
    </row>
    <row r="3025" spans="1:3" x14ac:dyDescent="0.25">
      <c r="A3025" s="211">
        <f t="shared" si="47"/>
        <v>8505404</v>
      </c>
      <c r="B3025" s="213" t="s">
        <v>13573</v>
      </c>
      <c r="C3025" s="213" t="s">
        <v>13574</v>
      </c>
    </row>
    <row r="3026" spans="1:3" x14ac:dyDescent="0.25">
      <c r="A3026" s="211">
        <f t="shared" si="47"/>
        <v>8505405</v>
      </c>
      <c r="B3026" s="213" t="s">
        <v>13575</v>
      </c>
      <c r="C3026" s="213" t="s">
        <v>13576</v>
      </c>
    </row>
    <row r="3027" spans="1:3" x14ac:dyDescent="0.25">
      <c r="A3027" s="211">
        <f t="shared" si="47"/>
        <v>8505406</v>
      </c>
      <c r="B3027" s="213" t="s">
        <v>13577</v>
      </c>
      <c r="C3027" s="213" t="s">
        <v>13578</v>
      </c>
    </row>
    <row r="3028" spans="1:3" x14ac:dyDescent="0.25">
      <c r="A3028" s="211">
        <f t="shared" si="47"/>
        <v>8505590</v>
      </c>
      <c r="B3028" s="213" t="s">
        <v>13837</v>
      </c>
      <c r="C3028" s="213" t="s">
        <v>13838</v>
      </c>
    </row>
    <row r="3029" spans="1:3" x14ac:dyDescent="0.25">
      <c r="A3029" s="211">
        <f t="shared" si="47"/>
        <v>8505600</v>
      </c>
      <c r="B3029" s="213" t="s">
        <v>5126</v>
      </c>
      <c r="C3029" s="213" t="s">
        <v>5127</v>
      </c>
    </row>
    <row r="3030" spans="1:3" x14ac:dyDescent="0.25">
      <c r="A3030" s="211">
        <f t="shared" si="47"/>
        <v>8505601</v>
      </c>
      <c r="B3030" s="213" t="s">
        <v>5128</v>
      </c>
      <c r="C3030" s="213" t="s">
        <v>5129</v>
      </c>
    </row>
    <row r="3031" spans="1:3" x14ac:dyDescent="0.25">
      <c r="A3031" s="211">
        <f t="shared" si="47"/>
        <v>8505602</v>
      </c>
      <c r="B3031" s="213" t="s">
        <v>5130</v>
      </c>
      <c r="C3031" s="213" t="s">
        <v>5131</v>
      </c>
    </row>
    <row r="3032" spans="1:3" x14ac:dyDescent="0.25">
      <c r="A3032" s="211">
        <f t="shared" si="47"/>
        <v>8505603</v>
      </c>
      <c r="B3032" s="213" t="s">
        <v>5132</v>
      </c>
      <c r="C3032" s="213" t="s">
        <v>5133</v>
      </c>
    </row>
    <row r="3033" spans="1:3" x14ac:dyDescent="0.25">
      <c r="A3033" s="211">
        <f t="shared" si="47"/>
        <v>8505604</v>
      </c>
      <c r="B3033" s="213" t="s">
        <v>5134</v>
      </c>
      <c r="C3033" s="213" t="s">
        <v>5135</v>
      </c>
    </row>
    <row r="3034" spans="1:3" x14ac:dyDescent="0.25">
      <c r="A3034" s="211">
        <f t="shared" si="47"/>
        <v>8505605</v>
      </c>
      <c r="B3034" s="213" t="s">
        <v>5136</v>
      </c>
      <c r="C3034" s="213" t="s">
        <v>5137</v>
      </c>
    </row>
    <row r="3035" spans="1:3" x14ac:dyDescent="0.25">
      <c r="A3035" s="211">
        <f t="shared" si="47"/>
        <v>8505606</v>
      </c>
      <c r="B3035" s="213" t="s">
        <v>5138</v>
      </c>
      <c r="C3035" s="213" t="s">
        <v>5139</v>
      </c>
    </row>
    <row r="3036" spans="1:3" x14ac:dyDescent="0.25">
      <c r="A3036" s="211">
        <f t="shared" si="47"/>
        <v>8505607</v>
      </c>
      <c r="B3036" s="213" t="s">
        <v>5140</v>
      </c>
      <c r="C3036" s="213" t="s">
        <v>5141</v>
      </c>
    </row>
    <row r="3037" spans="1:3" x14ac:dyDescent="0.25">
      <c r="A3037" s="211">
        <f t="shared" si="47"/>
        <v>8505650</v>
      </c>
      <c r="B3037" s="213" t="s">
        <v>7658</v>
      </c>
      <c r="C3037" s="213" t="s">
        <v>7659</v>
      </c>
    </row>
    <row r="3038" spans="1:3" x14ac:dyDescent="0.25">
      <c r="A3038" s="211">
        <f t="shared" si="47"/>
        <v>8505688</v>
      </c>
      <c r="B3038" s="213" t="s">
        <v>5142</v>
      </c>
      <c r="C3038" s="213" t="s">
        <v>5143</v>
      </c>
    </row>
    <row r="3039" spans="1:3" x14ac:dyDescent="0.25">
      <c r="A3039" s="211">
        <f t="shared" si="47"/>
        <v>8505689</v>
      </c>
      <c r="B3039" s="213" t="s">
        <v>5144</v>
      </c>
      <c r="C3039" s="213" t="s">
        <v>5145</v>
      </c>
    </row>
    <row r="3040" spans="1:3" x14ac:dyDescent="0.25">
      <c r="A3040" s="211">
        <f t="shared" si="47"/>
        <v>8505690</v>
      </c>
      <c r="B3040" s="213" t="s">
        <v>5146</v>
      </c>
      <c r="C3040" s="213" t="s">
        <v>5147</v>
      </c>
    </row>
    <row r="3041" spans="1:3" x14ac:dyDescent="0.25">
      <c r="A3041" s="211">
        <f t="shared" si="47"/>
        <v>8505691</v>
      </c>
      <c r="B3041" s="213" t="s">
        <v>5148</v>
      </c>
      <c r="C3041" s="213" t="s">
        <v>5149</v>
      </c>
    </row>
    <row r="3042" spans="1:3" x14ac:dyDescent="0.25">
      <c r="A3042" s="211">
        <f t="shared" si="47"/>
        <v>8505692</v>
      </c>
      <c r="B3042" s="213" t="s">
        <v>5150</v>
      </c>
      <c r="C3042" s="213" t="s">
        <v>5151</v>
      </c>
    </row>
    <row r="3043" spans="1:3" x14ac:dyDescent="0.25">
      <c r="A3043" s="211">
        <f t="shared" si="47"/>
        <v>8505693</v>
      </c>
      <c r="B3043" s="213" t="s">
        <v>5152</v>
      </c>
      <c r="C3043" s="213" t="s">
        <v>5153</v>
      </c>
    </row>
    <row r="3044" spans="1:3" x14ac:dyDescent="0.25">
      <c r="A3044" s="211">
        <f t="shared" si="47"/>
        <v>8505701</v>
      </c>
      <c r="B3044" s="213" t="s">
        <v>5154</v>
      </c>
      <c r="C3044" s="213" t="s">
        <v>5155</v>
      </c>
    </row>
    <row r="3045" spans="1:3" x14ac:dyDescent="0.25">
      <c r="A3045" s="211">
        <f t="shared" si="47"/>
        <v>8505702</v>
      </c>
      <c r="B3045" s="213" t="s">
        <v>5156</v>
      </c>
      <c r="C3045" s="213" t="s">
        <v>5157</v>
      </c>
    </row>
    <row r="3046" spans="1:3" x14ac:dyDescent="0.25">
      <c r="A3046" s="211">
        <f t="shared" si="47"/>
        <v>8505703</v>
      </c>
      <c r="B3046" s="213" t="s">
        <v>5158</v>
      </c>
      <c r="C3046" s="213" t="s">
        <v>5159</v>
      </c>
    </row>
    <row r="3047" spans="1:3" x14ac:dyDescent="0.25">
      <c r="A3047" s="211">
        <f t="shared" si="47"/>
        <v>8505704</v>
      </c>
      <c r="B3047" s="213" t="s">
        <v>5160</v>
      </c>
      <c r="C3047" s="213" t="s">
        <v>5161</v>
      </c>
    </row>
    <row r="3048" spans="1:3" x14ac:dyDescent="0.25">
      <c r="A3048" s="211">
        <f t="shared" si="47"/>
        <v>8505705</v>
      </c>
      <c r="B3048" s="213" t="s">
        <v>5162</v>
      </c>
      <c r="C3048" s="213" t="s">
        <v>5163</v>
      </c>
    </row>
    <row r="3049" spans="1:3" x14ac:dyDescent="0.25">
      <c r="A3049" s="211">
        <f t="shared" si="47"/>
        <v>8505706</v>
      </c>
      <c r="B3049" s="213" t="s">
        <v>5164</v>
      </c>
      <c r="C3049" s="213" t="s">
        <v>5165</v>
      </c>
    </row>
    <row r="3050" spans="1:3" x14ac:dyDescent="0.25">
      <c r="A3050" s="211">
        <f t="shared" si="47"/>
        <v>8505707</v>
      </c>
      <c r="B3050" s="213" t="s">
        <v>5166</v>
      </c>
      <c r="C3050" s="213" t="s">
        <v>5167</v>
      </c>
    </row>
    <row r="3051" spans="1:3" x14ac:dyDescent="0.25">
      <c r="A3051" s="211">
        <f t="shared" si="47"/>
        <v>8505708</v>
      </c>
      <c r="B3051" s="213" t="s">
        <v>5168</v>
      </c>
      <c r="C3051" s="213" t="s">
        <v>5169</v>
      </c>
    </row>
    <row r="3052" spans="1:3" x14ac:dyDescent="0.25">
      <c r="A3052" s="211">
        <f t="shared" si="47"/>
        <v>8505709</v>
      </c>
      <c r="B3052" s="213" t="s">
        <v>5170</v>
      </c>
      <c r="C3052" s="213" t="s">
        <v>5171</v>
      </c>
    </row>
    <row r="3053" spans="1:3" x14ac:dyDescent="0.25">
      <c r="A3053" s="211">
        <f t="shared" si="47"/>
        <v>8505710</v>
      </c>
      <c r="B3053" s="213" t="s">
        <v>5172</v>
      </c>
      <c r="C3053" s="213" t="s">
        <v>5173</v>
      </c>
    </row>
    <row r="3054" spans="1:3" x14ac:dyDescent="0.25">
      <c r="A3054" s="211">
        <f t="shared" si="47"/>
        <v>8505711</v>
      </c>
      <c r="B3054" s="213" t="s">
        <v>5174</v>
      </c>
      <c r="C3054" s="213" t="s">
        <v>5175</v>
      </c>
    </row>
    <row r="3055" spans="1:3" x14ac:dyDescent="0.25">
      <c r="A3055" s="211">
        <f t="shared" si="47"/>
        <v>8505712</v>
      </c>
      <c r="B3055" s="213" t="s">
        <v>5176</v>
      </c>
      <c r="C3055" s="213" t="s">
        <v>5177</v>
      </c>
    </row>
    <row r="3056" spans="1:3" x14ac:dyDescent="0.25">
      <c r="A3056" s="211">
        <f t="shared" si="47"/>
        <v>8505713</v>
      </c>
      <c r="B3056" s="213" t="s">
        <v>5178</v>
      </c>
      <c r="C3056" s="213" t="s">
        <v>5179</v>
      </c>
    </row>
    <row r="3057" spans="1:3" x14ac:dyDescent="0.25">
      <c r="A3057" s="211">
        <f t="shared" si="47"/>
        <v>8505714</v>
      </c>
      <c r="B3057" s="213" t="s">
        <v>5180</v>
      </c>
      <c r="C3057" s="213" t="s">
        <v>5181</v>
      </c>
    </row>
    <row r="3058" spans="1:3" x14ac:dyDescent="0.25">
      <c r="A3058" s="211">
        <f t="shared" si="47"/>
        <v>8505715</v>
      </c>
      <c r="B3058" s="213" t="s">
        <v>7660</v>
      </c>
      <c r="C3058" s="213" t="s">
        <v>7661</v>
      </c>
    </row>
    <row r="3059" spans="1:3" x14ac:dyDescent="0.25">
      <c r="A3059" s="211">
        <f t="shared" si="47"/>
        <v>8505789</v>
      </c>
      <c r="B3059" s="213" t="s">
        <v>5182</v>
      </c>
      <c r="C3059" s="213" t="s">
        <v>5183</v>
      </c>
    </row>
    <row r="3060" spans="1:3" x14ac:dyDescent="0.25">
      <c r="A3060" s="211">
        <f t="shared" si="47"/>
        <v>8505800</v>
      </c>
      <c r="B3060" s="213" t="s">
        <v>13579</v>
      </c>
      <c r="C3060" s="213" t="s">
        <v>13580</v>
      </c>
    </row>
    <row r="3061" spans="1:3" x14ac:dyDescent="0.25">
      <c r="A3061" s="211">
        <f t="shared" si="47"/>
        <v>8505801</v>
      </c>
      <c r="B3061" s="213" t="s">
        <v>13581</v>
      </c>
      <c r="C3061" s="213" t="s">
        <v>13582</v>
      </c>
    </row>
    <row r="3062" spans="1:3" x14ac:dyDescent="0.25">
      <c r="A3062" s="211">
        <f t="shared" si="47"/>
        <v>8505809</v>
      </c>
      <c r="B3062" s="213" t="s">
        <v>5184</v>
      </c>
      <c r="C3062" s="213" t="s">
        <v>5185</v>
      </c>
    </row>
    <row r="3063" spans="1:3" x14ac:dyDescent="0.25">
      <c r="A3063" s="211">
        <f t="shared" si="47"/>
        <v>8505810</v>
      </c>
      <c r="B3063" s="213" t="s">
        <v>5186</v>
      </c>
      <c r="C3063" s="213" t="s">
        <v>5187</v>
      </c>
    </row>
    <row r="3064" spans="1:3" x14ac:dyDescent="0.25">
      <c r="A3064" s="211">
        <f t="shared" si="47"/>
        <v>8505820</v>
      </c>
      <c r="B3064" s="213" t="s">
        <v>5188</v>
      </c>
      <c r="C3064" s="213" t="s">
        <v>5189</v>
      </c>
    </row>
    <row r="3065" spans="1:3" x14ac:dyDescent="0.25">
      <c r="A3065" s="211">
        <f t="shared" si="47"/>
        <v>8505821</v>
      </c>
      <c r="B3065" s="213" t="s">
        <v>5190</v>
      </c>
      <c r="C3065" s="213" t="s">
        <v>5191</v>
      </c>
    </row>
    <row r="3066" spans="1:3" x14ac:dyDescent="0.25">
      <c r="A3066" s="211">
        <f t="shared" si="47"/>
        <v>8505822</v>
      </c>
      <c r="B3066" s="213" t="s">
        <v>5192</v>
      </c>
      <c r="C3066" s="213" t="s">
        <v>5193</v>
      </c>
    </row>
    <row r="3067" spans="1:3" x14ac:dyDescent="0.25">
      <c r="A3067" s="211">
        <f t="shared" si="47"/>
        <v>8505823</v>
      </c>
      <c r="B3067" s="213" t="s">
        <v>5194</v>
      </c>
      <c r="C3067" s="213" t="s">
        <v>5195</v>
      </c>
    </row>
    <row r="3068" spans="1:3" x14ac:dyDescent="0.25">
      <c r="A3068" s="211">
        <f t="shared" si="47"/>
        <v>8505824</v>
      </c>
      <c r="B3068" s="213" t="s">
        <v>5196</v>
      </c>
      <c r="C3068" s="213" t="s">
        <v>5197</v>
      </c>
    </row>
    <row r="3069" spans="1:3" x14ac:dyDescent="0.25">
      <c r="A3069" s="211">
        <f t="shared" si="47"/>
        <v>8505825</v>
      </c>
      <c r="B3069" s="213" t="s">
        <v>5198</v>
      </c>
      <c r="C3069" s="213" t="s">
        <v>5199</v>
      </c>
    </row>
    <row r="3070" spans="1:3" x14ac:dyDescent="0.25">
      <c r="A3070" s="211">
        <f t="shared" si="47"/>
        <v>8505826</v>
      </c>
      <c r="B3070" s="213" t="s">
        <v>5200</v>
      </c>
      <c r="C3070" s="213" t="s">
        <v>5201</v>
      </c>
    </row>
    <row r="3071" spans="1:3" x14ac:dyDescent="0.25">
      <c r="A3071" s="211">
        <f t="shared" si="47"/>
        <v>8505827</v>
      </c>
      <c r="B3071" s="213" t="s">
        <v>5202</v>
      </c>
      <c r="C3071" s="213" t="s">
        <v>5203</v>
      </c>
    </row>
    <row r="3072" spans="1:3" x14ac:dyDescent="0.25">
      <c r="A3072" s="211">
        <f t="shared" si="47"/>
        <v>8505838</v>
      </c>
      <c r="B3072" s="213" t="s">
        <v>5204</v>
      </c>
      <c r="C3072" s="213" t="s">
        <v>5205</v>
      </c>
    </row>
    <row r="3073" spans="1:3" x14ac:dyDescent="0.25">
      <c r="A3073" s="211">
        <f t="shared" si="47"/>
        <v>8507002</v>
      </c>
      <c r="B3073" s="213" t="s">
        <v>5206</v>
      </c>
      <c r="C3073" s="213" t="s">
        <v>5207</v>
      </c>
    </row>
    <row r="3074" spans="1:3" x14ac:dyDescent="0.25">
      <c r="A3074" s="211">
        <f t="shared" ref="A3074:A3137" si="48">IFERROR(B3074*1,"")</f>
        <v>8508065</v>
      </c>
      <c r="B3074" s="213" t="s">
        <v>5208</v>
      </c>
      <c r="C3074" s="213" t="s">
        <v>5209</v>
      </c>
    </row>
    <row r="3075" spans="1:3" x14ac:dyDescent="0.25">
      <c r="A3075" s="211">
        <f t="shared" si="48"/>
        <v>8508121</v>
      </c>
      <c r="B3075" s="213" t="s">
        <v>5210</v>
      </c>
      <c r="C3075" s="213" t="s">
        <v>5211</v>
      </c>
    </row>
    <row r="3076" spans="1:3" x14ac:dyDescent="0.25">
      <c r="A3076" s="211">
        <f t="shared" si="48"/>
        <v>850812160</v>
      </c>
      <c r="B3076" s="213" t="s">
        <v>5212</v>
      </c>
      <c r="C3076" s="213" t="s">
        <v>5211</v>
      </c>
    </row>
    <row r="3077" spans="1:3" x14ac:dyDescent="0.25">
      <c r="A3077" s="211">
        <f t="shared" si="48"/>
        <v>8508132</v>
      </c>
      <c r="B3077" s="213" t="s">
        <v>5213</v>
      </c>
      <c r="C3077" s="213" t="s">
        <v>5214</v>
      </c>
    </row>
    <row r="3078" spans="1:3" x14ac:dyDescent="0.25">
      <c r="A3078" s="211">
        <f t="shared" si="48"/>
        <v>850814110</v>
      </c>
      <c r="B3078" s="213" t="s">
        <v>5215</v>
      </c>
      <c r="C3078" s="213" t="s">
        <v>5216</v>
      </c>
    </row>
    <row r="3079" spans="1:3" x14ac:dyDescent="0.25">
      <c r="A3079" s="211">
        <f t="shared" si="48"/>
        <v>850822000</v>
      </c>
      <c r="B3079" s="213" t="s">
        <v>5217</v>
      </c>
      <c r="C3079" s="213" t="s">
        <v>5218</v>
      </c>
    </row>
    <row r="3080" spans="1:3" x14ac:dyDescent="0.25">
      <c r="A3080" s="211">
        <f t="shared" si="48"/>
        <v>8508507</v>
      </c>
      <c r="B3080" s="213" t="s">
        <v>5219</v>
      </c>
      <c r="C3080" s="213" t="s">
        <v>5220</v>
      </c>
    </row>
    <row r="3081" spans="1:3" x14ac:dyDescent="0.25">
      <c r="A3081" s="211">
        <f t="shared" si="48"/>
        <v>850850712</v>
      </c>
      <c r="B3081" s="213" t="s">
        <v>5221</v>
      </c>
      <c r="C3081" s="213" t="s">
        <v>5221</v>
      </c>
    </row>
    <row r="3082" spans="1:3" x14ac:dyDescent="0.25">
      <c r="A3082" s="211">
        <f t="shared" si="48"/>
        <v>8509729</v>
      </c>
      <c r="B3082" s="213" t="s">
        <v>5222</v>
      </c>
      <c r="C3082" s="213" t="s">
        <v>5223</v>
      </c>
    </row>
    <row r="3083" spans="1:3" x14ac:dyDescent="0.25">
      <c r="A3083" s="211">
        <f t="shared" si="48"/>
        <v>8511115</v>
      </c>
      <c r="B3083" s="213" t="s">
        <v>5224</v>
      </c>
      <c r="C3083" s="213" t="s">
        <v>5225</v>
      </c>
    </row>
    <row r="3084" spans="1:3" x14ac:dyDescent="0.25">
      <c r="A3084" s="211">
        <f t="shared" si="48"/>
        <v>8511421</v>
      </c>
      <c r="B3084" s="213" t="s">
        <v>5226</v>
      </c>
      <c r="C3084" s="213" t="s">
        <v>5227</v>
      </c>
    </row>
    <row r="3085" spans="1:3" x14ac:dyDescent="0.25">
      <c r="A3085" s="211">
        <f t="shared" si="48"/>
        <v>8511446</v>
      </c>
      <c r="B3085" s="213" t="s">
        <v>5228</v>
      </c>
      <c r="C3085" s="213" t="s">
        <v>5229</v>
      </c>
    </row>
    <row r="3086" spans="1:3" x14ac:dyDescent="0.25">
      <c r="A3086" s="211">
        <f t="shared" si="48"/>
        <v>8511522</v>
      </c>
      <c r="B3086" s="213" t="s">
        <v>5230</v>
      </c>
      <c r="C3086" s="213" t="s">
        <v>5231</v>
      </c>
    </row>
    <row r="3087" spans="1:3" x14ac:dyDescent="0.25">
      <c r="A3087" s="211">
        <f t="shared" si="48"/>
        <v>8511744</v>
      </c>
      <c r="B3087" s="213" t="s">
        <v>5232</v>
      </c>
      <c r="C3087" s="213" t="s">
        <v>5233</v>
      </c>
    </row>
    <row r="3088" spans="1:3" x14ac:dyDescent="0.25">
      <c r="A3088" s="211">
        <f t="shared" si="48"/>
        <v>8513001</v>
      </c>
      <c r="B3088" s="213" t="s">
        <v>5234</v>
      </c>
      <c r="C3088" s="213" t="s">
        <v>5235</v>
      </c>
    </row>
    <row r="3089" spans="1:3" x14ac:dyDescent="0.25">
      <c r="A3089" s="211">
        <f t="shared" si="48"/>
        <v>8513012</v>
      </c>
      <c r="B3089" s="213" t="s">
        <v>5236</v>
      </c>
      <c r="C3089" s="213" t="s">
        <v>5237</v>
      </c>
    </row>
    <row r="3090" spans="1:3" x14ac:dyDescent="0.25">
      <c r="A3090" s="211">
        <f t="shared" si="48"/>
        <v>8513160</v>
      </c>
      <c r="B3090" s="213" t="s">
        <v>5238</v>
      </c>
      <c r="C3090" s="213" t="s">
        <v>5239</v>
      </c>
    </row>
    <row r="3091" spans="1:3" x14ac:dyDescent="0.25">
      <c r="A3091" s="211">
        <f t="shared" si="48"/>
        <v>8513173</v>
      </c>
      <c r="B3091" s="213" t="s">
        <v>5240</v>
      </c>
      <c r="C3091" s="213" t="s">
        <v>13583</v>
      </c>
    </row>
    <row r="3092" spans="1:3" x14ac:dyDescent="0.25">
      <c r="A3092" s="211">
        <f t="shared" si="48"/>
        <v>8513174</v>
      </c>
      <c r="B3092" s="213" t="s">
        <v>5241</v>
      </c>
      <c r="C3092" s="213" t="s">
        <v>5242</v>
      </c>
    </row>
    <row r="3093" spans="1:3" x14ac:dyDescent="0.25">
      <c r="A3093" s="211">
        <f t="shared" si="48"/>
        <v>8513175</v>
      </c>
      <c r="B3093" s="213" t="s">
        <v>5243</v>
      </c>
      <c r="C3093" s="213" t="s">
        <v>5244</v>
      </c>
    </row>
    <row r="3094" spans="1:3" x14ac:dyDescent="0.25">
      <c r="A3094" s="211">
        <f t="shared" si="48"/>
        <v>8513224</v>
      </c>
      <c r="B3094" s="213" t="s">
        <v>5245</v>
      </c>
      <c r="C3094" s="213" t="s">
        <v>5246</v>
      </c>
    </row>
    <row r="3095" spans="1:3" x14ac:dyDescent="0.25">
      <c r="A3095" s="211">
        <f t="shared" si="48"/>
        <v>8513243</v>
      </c>
      <c r="B3095" s="213" t="s">
        <v>5247</v>
      </c>
      <c r="C3095" s="213" t="s">
        <v>5248</v>
      </c>
    </row>
    <row r="3096" spans="1:3" x14ac:dyDescent="0.25">
      <c r="A3096" s="211">
        <f t="shared" si="48"/>
        <v>8513244</v>
      </c>
      <c r="B3096" s="213" t="s">
        <v>5249</v>
      </c>
      <c r="C3096" s="213" t="s">
        <v>5250</v>
      </c>
    </row>
    <row r="3097" spans="1:3" x14ac:dyDescent="0.25">
      <c r="A3097" s="211">
        <f t="shared" si="48"/>
        <v>8513245</v>
      </c>
      <c r="B3097" s="213" t="s">
        <v>5251</v>
      </c>
      <c r="C3097" s="213" t="s">
        <v>5252</v>
      </c>
    </row>
    <row r="3098" spans="1:3" x14ac:dyDescent="0.25">
      <c r="A3098" s="211">
        <f t="shared" si="48"/>
        <v>8513303</v>
      </c>
      <c r="B3098" s="213" t="s">
        <v>5253</v>
      </c>
      <c r="C3098" s="213" t="s">
        <v>5254</v>
      </c>
    </row>
    <row r="3099" spans="1:3" x14ac:dyDescent="0.25">
      <c r="A3099" s="211">
        <f t="shared" si="48"/>
        <v>8513405</v>
      </c>
      <c r="B3099" s="213" t="s">
        <v>5255</v>
      </c>
      <c r="C3099" s="213" t="s">
        <v>5256</v>
      </c>
    </row>
    <row r="3100" spans="1:3" x14ac:dyDescent="0.25">
      <c r="A3100" s="211">
        <f t="shared" si="48"/>
        <v>8515001</v>
      </c>
      <c r="B3100" s="213" t="s">
        <v>5257</v>
      </c>
      <c r="C3100" s="213" t="s">
        <v>5258</v>
      </c>
    </row>
    <row r="3101" spans="1:3" x14ac:dyDescent="0.25">
      <c r="A3101" s="211">
        <f t="shared" si="48"/>
        <v>8515004</v>
      </c>
      <c r="B3101" s="213" t="s">
        <v>5259</v>
      </c>
      <c r="C3101" s="213" t="s">
        <v>5260</v>
      </c>
    </row>
    <row r="3102" spans="1:3" x14ac:dyDescent="0.25">
      <c r="A3102" s="211">
        <f t="shared" si="48"/>
        <v>8515180</v>
      </c>
      <c r="B3102" s="213" t="s">
        <v>5261</v>
      </c>
      <c r="C3102" s="213" t="s">
        <v>5262</v>
      </c>
    </row>
    <row r="3103" spans="1:3" x14ac:dyDescent="0.25">
      <c r="A3103" s="211">
        <f t="shared" si="48"/>
        <v>8515181</v>
      </c>
      <c r="B3103" s="213" t="s">
        <v>5263</v>
      </c>
      <c r="C3103" s="213" t="s">
        <v>5264</v>
      </c>
    </row>
    <row r="3104" spans="1:3" x14ac:dyDescent="0.25">
      <c r="A3104" s="211">
        <f t="shared" si="48"/>
        <v>8515740</v>
      </c>
      <c r="B3104" s="213" t="s">
        <v>13584</v>
      </c>
      <c r="C3104" s="213" t="s">
        <v>13585</v>
      </c>
    </row>
    <row r="3105" spans="1:3" x14ac:dyDescent="0.25">
      <c r="A3105" s="211">
        <f t="shared" si="48"/>
        <v>8515746</v>
      </c>
      <c r="B3105" s="213" t="s">
        <v>5265</v>
      </c>
      <c r="C3105" s="213" t="s">
        <v>5266</v>
      </c>
    </row>
    <row r="3106" spans="1:3" x14ac:dyDescent="0.25">
      <c r="A3106" s="211">
        <f t="shared" si="48"/>
        <v>8515747</v>
      </c>
      <c r="B3106" s="213" t="s">
        <v>5267</v>
      </c>
      <c r="C3106" s="213" t="s">
        <v>5268</v>
      </c>
    </row>
    <row r="3107" spans="1:3" x14ac:dyDescent="0.25">
      <c r="A3107" s="211">
        <f t="shared" si="48"/>
        <v>8515748</v>
      </c>
      <c r="B3107" s="213" t="s">
        <v>5269</v>
      </c>
      <c r="C3107" s="213" t="s">
        <v>5270</v>
      </c>
    </row>
    <row r="3108" spans="1:3" x14ac:dyDescent="0.25">
      <c r="A3108" s="211">
        <f t="shared" si="48"/>
        <v>8515749</v>
      </c>
      <c r="B3108" s="213" t="s">
        <v>5271</v>
      </c>
      <c r="C3108" s="213" t="s">
        <v>5272</v>
      </c>
    </row>
    <row r="3109" spans="1:3" x14ac:dyDescent="0.25">
      <c r="A3109" s="211">
        <f t="shared" si="48"/>
        <v>8515750</v>
      </c>
      <c r="B3109" s="213" t="s">
        <v>14115</v>
      </c>
      <c r="C3109" s="213" t="s">
        <v>14116</v>
      </c>
    </row>
    <row r="3110" spans="1:3" x14ac:dyDescent="0.25">
      <c r="A3110" s="211">
        <f t="shared" si="48"/>
        <v>8515760</v>
      </c>
      <c r="B3110" s="213" t="s">
        <v>5273</v>
      </c>
      <c r="C3110" s="213" t="s">
        <v>5274</v>
      </c>
    </row>
    <row r="3111" spans="1:3" x14ac:dyDescent="0.25">
      <c r="A3111" s="211">
        <f t="shared" si="48"/>
        <v>8515770</v>
      </c>
      <c r="B3111" s="213" t="s">
        <v>14117</v>
      </c>
      <c r="C3111" s="213" t="s">
        <v>14118</v>
      </c>
    </row>
    <row r="3112" spans="1:3" x14ac:dyDescent="0.25">
      <c r="A3112" s="211">
        <f t="shared" si="48"/>
        <v>8516000</v>
      </c>
      <c r="B3112" s="213" t="s">
        <v>5275</v>
      </c>
      <c r="C3112" s="213" t="s">
        <v>5276</v>
      </c>
    </row>
    <row r="3113" spans="1:3" x14ac:dyDescent="0.25">
      <c r="A3113" s="211">
        <f t="shared" si="48"/>
        <v>8517000</v>
      </c>
      <c r="B3113" s="213" t="s">
        <v>5277</v>
      </c>
      <c r="C3113" s="213" t="s">
        <v>5278</v>
      </c>
    </row>
    <row r="3114" spans="1:3" x14ac:dyDescent="0.25">
      <c r="A3114" s="211">
        <f t="shared" si="48"/>
        <v>8517001</v>
      </c>
      <c r="B3114" s="213" t="s">
        <v>5279</v>
      </c>
      <c r="C3114" s="213" t="s">
        <v>5280</v>
      </c>
    </row>
    <row r="3115" spans="1:3" x14ac:dyDescent="0.25">
      <c r="A3115" s="211">
        <f t="shared" si="48"/>
        <v>8517004</v>
      </c>
      <c r="B3115" s="213" t="s">
        <v>5282</v>
      </c>
      <c r="C3115" s="213" t="s">
        <v>5283</v>
      </c>
    </row>
    <row r="3116" spans="1:3" x14ac:dyDescent="0.25">
      <c r="A3116" s="211">
        <f t="shared" si="48"/>
        <v>8517035</v>
      </c>
      <c r="B3116" s="213" t="s">
        <v>5284</v>
      </c>
      <c r="C3116" s="213" t="s">
        <v>5285</v>
      </c>
    </row>
    <row r="3117" spans="1:3" x14ac:dyDescent="0.25">
      <c r="A3117" s="211">
        <f t="shared" si="48"/>
        <v>8517050</v>
      </c>
      <c r="B3117" s="213" t="s">
        <v>5286</v>
      </c>
      <c r="C3117" s="213" t="s">
        <v>5287</v>
      </c>
    </row>
    <row r="3118" spans="1:3" x14ac:dyDescent="0.25">
      <c r="A3118" s="211">
        <f t="shared" si="48"/>
        <v>8517051</v>
      </c>
      <c r="B3118" s="213" t="s">
        <v>5288</v>
      </c>
      <c r="C3118" s="213" t="s">
        <v>5289</v>
      </c>
    </row>
    <row r="3119" spans="1:3" x14ac:dyDescent="0.25">
      <c r="A3119" s="211">
        <f t="shared" si="48"/>
        <v>8517103</v>
      </c>
      <c r="B3119" s="213" t="s">
        <v>5290</v>
      </c>
      <c r="C3119" s="213" t="s">
        <v>5291</v>
      </c>
    </row>
    <row r="3120" spans="1:3" x14ac:dyDescent="0.25">
      <c r="A3120" s="211">
        <f t="shared" si="48"/>
        <v>851710307</v>
      </c>
      <c r="B3120" s="213" t="s">
        <v>5292</v>
      </c>
      <c r="C3120" s="213" t="s">
        <v>5293</v>
      </c>
    </row>
    <row r="3121" spans="1:3" x14ac:dyDescent="0.25">
      <c r="A3121" s="211">
        <f t="shared" si="48"/>
        <v>851710308</v>
      </c>
      <c r="B3121" s="213" t="s">
        <v>5294</v>
      </c>
      <c r="C3121" s="213" t="s">
        <v>5295</v>
      </c>
    </row>
    <row r="3122" spans="1:3" x14ac:dyDescent="0.25">
      <c r="A3122" s="211">
        <f t="shared" si="48"/>
        <v>851710309</v>
      </c>
      <c r="B3122" s="213" t="s">
        <v>5296</v>
      </c>
      <c r="C3122" s="213" t="s">
        <v>5297</v>
      </c>
    </row>
    <row r="3123" spans="1:3" x14ac:dyDescent="0.25">
      <c r="A3123" s="211">
        <f t="shared" si="48"/>
        <v>851710310</v>
      </c>
      <c r="B3123" s="213" t="s">
        <v>5298</v>
      </c>
      <c r="C3123" s="213" t="s">
        <v>5299</v>
      </c>
    </row>
    <row r="3124" spans="1:3" x14ac:dyDescent="0.25">
      <c r="A3124" s="211">
        <f t="shared" si="48"/>
        <v>851710375</v>
      </c>
      <c r="B3124" s="213" t="s">
        <v>5300</v>
      </c>
      <c r="C3124" s="213" t="s">
        <v>5301</v>
      </c>
    </row>
    <row r="3125" spans="1:3" x14ac:dyDescent="0.25">
      <c r="A3125" s="211">
        <f t="shared" si="48"/>
        <v>851710385</v>
      </c>
      <c r="B3125" s="213" t="s">
        <v>5302</v>
      </c>
      <c r="C3125" s="213" t="s">
        <v>5303</v>
      </c>
    </row>
    <row r="3126" spans="1:3" x14ac:dyDescent="0.25">
      <c r="A3126" s="211">
        <f t="shared" si="48"/>
        <v>851710395</v>
      </c>
      <c r="B3126" s="213" t="s">
        <v>5304</v>
      </c>
      <c r="C3126" s="213" t="s">
        <v>5305</v>
      </c>
    </row>
    <row r="3127" spans="1:3" x14ac:dyDescent="0.25">
      <c r="A3127" s="211">
        <f t="shared" si="48"/>
        <v>8517104</v>
      </c>
      <c r="B3127" s="213" t="s">
        <v>5306</v>
      </c>
      <c r="C3127" s="213" t="s">
        <v>5307</v>
      </c>
    </row>
    <row r="3128" spans="1:3" x14ac:dyDescent="0.25">
      <c r="A3128" s="211">
        <f t="shared" si="48"/>
        <v>8517110</v>
      </c>
      <c r="B3128" s="213" t="s">
        <v>5308</v>
      </c>
      <c r="C3128" s="213" t="s">
        <v>5309</v>
      </c>
    </row>
    <row r="3129" spans="1:3" x14ac:dyDescent="0.25">
      <c r="A3129" s="211">
        <f t="shared" si="48"/>
        <v>8517235</v>
      </c>
      <c r="B3129" s="213" t="s">
        <v>5310</v>
      </c>
      <c r="C3129" s="213" t="s">
        <v>5311</v>
      </c>
    </row>
    <row r="3130" spans="1:3" x14ac:dyDescent="0.25">
      <c r="A3130" s="211">
        <f t="shared" si="48"/>
        <v>8517300</v>
      </c>
      <c r="B3130" s="213" t="s">
        <v>5312</v>
      </c>
      <c r="C3130" s="213" t="s">
        <v>5313</v>
      </c>
    </row>
    <row r="3131" spans="1:3" x14ac:dyDescent="0.25">
      <c r="A3131" s="211">
        <f t="shared" si="48"/>
        <v>8517408</v>
      </c>
      <c r="B3131" s="213" t="s">
        <v>5314</v>
      </c>
      <c r="C3131" s="213" t="s">
        <v>5315</v>
      </c>
    </row>
    <row r="3132" spans="1:3" x14ac:dyDescent="0.25">
      <c r="A3132" s="211">
        <f t="shared" si="48"/>
        <v>8517900</v>
      </c>
      <c r="B3132" s="213" t="s">
        <v>5316</v>
      </c>
      <c r="C3132" s="213" t="s">
        <v>7662</v>
      </c>
    </row>
    <row r="3133" spans="1:3" x14ac:dyDescent="0.25">
      <c r="A3133" s="211">
        <f t="shared" si="48"/>
        <v>8517901</v>
      </c>
      <c r="B3133" s="213" t="s">
        <v>5317</v>
      </c>
      <c r="C3133" s="213" t="s">
        <v>7663</v>
      </c>
    </row>
    <row r="3134" spans="1:3" x14ac:dyDescent="0.25">
      <c r="A3134" s="211">
        <f t="shared" si="48"/>
        <v>8517902</v>
      </c>
      <c r="B3134" s="213" t="s">
        <v>5318</v>
      </c>
      <c r="C3134" s="213" t="s">
        <v>7664</v>
      </c>
    </row>
    <row r="3135" spans="1:3" x14ac:dyDescent="0.25">
      <c r="A3135" s="211">
        <f t="shared" si="48"/>
        <v>8517903</v>
      </c>
      <c r="B3135" s="213" t="s">
        <v>13586</v>
      </c>
      <c r="C3135" s="213" t="s">
        <v>13587</v>
      </c>
    </row>
    <row r="3136" spans="1:3" x14ac:dyDescent="0.25">
      <c r="A3136" s="211">
        <f t="shared" si="48"/>
        <v>8517904</v>
      </c>
      <c r="B3136" s="213" t="s">
        <v>5319</v>
      </c>
      <c r="C3136" s="213" t="s">
        <v>7665</v>
      </c>
    </row>
    <row r="3137" spans="1:3" x14ac:dyDescent="0.25">
      <c r="A3137" s="211">
        <f t="shared" si="48"/>
        <v>8517905</v>
      </c>
      <c r="B3137" s="213" t="s">
        <v>5320</v>
      </c>
      <c r="C3137" s="213" t="s">
        <v>7666</v>
      </c>
    </row>
    <row r="3138" spans="1:3" x14ac:dyDescent="0.25">
      <c r="A3138" s="211">
        <f t="shared" ref="A3138:A3201" si="49">IFERROR(B3138*1,"")</f>
        <v>8517906</v>
      </c>
      <c r="B3138" s="213" t="s">
        <v>7667</v>
      </c>
      <c r="C3138" s="213" t="s">
        <v>7668</v>
      </c>
    </row>
    <row r="3139" spans="1:3" x14ac:dyDescent="0.25">
      <c r="A3139" s="211">
        <f t="shared" si="49"/>
        <v>8517907</v>
      </c>
      <c r="B3139" s="213" t="s">
        <v>5321</v>
      </c>
      <c r="C3139" s="213" t="s">
        <v>5322</v>
      </c>
    </row>
    <row r="3140" spans="1:3" x14ac:dyDescent="0.25">
      <c r="A3140" s="211">
        <f t="shared" si="49"/>
        <v>8518000</v>
      </c>
      <c r="B3140" s="213" t="s">
        <v>5323</v>
      </c>
      <c r="C3140" s="213" t="s">
        <v>5324</v>
      </c>
    </row>
    <row r="3141" spans="1:3" x14ac:dyDescent="0.25">
      <c r="A3141" s="211">
        <f t="shared" si="49"/>
        <v>8518011</v>
      </c>
      <c r="B3141" s="213" t="s">
        <v>5325</v>
      </c>
      <c r="C3141" s="213" t="s">
        <v>5326</v>
      </c>
    </row>
    <row r="3142" spans="1:3" x14ac:dyDescent="0.25">
      <c r="A3142" s="211">
        <f t="shared" si="49"/>
        <v>8518012</v>
      </c>
      <c r="B3142" s="213" t="s">
        <v>5327</v>
      </c>
      <c r="C3142" s="213" t="s">
        <v>5328</v>
      </c>
    </row>
    <row r="3143" spans="1:3" x14ac:dyDescent="0.25">
      <c r="A3143" s="211">
        <f t="shared" si="49"/>
        <v>8518013</v>
      </c>
      <c r="B3143" s="213" t="s">
        <v>5329</v>
      </c>
      <c r="C3143" s="213" t="s">
        <v>5330</v>
      </c>
    </row>
    <row r="3144" spans="1:3" x14ac:dyDescent="0.25">
      <c r="A3144" s="211">
        <f t="shared" si="49"/>
        <v>8518014</v>
      </c>
      <c r="B3144" s="213" t="s">
        <v>5331</v>
      </c>
      <c r="C3144" s="213" t="s">
        <v>5332</v>
      </c>
    </row>
    <row r="3145" spans="1:3" x14ac:dyDescent="0.25">
      <c r="A3145" s="211">
        <f t="shared" si="49"/>
        <v>8518015</v>
      </c>
      <c r="B3145" s="213" t="s">
        <v>5333</v>
      </c>
      <c r="C3145" s="213" t="s">
        <v>5334</v>
      </c>
    </row>
    <row r="3146" spans="1:3" x14ac:dyDescent="0.25">
      <c r="A3146" s="211">
        <f t="shared" si="49"/>
        <v>8518016</v>
      </c>
      <c r="B3146" s="213" t="s">
        <v>5335</v>
      </c>
      <c r="C3146" s="213" t="s">
        <v>5336</v>
      </c>
    </row>
    <row r="3147" spans="1:3" x14ac:dyDescent="0.25">
      <c r="A3147" s="211">
        <f t="shared" si="49"/>
        <v>8518017</v>
      </c>
      <c r="B3147" s="213" t="s">
        <v>5337</v>
      </c>
      <c r="C3147" s="213" t="s">
        <v>5338</v>
      </c>
    </row>
    <row r="3148" spans="1:3" x14ac:dyDescent="0.25">
      <c r="A3148" s="211">
        <f t="shared" si="49"/>
        <v>8518018</v>
      </c>
      <c r="B3148" s="213" t="s">
        <v>5339</v>
      </c>
      <c r="C3148" s="213" t="s">
        <v>5340</v>
      </c>
    </row>
    <row r="3149" spans="1:3" x14ac:dyDescent="0.25">
      <c r="A3149" s="211">
        <f t="shared" si="49"/>
        <v>8518019</v>
      </c>
      <c r="B3149" s="213" t="s">
        <v>5341</v>
      </c>
      <c r="C3149" s="213" t="s">
        <v>5342</v>
      </c>
    </row>
    <row r="3150" spans="1:3" x14ac:dyDescent="0.25">
      <c r="A3150" s="211">
        <f t="shared" si="49"/>
        <v>8518159</v>
      </c>
      <c r="B3150" s="213" t="s">
        <v>5343</v>
      </c>
      <c r="C3150" s="213" t="s">
        <v>5344</v>
      </c>
    </row>
    <row r="3151" spans="1:3" x14ac:dyDescent="0.25">
      <c r="A3151" s="211">
        <f t="shared" si="49"/>
        <v>8518300</v>
      </c>
      <c r="B3151" s="213" t="s">
        <v>5345</v>
      </c>
      <c r="C3151" s="213" t="s">
        <v>5346</v>
      </c>
    </row>
    <row r="3152" spans="1:3" x14ac:dyDescent="0.25">
      <c r="A3152" s="211">
        <f t="shared" si="49"/>
        <v>8518753</v>
      </c>
      <c r="B3152" s="213" t="s">
        <v>5347</v>
      </c>
      <c r="C3152" s="213" t="s">
        <v>5348</v>
      </c>
    </row>
    <row r="3153" spans="1:3" x14ac:dyDescent="0.25">
      <c r="A3153" s="211">
        <f t="shared" si="49"/>
        <v>8518789</v>
      </c>
      <c r="B3153" s="213" t="s">
        <v>5349</v>
      </c>
      <c r="C3153" s="213" t="s">
        <v>5350</v>
      </c>
    </row>
    <row r="3154" spans="1:3" x14ac:dyDescent="0.25">
      <c r="A3154" s="211">
        <f t="shared" si="49"/>
        <v>8519021</v>
      </c>
      <c r="B3154" s="213" t="s">
        <v>5351</v>
      </c>
      <c r="C3154" s="213" t="s">
        <v>5352</v>
      </c>
    </row>
    <row r="3155" spans="1:3" x14ac:dyDescent="0.25">
      <c r="A3155" s="211">
        <f t="shared" si="49"/>
        <v>8519022</v>
      </c>
      <c r="B3155" s="213" t="s">
        <v>5353</v>
      </c>
      <c r="C3155" s="213" t="s">
        <v>5354</v>
      </c>
    </row>
    <row r="3156" spans="1:3" x14ac:dyDescent="0.25">
      <c r="A3156" s="211">
        <f t="shared" si="49"/>
        <v>8519040</v>
      </c>
      <c r="B3156" s="213" t="s">
        <v>5355</v>
      </c>
      <c r="C3156" s="213" t="s">
        <v>5356</v>
      </c>
    </row>
    <row r="3157" spans="1:3" x14ac:dyDescent="0.25">
      <c r="A3157" s="211">
        <f t="shared" si="49"/>
        <v>8519041</v>
      </c>
      <c r="B3157" s="213" t="s">
        <v>5357</v>
      </c>
      <c r="C3157" s="213" t="s">
        <v>5358</v>
      </c>
    </row>
    <row r="3158" spans="1:3" x14ac:dyDescent="0.25">
      <c r="A3158" s="211">
        <f t="shared" si="49"/>
        <v>8519042</v>
      </c>
      <c r="B3158" s="213" t="s">
        <v>5359</v>
      </c>
      <c r="C3158" s="213" t="s">
        <v>5360</v>
      </c>
    </row>
    <row r="3159" spans="1:3" x14ac:dyDescent="0.25">
      <c r="A3159" s="211">
        <f t="shared" si="49"/>
        <v>8519043</v>
      </c>
      <c r="B3159" s="213" t="s">
        <v>5361</v>
      </c>
      <c r="C3159" s="213" t="s">
        <v>5362</v>
      </c>
    </row>
    <row r="3160" spans="1:3" x14ac:dyDescent="0.25">
      <c r="A3160" s="211">
        <f t="shared" si="49"/>
        <v>8519044</v>
      </c>
      <c r="B3160" s="213" t="s">
        <v>5363</v>
      </c>
      <c r="C3160" s="213" t="s">
        <v>5364</v>
      </c>
    </row>
    <row r="3161" spans="1:3" x14ac:dyDescent="0.25">
      <c r="A3161" s="211">
        <f t="shared" si="49"/>
        <v>8519060</v>
      </c>
      <c r="B3161" s="213" t="s">
        <v>5365</v>
      </c>
      <c r="C3161" s="213" t="s">
        <v>5366</v>
      </c>
    </row>
    <row r="3162" spans="1:3" x14ac:dyDescent="0.25">
      <c r="A3162" s="211">
        <f t="shared" si="49"/>
        <v>851949714</v>
      </c>
      <c r="B3162" s="213" t="s">
        <v>5367</v>
      </c>
      <c r="C3162" s="213" t="s">
        <v>5368</v>
      </c>
    </row>
    <row r="3163" spans="1:3" x14ac:dyDescent="0.25">
      <c r="A3163" s="211">
        <f t="shared" si="49"/>
        <v>851949822</v>
      </c>
      <c r="B3163" s="213" t="s">
        <v>5369</v>
      </c>
      <c r="C3163" s="213" t="s">
        <v>5370</v>
      </c>
    </row>
    <row r="3164" spans="1:3" x14ac:dyDescent="0.25">
      <c r="A3164" s="211">
        <f t="shared" si="49"/>
        <v>8519499</v>
      </c>
      <c r="B3164" s="213" t="s">
        <v>7669</v>
      </c>
      <c r="C3164" s="213" t="s">
        <v>5371</v>
      </c>
    </row>
    <row r="3165" spans="1:3" x14ac:dyDescent="0.25">
      <c r="A3165" s="211">
        <f t="shared" si="49"/>
        <v>8519500</v>
      </c>
      <c r="B3165" s="213" t="s">
        <v>5372</v>
      </c>
      <c r="C3165" s="213" t="s">
        <v>5373</v>
      </c>
    </row>
    <row r="3166" spans="1:3" x14ac:dyDescent="0.25">
      <c r="A3166" s="211">
        <f t="shared" si="49"/>
        <v>851950099</v>
      </c>
      <c r="B3166" s="213" t="s">
        <v>5374</v>
      </c>
      <c r="C3166" s="213" t="s">
        <v>5375</v>
      </c>
    </row>
    <row r="3167" spans="1:3" x14ac:dyDescent="0.25">
      <c r="A3167" s="211">
        <f t="shared" si="49"/>
        <v>8519502</v>
      </c>
      <c r="B3167" s="213" t="s">
        <v>5376</v>
      </c>
      <c r="C3167" s="213" t="s">
        <v>5377</v>
      </c>
    </row>
    <row r="3168" spans="1:3" x14ac:dyDescent="0.25">
      <c r="A3168" s="211">
        <f t="shared" si="49"/>
        <v>8520000</v>
      </c>
      <c r="B3168" s="213" t="s">
        <v>5378</v>
      </c>
      <c r="C3168" s="213" t="s">
        <v>7670</v>
      </c>
    </row>
    <row r="3169" spans="1:3" x14ac:dyDescent="0.25">
      <c r="A3169" s="211">
        <f t="shared" si="49"/>
        <v>8520001</v>
      </c>
      <c r="B3169" s="213" t="s">
        <v>5379</v>
      </c>
      <c r="C3169" s="213" t="s">
        <v>5380</v>
      </c>
    </row>
    <row r="3170" spans="1:3" x14ac:dyDescent="0.25">
      <c r="A3170" s="211">
        <f t="shared" si="49"/>
        <v>8520003</v>
      </c>
      <c r="B3170" s="213" t="s">
        <v>5381</v>
      </c>
      <c r="C3170" s="213" t="s">
        <v>5382</v>
      </c>
    </row>
    <row r="3171" spans="1:3" x14ac:dyDescent="0.25">
      <c r="A3171" s="211">
        <f t="shared" si="49"/>
        <v>85200038</v>
      </c>
      <c r="B3171" s="213" t="s">
        <v>5383</v>
      </c>
      <c r="C3171" s="213" t="s">
        <v>5384</v>
      </c>
    </row>
    <row r="3172" spans="1:3" x14ac:dyDescent="0.25">
      <c r="A3172" s="211">
        <f t="shared" si="49"/>
        <v>8520004</v>
      </c>
      <c r="B3172" s="213" t="s">
        <v>5385</v>
      </c>
      <c r="C3172" s="213" t="s">
        <v>5386</v>
      </c>
    </row>
    <row r="3173" spans="1:3" x14ac:dyDescent="0.25">
      <c r="A3173" s="211">
        <f t="shared" si="49"/>
        <v>8520005</v>
      </c>
      <c r="B3173" s="213" t="s">
        <v>5387</v>
      </c>
      <c r="C3173" s="213" t="s">
        <v>5388</v>
      </c>
    </row>
    <row r="3174" spans="1:3" x14ac:dyDescent="0.25">
      <c r="A3174" s="211">
        <f t="shared" si="49"/>
        <v>8520006</v>
      </c>
      <c r="B3174" s="213" t="s">
        <v>5389</v>
      </c>
      <c r="C3174" s="213" t="s">
        <v>5390</v>
      </c>
    </row>
    <row r="3175" spans="1:3" x14ac:dyDescent="0.25">
      <c r="A3175" s="211">
        <f t="shared" si="49"/>
        <v>8520007</v>
      </c>
      <c r="B3175" s="213" t="s">
        <v>5391</v>
      </c>
      <c r="C3175" s="213" t="s">
        <v>5392</v>
      </c>
    </row>
    <row r="3176" spans="1:3" x14ac:dyDescent="0.25">
      <c r="A3176" s="211">
        <f t="shared" si="49"/>
        <v>8520008</v>
      </c>
      <c r="B3176" s="213" t="s">
        <v>5393</v>
      </c>
      <c r="C3176" s="213" t="s">
        <v>5394</v>
      </c>
    </row>
    <row r="3177" spans="1:3" x14ac:dyDescent="0.25">
      <c r="A3177" s="211">
        <f t="shared" si="49"/>
        <v>8520009</v>
      </c>
      <c r="B3177" s="213" t="s">
        <v>5395</v>
      </c>
      <c r="C3177" s="213" t="s">
        <v>5396</v>
      </c>
    </row>
    <row r="3178" spans="1:3" x14ac:dyDescent="0.25">
      <c r="A3178" s="211">
        <f t="shared" si="49"/>
        <v>8520010</v>
      </c>
      <c r="B3178" s="213" t="s">
        <v>5397</v>
      </c>
      <c r="C3178" s="213" t="s">
        <v>5398</v>
      </c>
    </row>
    <row r="3179" spans="1:3" x14ac:dyDescent="0.25">
      <c r="A3179" s="211">
        <f t="shared" si="49"/>
        <v>8520011</v>
      </c>
      <c r="B3179" s="213" t="s">
        <v>5399</v>
      </c>
      <c r="C3179" s="213" t="s">
        <v>5400</v>
      </c>
    </row>
    <row r="3180" spans="1:3" x14ac:dyDescent="0.25">
      <c r="A3180" s="211">
        <f t="shared" si="49"/>
        <v>8520012</v>
      </c>
      <c r="B3180" s="213" t="s">
        <v>5401</v>
      </c>
      <c r="C3180" s="213" t="s">
        <v>5402</v>
      </c>
    </row>
    <row r="3181" spans="1:3" x14ac:dyDescent="0.25">
      <c r="A3181" s="211">
        <f t="shared" si="49"/>
        <v>8520013</v>
      </c>
      <c r="B3181" s="213" t="s">
        <v>5403</v>
      </c>
      <c r="C3181" s="213" t="s">
        <v>5404</v>
      </c>
    </row>
    <row r="3182" spans="1:3" x14ac:dyDescent="0.25">
      <c r="A3182" s="211">
        <f t="shared" si="49"/>
        <v>8520014</v>
      </c>
      <c r="B3182" s="213" t="s">
        <v>5405</v>
      </c>
      <c r="C3182" s="213" t="s">
        <v>13355</v>
      </c>
    </row>
    <row r="3183" spans="1:3" x14ac:dyDescent="0.25">
      <c r="A3183" s="211">
        <f t="shared" si="49"/>
        <v>8520015</v>
      </c>
      <c r="B3183" s="213" t="s">
        <v>5406</v>
      </c>
      <c r="C3183" s="213" t="s">
        <v>5407</v>
      </c>
    </row>
    <row r="3184" spans="1:3" x14ac:dyDescent="0.25">
      <c r="A3184" s="211">
        <f t="shared" si="49"/>
        <v>8520016</v>
      </c>
      <c r="B3184" s="213" t="s">
        <v>5408</v>
      </c>
      <c r="C3184" s="213" t="s">
        <v>5409</v>
      </c>
    </row>
    <row r="3185" spans="1:3" x14ac:dyDescent="0.25">
      <c r="A3185" s="211">
        <f t="shared" si="49"/>
        <v>8520017</v>
      </c>
      <c r="B3185" s="213" t="s">
        <v>5410</v>
      </c>
      <c r="C3185" s="213" t="s">
        <v>5411</v>
      </c>
    </row>
    <row r="3186" spans="1:3" x14ac:dyDescent="0.25">
      <c r="A3186" s="211">
        <f t="shared" si="49"/>
        <v>8520018</v>
      </c>
      <c r="B3186" s="213" t="s">
        <v>5412</v>
      </c>
      <c r="C3186" s="213" t="s">
        <v>5413</v>
      </c>
    </row>
    <row r="3187" spans="1:3" x14ac:dyDescent="0.25">
      <c r="A3187" s="211">
        <f t="shared" si="49"/>
        <v>8520019</v>
      </c>
      <c r="B3187" s="213" t="s">
        <v>5414</v>
      </c>
      <c r="C3187" s="213" t="s">
        <v>5415</v>
      </c>
    </row>
    <row r="3188" spans="1:3" x14ac:dyDescent="0.25">
      <c r="A3188" s="211">
        <f t="shared" si="49"/>
        <v>8520020</v>
      </c>
      <c r="B3188" s="213" t="s">
        <v>5416</v>
      </c>
      <c r="C3188" s="213" t="s">
        <v>5417</v>
      </c>
    </row>
    <row r="3189" spans="1:3" x14ac:dyDescent="0.25">
      <c r="A3189" s="211">
        <f t="shared" si="49"/>
        <v>8520021</v>
      </c>
      <c r="B3189" s="213" t="s">
        <v>5418</v>
      </c>
      <c r="C3189" s="213" t="s">
        <v>5417</v>
      </c>
    </row>
    <row r="3190" spans="1:3" x14ac:dyDescent="0.25">
      <c r="A3190" s="211">
        <f t="shared" si="49"/>
        <v>8520022</v>
      </c>
      <c r="B3190" s="213" t="s">
        <v>5419</v>
      </c>
      <c r="C3190" s="213" t="s">
        <v>5420</v>
      </c>
    </row>
    <row r="3191" spans="1:3" x14ac:dyDescent="0.25">
      <c r="A3191" s="211">
        <f t="shared" si="49"/>
        <v>8520023</v>
      </c>
      <c r="B3191" s="213" t="s">
        <v>5421</v>
      </c>
      <c r="C3191" s="213" t="s">
        <v>5422</v>
      </c>
    </row>
    <row r="3192" spans="1:3" x14ac:dyDescent="0.25">
      <c r="A3192" s="211">
        <f t="shared" si="49"/>
        <v>8520024</v>
      </c>
      <c r="B3192" s="213" t="s">
        <v>5423</v>
      </c>
      <c r="C3192" s="213" t="s">
        <v>5424</v>
      </c>
    </row>
    <row r="3193" spans="1:3" x14ac:dyDescent="0.25">
      <c r="A3193" s="211">
        <f t="shared" si="49"/>
        <v>8520025</v>
      </c>
      <c r="B3193" s="213" t="s">
        <v>5425</v>
      </c>
      <c r="C3193" s="213" t="s">
        <v>5426</v>
      </c>
    </row>
    <row r="3194" spans="1:3" x14ac:dyDescent="0.25">
      <c r="A3194" s="211">
        <f t="shared" si="49"/>
        <v>8520026</v>
      </c>
      <c r="B3194" s="213" t="s">
        <v>5427</v>
      </c>
      <c r="C3194" s="213" t="s">
        <v>5428</v>
      </c>
    </row>
    <row r="3195" spans="1:3" x14ac:dyDescent="0.25">
      <c r="A3195" s="211">
        <f t="shared" si="49"/>
        <v>8520027</v>
      </c>
      <c r="B3195" s="213" t="s">
        <v>5429</v>
      </c>
      <c r="C3195" s="213" t="s">
        <v>5430</v>
      </c>
    </row>
    <row r="3196" spans="1:3" x14ac:dyDescent="0.25">
      <c r="A3196" s="211">
        <f t="shared" si="49"/>
        <v>8520028</v>
      </c>
      <c r="B3196" s="213" t="s">
        <v>5431</v>
      </c>
      <c r="C3196" s="213" t="s">
        <v>5432</v>
      </c>
    </row>
    <row r="3197" spans="1:3" x14ac:dyDescent="0.25">
      <c r="A3197" s="211">
        <f t="shared" si="49"/>
        <v>8520029</v>
      </c>
      <c r="B3197" s="213" t="s">
        <v>5433</v>
      </c>
      <c r="C3197" s="213" t="s">
        <v>5434</v>
      </c>
    </row>
    <row r="3198" spans="1:3" x14ac:dyDescent="0.25">
      <c r="A3198" s="211">
        <f t="shared" si="49"/>
        <v>8520030</v>
      </c>
      <c r="B3198" s="213" t="s">
        <v>5435</v>
      </c>
      <c r="C3198" s="213" t="s">
        <v>5436</v>
      </c>
    </row>
    <row r="3199" spans="1:3" x14ac:dyDescent="0.25">
      <c r="A3199" s="211">
        <f t="shared" si="49"/>
        <v>8520031</v>
      </c>
      <c r="B3199" s="213" t="s">
        <v>5437</v>
      </c>
      <c r="C3199" s="213" t="s">
        <v>5438</v>
      </c>
    </row>
    <row r="3200" spans="1:3" x14ac:dyDescent="0.25">
      <c r="A3200" s="211">
        <f t="shared" si="49"/>
        <v>8520032</v>
      </c>
      <c r="B3200" s="213" t="s">
        <v>5439</v>
      </c>
      <c r="C3200" s="213" t="s">
        <v>5440</v>
      </c>
    </row>
    <row r="3201" spans="1:3" x14ac:dyDescent="0.25">
      <c r="A3201" s="211">
        <f t="shared" si="49"/>
        <v>8520033</v>
      </c>
      <c r="B3201" s="213" t="s">
        <v>5441</v>
      </c>
      <c r="C3201" s="213" t="s">
        <v>5442</v>
      </c>
    </row>
    <row r="3202" spans="1:3" x14ac:dyDescent="0.25">
      <c r="A3202" s="211">
        <f t="shared" ref="A3202:A3265" si="50">IFERROR(B3202*1,"")</f>
        <v>8520034</v>
      </c>
      <c r="B3202" s="213" t="s">
        <v>5443</v>
      </c>
      <c r="C3202" s="213" t="s">
        <v>5444</v>
      </c>
    </row>
    <row r="3203" spans="1:3" x14ac:dyDescent="0.25">
      <c r="A3203" s="211">
        <f t="shared" si="50"/>
        <v>8520035</v>
      </c>
      <c r="B3203" s="213" t="s">
        <v>5445</v>
      </c>
      <c r="C3203" s="213" t="s">
        <v>5446</v>
      </c>
    </row>
    <row r="3204" spans="1:3" x14ac:dyDescent="0.25">
      <c r="A3204" s="211">
        <f t="shared" si="50"/>
        <v>8520036</v>
      </c>
      <c r="B3204" s="213" t="s">
        <v>5447</v>
      </c>
      <c r="C3204" s="213" t="s">
        <v>5448</v>
      </c>
    </row>
    <row r="3205" spans="1:3" x14ac:dyDescent="0.25">
      <c r="A3205" s="211">
        <f t="shared" si="50"/>
        <v>8520037</v>
      </c>
      <c r="B3205" s="213" t="s">
        <v>5449</v>
      </c>
      <c r="C3205" s="213" t="s">
        <v>5450</v>
      </c>
    </row>
    <row r="3206" spans="1:3" x14ac:dyDescent="0.25">
      <c r="A3206" s="211">
        <f t="shared" si="50"/>
        <v>8520040</v>
      </c>
      <c r="B3206" s="213" t="s">
        <v>5451</v>
      </c>
      <c r="C3206" s="213" t="s">
        <v>5452</v>
      </c>
    </row>
    <row r="3207" spans="1:3" x14ac:dyDescent="0.25">
      <c r="A3207" s="211">
        <f t="shared" si="50"/>
        <v>8520042</v>
      </c>
      <c r="B3207" s="213" t="s">
        <v>5453</v>
      </c>
      <c r="C3207" s="213" t="s">
        <v>5454</v>
      </c>
    </row>
    <row r="3208" spans="1:3" x14ac:dyDescent="0.25">
      <c r="A3208" s="211" t="str">
        <f t="shared" si="50"/>
        <v/>
      </c>
      <c r="B3208" s="213" t="s">
        <v>13839</v>
      </c>
      <c r="C3208" s="212"/>
    </row>
    <row r="3209" spans="1:3" x14ac:dyDescent="0.25">
      <c r="A3209" s="211">
        <f t="shared" si="50"/>
        <v>8520045</v>
      </c>
      <c r="B3209" s="213" t="s">
        <v>5455</v>
      </c>
      <c r="C3209" s="213" t="s">
        <v>5456</v>
      </c>
    </row>
    <row r="3210" spans="1:3" x14ac:dyDescent="0.25">
      <c r="A3210" s="211">
        <f t="shared" si="50"/>
        <v>8520050</v>
      </c>
      <c r="B3210" s="213" t="s">
        <v>5457</v>
      </c>
      <c r="C3210" s="213" t="s">
        <v>5458</v>
      </c>
    </row>
    <row r="3211" spans="1:3" x14ac:dyDescent="0.25">
      <c r="A3211" s="211">
        <f t="shared" si="50"/>
        <v>8520051</v>
      </c>
      <c r="B3211" s="213" t="s">
        <v>5459</v>
      </c>
      <c r="C3211" s="213" t="s">
        <v>5460</v>
      </c>
    </row>
    <row r="3212" spans="1:3" x14ac:dyDescent="0.25">
      <c r="A3212" s="211">
        <f t="shared" si="50"/>
        <v>8520052</v>
      </c>
      <c r="B3212" s="213" t="s">
        <v>5461</v>
      </c>
      <c r="C3212" s="213" t="s">
        <v>5462</v>
      </c>
    </row>
    <row r="3213" spans="1:3" x14ac:dyDescent="0.25">
      <c r="A3213" s="211">
        <f t="shared" si="50"/>
        <v>8520059</v>
      </c>
      <c r="B3213" s="213" t="s">
        <v>5463</v>
      </c>
      <c r="C3213" s="213" t="s">
        <v>5464</v>
      </c>
    </row>
    <row r="3214" spans="1:3" x14ac:dyDescent="0.25">
      <c r="A3214" s="211">
        <f t="shared" si="50"/>
        <v>8520060</v>
      </c>
      <c r="B3214" s="213" t="s">
        <v>5465</v>
      </c>
      <c r="C3214" s="213" t="s">
        <v>5466</v>
      </c>
    </row>
    <row r="3215" spans="1:3" x14ac:dyDescent="0.25">
      <c r="A3215" s="211">
        <f t="shared" si="50"/>
        <v>8520064</v>
      </c>
      <c r="B3215" s="213" t="s">
        <v>5467</v>
      </c>
      <c r="C3215" s="213" t="s">
        <v>5468</v>
      </c>
    </row>
    <row r="3216" spans="1:3" x14ac:dyDescent="0.25">
      <c r="A3216" s="211">
        <f t="shared" si="50"/>
        <v>8520065</v>
      </c>
      <c r="B3216" s="213" t="s">
        <v>5469</v>
      </c>
      <c r="C3216" s="213" t="s">
        <v>5470</v>
      </c>
    </row>
    <row r="3217" spans="1:3" x14ac:dyDescent="0.25">
      <c r="A3217" s="211">
        <f t="shared" si="50"/>
        <v>8520066</v>
      </c>
      <c r="B3217" s="213" t="s">
        <v>5471</v>
      </c>
      <c r="C3217" s="213" t="s">
        <v>5472</v>
      </c>
    </row>
    <row r="3218" spans="1:3" x14ac:dyDescent="0.25">
      <c r="A3218" s="211">
        <f t="shared" si="50"/>
        <v>8520067</v>
      </c>
      <c r="B3218" s="213" t="s">
        <v>5473</v>
      </c>
      <c r="C3218" s="213" t="s">
        <v>5474</v>
      </c>
    </row>
    <row r="3219" spans="1:3" x14ac:dyDescent="0.25">
      <c r="A3219" s="211">
        <f t="shared" si="50"/>
        <v>8520068</v>
      </c>
      <c r="B3219" s="213" t="s">
        <v>5475</v>
      </c>
      <c r="C3219" s="213" t="s">
        <v>5476</v>
      </c>
    </row>
    <row r="3220" spans="1:3" x14ac:dyDescent="0.25">
      <c r="A3220" s="211">
        <f t="shared" si="50"/>
        <v>8520070</v>
      </c>
      <c r="B3220" s="213" t="s">
        <v>5477</v>
      </c>
      <c r="C3220" s="213" t="s">
        <v>5478</v>
      </c>
    </row>
    <row r="3221" spans="1:3" x14ac:dyDescent="0.25">
      <c r="A3221" s="211">
        <f t="shared" si="50"/>
        <v>8520100</v>
      </c>
      <c r="B3221" s="213" t="s">
        <v>5479</v>
      </c>
      <c r="C3221" s="213" t="s">
        <v>5480</v>
      </c>
    </row>
    <row r="3222" spans="1:3" x14ac:dyDescent="0.25">
      <c r="A3222" s="211">
        <f t="shared" si="50"/>
        <v>8520101</v>
      </c>
      <c r="B3222" s="213" t="s">
        <v>5481</v>
      </c>
      <c r="C3222" s="213" t="s">
        <v>13356</v>
      </c>
    </row>
    <row r="3223" spans="1:3" x14ac:dyDescent="0.25">
      <c r="A3223" s="211">
        <f t="shared" si="50"/>
        <v>8520102</v>
      </c>
      <c r="B3223" s="213" t="s">
        <v>5482</v>
      </c>
      <c r="C3223" s="213" t="s">
        <v>5483</v>
      </c>
    </row>
    <row r="3224" spans="1:3" x14ac:dyDescent="0.25">
      <c r="A3224" s="211">
        <f t="shared" si="50"/>
        <v>8520103</v>
      </c>
      <c r="B3224" s="213" t="s">
        <v>5484</v>
      </c>
      <c r="C3224" s="213" t="s">
        <v>5485</v>
      </c>
    </row>
    <row r="3225" spans="1:3" x14ac:dyDescent="0.25">
      <c r="A3225" s="211">
        <f t="shared" si="50"/>
        <v>8520104</v>
      </c>
      <c r="B3225" s="213" t="s">
        <v>5486</v>
      </c>
      <c r="C3225" s="213" t="s">
        <v>5487</v>
      </c>
    </row>
    <row r="3226" spans="1:3" x14ac:dyDescent="0.25">
      <c r="A3226" s="211">
        <f t="shared" si="50"/>
        <v>8520105</v>
      </c>
      <c r="B3226" s="213" t="s">
        <v>5488</v>
      </c>
      <c r="C3226" s="213" t="s">
        <v>5489</v>
      </c>
    </row>
    <row r="3227" spans="1:3" x14ac:dyDescent="0.25">
      <c r="A3227" s="211">
        <f t="shared" si="50"/>
        <v>8520106</v>
      </c>
      <c r="B3227" s="213" t="s">
        <v>5490</v>
      </c>
      <c r="C3227" s="213" t="s">
        <v>5491</v>
      </c>
    </row>
    <row r="3228" spans="1:3" x14ac:dyDescent="0.25">
      <c r="A3228" s="211">
        <f t="shared" si="50"/>
        <v>8520110</v>
      </c>
      <c r="B3228" s="213" t="s">
        <v>5492</v>
      </c>
      <c r="C3228" s="213" t="s">
        <v>5493</v>
      </c>
    </row>
    <row r="3229" spans="1:3" x14ac:dyDescent="0.25">
      <c r="A3229" s="211">
        <f t="shared" si="50"/>
        <v>85201100</v>
      </c>
      <c r="B3229" s="213" t="s">
        <v>5494</v>
      </c>
      <c r="C3229" s="213" t="s">
        <v>5495</v>
      </c>
    </row>
    <row r="3230" spans="1:3" x14ac:dyDescent="0.25">
      <c r="A3230" s="211">
        <f t="shared" si="50"/>
        <v>8520111</v>
      </c>
      <c r="B3230" s="213" t="s">
        <v>5496</v>
      </c>
      <c r="C3230" s="213" t="s">
        <v>5497</v>
      </c>
    </row>
    <row r="3231" spans="1:3" x14ac:dyDescent="0.25">
      <c r="A3231" s="211">
        <f t="shared" si="50"/>
        <v>8520115</v>
      </c>
      <c r="B3231" s="213" t="s">
        <v>5498</v>
      </c>
      <c r="C3231" s="213" t="s">
        <v>5499</v>
      </c>
    </row>
    <row r="3232" spans="1:3" x14ac:dyDescent="0.25">
      <c r="A3232" s="211">
        <f t="shared" si="50"/>
        <v>8520116</v>
      </c>
      <c r="B3232" s="213" t="s">
        <v>5500</v>
      </c>
      <c r="C3232" s="213" t="s">
        <v>5501</v>
      </c>
    </row>
    <row r="3233" spans="1:3" x14ac:dyDescent="0.25">
      <c r="A3233" s="211">
        <f t="shared" si="50"/>
        <v>8520118</v>
      </c>
      <c r="B3233" s="213" t="s">
        <v>5503</v>
      </c>
      <c r="C3233" s="213" t="s">
        <v>5504</v>
      </c>
    </row>
    <row r="3234" spans="1:3" x14ac:dyDescent="0.25">
      <c r="A3234" s="211">
        <f t="shared" si="50"/>
        <v>8520119</v>
      </c>
      <c r="B3234" s="213" t="s">
        <v>5505</v>
      </c>
      <c r="C3234" s="213" t="s">
        <v>5506</v>
      </c>
    </row>
    <row r="3235" spans="1:3" x14ac:dyDescent="0.25">
      <c r="A3235" s="211">
        <f t="shared" si="50"/>
        <v>8520120</v>
      </c>
      <c r="B3235" s="213" t="s">
        <v>5507</v>
      </c>
      <c r="C3235" s="213" t="s">
        <v>5508</v>
      </c>
    </row>
    <row r="3236" spans="1:3" x14ac:dyDescent="0.25">
      <c r="A3236" s="211">
        <f t="shared" si="50"/>
        <v>8520121</v>
      </c>
      <c r="B3236" s="213" t="s">
        <v>5509</v>
      </c>
      <c r="C3236" s="213" t="s">
        <v>5510</v>
      </c>
    </row>
    <row r="3237" spans="1:3" x14ac:dyDescent="0.25">
      <c r="A3237" s="211">
        <f t="shared" si="50"/>
        <v>8520122</v>
      </c>
      <c r="B3237" s="213" t="s">
        <v>5511</v>
      </c>
      <c r="C3237" s="213" t="s">
        <v>5512</v>
      </c>
    </row>
    <row r="3238" spans="1:3" x14ac:dyDescent="0.25">
      <c r="A3238" s="211">
        <f t="shared" si="50"/>
        <v>8520123</v>
      </c>
      <c r="B3238" s="213" t="s">
        <v>5513</v>
      </c>
      <c r="C3238" s="213" t="s">
        <v>5514</v>
      </c>
    </row>
    <row r="3239" spans="1:3" x14ac:dyDescent="0.25">
      <c r="A3239" s="211">
        <f t="shared" si="50"/>
        <v>8520124</v>
      </c>
      <c r="B3239" s="213" t="s">
        <v>5515</v>
      </c>
      <c r="C3239" s="213" t="s">
        <v>14119</v>
      </c>
    </row>
    <row r="3240" spans="1:3" x14ac:dyDescent="0.25">
      <c r="A3240" s="211">
        <f t="shared" si="50"/>
        <v>8520125</v>
      </c>
      <c r="B3240" s="213" t="s">
        <v>5516</v>
      </c>
      <c r="C3240" s="213" t="s">
        <v>5517</v>
      </c>
    </row>
    <row r="3241" spans="1:3" x14ac:dyDescent="0.25">
      <c r="A3241" s="211">
        <f t="shared" si="50"/>
        <v>8520126</v>
      </c>
      <c r="B3241" s="213" t="s">
        <v>5518</v>
      </c>
      <c r="C3241" s="213" t="s">
        <v>5519</v>
      </c>
    </row>
    <row r="3242" spans="1:3" x14ac:dyDescent="0.25">
      <c r="A3242" s="211">
        <f t="shared" si="50"/>
        <v>8520127</v>
      </c>
      <c r="B3242" s="213" t="s">
        <v>5520</v>
      </c>
      <c r="C3242" s="213" t="s">
        <v>5521</v>
      </c>
    </row>
    <row r="3243" spans="1:3" x14ac:dyDescent="0.25">
      <c r="A3243" s="211">
        <f t="shared" si="50"/>
        <v>8520130</v>
      </c>
      <c r="B3243" s="213" t="s">
        <v>5522</v>
      </c>
      <c r="C3243" s="213" t="s">
        <v>5523</v>
      </c>
    </row>
    <row r="3244" spans="1:3" x14ac:dyDescent="0.25">
      <c r="A3244" s="211">
        <f t="shared" si="50"/>
        <v>8520141</v>
      </c>
      <c r="B3244" s="213" t="s">
        <v>5524</v>
      </c>
      <c r="C3244" s="213" t="s">
        <v>5525</v>
      </c>
    </row>
    <row r="3245" spans="1:3" x14ac:dyDescent="0.25">
      <c r="A3245" s="211">
        <f t="shared" si="50"/>
        <v>8520142</v>
      </c>
      <c r="B3245" s="213" t="s">
        <v>5526</v>
      </c>
      <c r="C3245" s="213" t="s">
        <v>5527</v>
      </c>
    </row>
    <row r="3246" spans="1:3" x14ac:dyDescent="0.25">
      <c r="A3246" s="211">
        <f t="shared" si="50"/>
        <v>8520143</v>
      </c>
      <c r="B3246" s="213" t="s">
        <v>5528</v>
      </c>
      <c r="C3246" s="213" t="s">
        <v>5529</v>
      </c>
    </row>
    <row r="3247" spans="1:3" x14ac:dyDescent="0.25">
      <c r="A3247" s="211">
        <f t="shared" si="50"/>
        <v>8520144</v>
      </c>
      <c r="B3247" s="213" t="s">
        <v>5530</v>
      </c>
      <c r="C3247" s="213" t="s">
        <v>5531</v>
      </c>
    </row>
    <row r="3248" spans="1:3" x14ac:dyDescent="0.25">
      <c r="A3248" s="211">
        <f t="shared" si="50"/>
        <v>8520155</v>
      </c>
      <c r="B3248" s="213" t="s">
        <v>5532</v>
      </c>
      <c r="C3248" s="213" t="s">
        <v>5533</v>
      </c>
    </row>
    <row r="3249" spans="1:3" x14ac:dyDescent="0.25">
      <c r="A3249" s="211">
        <f t="shared" si="50"/>
        <v>8520162</v>
      </c>
      <c r="B3249" s="213" t="s">
        <v>5534</v>
      </c>
      <c r="C3249" s="213" t="s">
        <v>5535</v>
      </c>
    </row>
    <row r="3250" spans="1:3" x14ac:dyDescent="0.25">
      <c r="A3250" s="211">
        <f t="shared" si="50"/>
        <v>8520165</v>
      </c>
      <c r="B3250" s="213" t="s">
        <v>5536</v>
      </c>
      <c r="C3250" s="213" t="s">
        <v>13357</v>
      </c>
    </row>
    <row r="3251" spans="1:3" x14ac:dyDescent="0.25">
      <c r="A3251" s="211">
        <f t="shared" si="50"/>
        <v>8520166</v>
      </c>
      <c r="B3251" s="213" t="s">
        <v>5537</v>
      </c>
      <c r="C3251" s="213" t="s">
        <v>5538</v>
      </c>
    </row>
    <row r="3252" spans="1:3" x14ac:dyDescent="0.25">
      <c r="A3252" s="211">
        <f t="shared" si="50"/>
        <v>8520175</v>
      </c>
      <c r="B3252" s="213" t="s">
        <v>5539</v>
      </c>
      <c r="C3252" s="213" t="s">
        <v>5540</v>
      </c>
    </row>
    <row r="3253" spans="1:3" x14ac:dyDescent="0.25">
      <c r="A3253" s="211">
        <f t="shared" si="50"/>
        <v>8520190</v>
      </c>
      <c r="B3253" s="213" t="s">
        <v>5541</v>
      </c>
      <c r="C3253" s="213" t="s">
        <v>5542</v>
      </c>
    </row>
    <row r="3254" spans="1:3" x14ac:dyDescent="0.25">
      <c r="A3254" s="211">
        <f t="shared" si="50"/>
        <v>8520209</v>
      </c>
      <c r="B3254" s="213" t="s">
        <v>5543</v>
      </c>
      <c r="C3254" s="213" t="s">
        <v>5544</v>
      </c>
    </row>
    <row r="3255" spans="1:3" x14ac:dyDescent="0.25">
      <c r="A3255" s="211">
        <f t="shared" si="50"/>
        <v>8520220</v>
      </c>
      <c r="B3255" s="213" t="s">
        <v>5545</v>
      </c>
      <c r="C3255" s="213" t="s">
        <v>7671</v>
      </c>
    </row>
    <row r="3256" spans="1:3" x14ac:dyDescent="0.25">
      <c r="A3256" s="211">
        <f t="shared" si="50"/>
        <v>8520222</v>
      </c>
      <c r="B3256" s="213" t="s">
        <v>5546</v>
      </c>
      <c r="C3256" s="213" t="s">
        <v>5547</v>
      </c>
    </row>
    <row r="3257" spans="1:3" x14ac:dyDescent="0.25">
      <c r="A3257" s="211">
        <f t="shared" si="50"/>
        <v>8520230</v>
      </c>
      <c r="B3257" s="213" t="s">
        <v>5548</v>
      </c>
      <c r="C3257" s="213" t="s">
        <v>5549</v>
      </c>
    </row>
    <row r="3258" spans="1:3" x14ac:dyDescent="0.25">
      <c r="A3258" s="211">
        <f t="shared" si="50"/>
        <v>8520264</v>
      </c>
      <c r="B3258" s="213" t="s">
        <v>5550</v>
      </c>
      <c r="C3258" s="213" t="s">
        <v>5551</v>
      </c>
    </row>
    <row r="3259" spans="1:3" x14ac:dyDescent="0.25">
      <c r="A3259" s="211">
        <f t="shared" si="50"/>
        <v>8520265</v>
      </c>
      <c r="B3259" s="213" t="s">
        <v>5552</v>
      </c>
      <c r="C3259" s="213" t="s">
        <v>5553</v>
      </c>
    </row>
    <row r="3260" spans="1:3" x14ac:dyDescent="0.25">
      <c r="A3260" s="211">
        <f t="shared" si="50"/>
        <v>8520271</v>
      </c>
      <c r="B3260" s="213" t="s">
        <v>5554</v>
      </c>
      <c r="C3260" s="213" t="s">
        <v>5555</v>
      </c>
    </row>
    <row r="3261" spans="1:3" x14ac:dyDescent="0.25">
      <c r="A3261" s="211">
        <f t="shared" si="50"/>
        <v>8520282</v>
      </c>
      <c r="B3261" s="213" t="s">
        <v>5556</v>
      </c>
      <c r="C3261" s="213" t="s">
        <v>5557</v>
      </c>
    </row>
    <row r="3262" spans="1:3" x14ac:dyDescent="0.25">
      <c r="A3262" s="211">
        <f t="shared" si="50"/>
        <v>8520290</v>
      </c>
      <c r="B3262" s="213" t="s">
        <v>5558</v>
      </c>
      <c r="C3262" s="213" t="s">
        <v>5559</v>
      </c>
    </row>
    <row r="3263" spans="1:3" x14ac:dyDescent="0.25">
      <c r="A3263" s="211">
        <f t="shared" si="50"/>
        <v>8520305</v>
      </c>
      <c r="B3263" s="213" t="s">
        <v>5560</v>
      </c>
      <c r="C3263" s="213" t="s">
        <v>5561</v>
      </c>
    </row>
    <row r="3264" spans="1:3" x14ac:dyDescent="0.25">
      <c r="A3264" s="211">
        <f t="shared" si="50"/>
        <v>8520306</v>
      </c>
      <c r="B3264" s="213" t="s">
        <v>5562</v>
      </c>
      <c r="C3264" s="213" t="s">
        <v>5563</v>
      </c>
    </row>
    <row r="3265" spans="1:3" x14ac:dyDescent="0.25">
      <c r="A3265" s="211">
        <f t="shared" si="50"/>
        <v>8520372</v>
      </c>
      <c r="B3265" s="213" t="s">
        <v>5564</v>
      </c>
      <c r="C3265" s="213" t="s">
        <v>5565</v>
      </c>
    </row>
    <row r="3266" spans="1:3" x14ac:dyDescent="0.25">
      <c r="A3266" s="211">
        <f t="shared" ref="A3266:A3329" si="51">IFERROR(B3266*1,"")</f>
        <v>8520398</v>
      </c>
      <c r="B3266" s="213" t="s">
        <v>5566</v>
      </c>
      <c r="C3266" s="213" t="s">
        <v>5567</v>
      </c>
    </row>
    <row r="3267" spans="1:3" x14ac:dyDescent="0.25">
      <c r="A3267" s="211">
        <f t="shared" si="51"/>
        <v>8520407</v>
      </c>
      <c r="B3267" s="213" t="s">
        <v>5568</v>
      </c>
      <c r="C3267" s="213" t="s">
        <v>5569</v>
      </c>
    </row>
    <row r="3268" spans="1:3" x14ac:dyDescent="0.25">
      <c r="A3268" s="211">
        <f t="shared" si="51"/>
        <v>8520419</v>
      </c>
      <c r="B3268" s="213" t="s">
        <v>5570</v>
      </c>
      <c r="C3268" s="213" t="s">
        <v>5571</v>
      </c>
    </row>
    <row r="3269" spans="1:3" x14ac:dyDescent="0.25">
      <c r="A3269" s="211">
        <f t="shared" si="51"/>
        <v>8520458</v>
      </c>
      <c r="B3269" s="213" t="s">
        <v>5572</v>
      </c>
      <c r="C3269" s="213" t="s">
        <v>13358</v>
      </c>
    </row>
    <row r="3270" spans="1:3" x14ac:dyDescent="0.25">
      <c r="A3270" s="211">
        <f t="shared" si="51"/>
        <v>8520506</v>
      </c>
      <c r="B3270" s="213" t="s">
        <v>5573</v>
      </c>
      <c r="C3270" s="213" t="s">
        <v>5574</v>
      </c>
    </row>
    <row r="3271" spans="1:3" x14ac:dyDescent="0.25">
      <c r="A3271" s="211">
        <f t="shared" si="51"/>
        <v>8520507</v>
      </c>
      <c r="B3271" s="213" t="s">
        <v>5575</v>
      </c>
      <c r="C3271" s="213" t="s">
        <v>5576</v>
      </c>
    </row>
    <row r="3272" spans="1:3" x14ac:dyDescent="0.25">
      <c r="A3272" s="211">
        <f t="shared" si="51"/>
        <v>8520508</v>
      </c>
      <c r="B3272" s="213" t="s">
        <v>5577</v>
      </c>
      <c r="C3272" s="213" t="s">
        <v>5578</v>
      </c>
    </row>
    <row r="3273" spans="1:3" x14ac:dyDescent="0.25">
      <c r="A3273" s="211">
        <f t="shared" si="51"/>
        <v>8520509</v>
      </c>
      <c r="B3273" s="213" t="s">
        <v>5579</v>
      </c>
      <c r="C3273" s="213" t="s">
        <v>5580</v>
      </c>
    </row>
    <row r="3274" spans="1:3" x14ac:dyDescent="0.25">
      <c r="A3274" s="211">
        <f t="shared" si="51"/>
        <v>8520510</v>
      </c>
      <c r="B3274" s="213" t="s">
        <v>5581</v>
      </c>
      <c r="C3274" s="213" t="s">
        <v>5582</v>
      </c>
    </row>
    <row r="3275" spans="1:3" x14ac:dyDescent="0.25">
      <c r="A3275" s="211">
        <f t="shared" si="51"/>
        <v>8520511</v>
      </c>
      <c r="B3275" s="213" t="s">
        <v>5583</v>
      </c>
      <c r="C3275" s="213" t="s">
        <v>13359</v>
      </c>
    </row>
    <row r="3276" spans="1:3" x14ac:dyDescent="0.25">
      <c r="A3276" s="211">
        <f t="shared" si="51"/>
        <v>8520512</v>
      </c>
      <c r="B3276" s="213" t="s">
        <v>5584</v>
      </c>
      <c r="C3276" s="213" t="s">
        <v>5585</v>
      </c>
    </row>
    <row r="3277" spans="1:3" x14ac:dyDescent="0.25">
      <c r="A3277" s="211">
        <f t="shared" si="51"/>
        <v>8520513</v>
      </c>
      <c r="B3277" s="213" t="s">
        <v>5586</v>
      </c>
      <c r="C3277" s="213" t="s">
        <v>5587</v>
      </c>
    </row>
    <row r="3278" spans="1:3" x14ac:dyDescent="0.25">
      <c r="A3278" s="211">
        <f t="shared" si="51"/>
        <v>8520517</v>
      </c>
      <c r="B3278" s="213" t="s">
        <v>5588</v>
      </c>
      <c r="C3278" s="213" t="s">
        <v>5589</v>
      </c>
    </row>
    <row r="3279" spans="1:3" x14ac:dyDescent="0.25">
      <c r="A3279" s="211">
        <f t="shared" si="51"/>
        <v>8520546</v>
      </c>
      <c r="B3279" s="213" t="s">
        <v>5590</v>
      </c>
      <c r="C3279" s="213" t="s">
        <v>5591</v>
      </c>
    </row>
    <row r="3280" spans="1:3" x14ac:dyDescent="0.25">
      <c r="A3280" s="211">
        <f t="shared" si="51"/>
        <v>8520556</v>
      </c>
      <c r="B3280" s="213" t="s">
        <v>5592</v>
      </c>
      <c r="C3280" s="213" t="s">
        <v>5593</v>
      </c>
    </row>
    <row r="3281" spans="1:3" x14ac:dyDescent="0.25">
      <c r="A3281" s="211">
        <f t="shared" si="51"/>
        <v>8520620</v>
      </c>
      <c r="B3281" s="213" t="s">
        <v>5594</v>
      </c>
      <c r="C3281" s="213" t="s">
        <v>5595</v>
      </c>
    </row>
    <row r="3282" spans="1:3" x14ac:dyDescent="0.25">
      <c r="A3282" s="211">
        <f t="shared" si="51"/>
        <v>8520623</v>
      </c>
      <c r="B3282" s="213" t="s">
        <v>5596</v>
      </c>
      <c r="C3282" s="213" t="s">
        <v>5597</v>
      </c>
    </row>
    <row r="3283" spans="1:3" x14ac:dyDescent="0.25">
      <c r="A3283" s="211">
        <f t="shared" si="51"/>
        <v>8520624</v>
      </c>
      <c r="B3283" s="213" t="s">
        <v>5598</v>
      </c>
      <c r="C3283" s="213" t="s">
        <v>5599</v>
      </c>
    </row>
    <row r="3284" spans="1:3" x14ac:dyDescent="0.25">
      <c r="A3284" s="211">
        <f t="shared" si="51"/>
        <v>8520625</v>
      </c>
      <c r="B3284" s="213" t="s">
        <v>5600</v>
      </c>
      <c r="C3284" s="213" t="s">
        <v>5601</v>
      </c>
    </row>
    <row r="3285" spans="1:3" x14ac:dyDescent="0.25">
      <c r="A3285" s="211">
        <f t="shared" si="51"/>
        <v>8520626</v>
      </c>
      <c r="B3285" s="213" t="s">
        <v>5602</v>
      </c>
      <c r="C3285" s="213" t="s">
        <v>5603</v>
      </c>
    </row>
    <row r="3286" spans="1:3" x14ac:dyDescent="0.25">
      <c r="A3286" s="211">
        <f t="shared" si="51"/>
        <v>8520629</v>
      </c>
      <c r="B3286" s="213" t="s">
        <v>5604</v>
      </c>
      <c r="C3286" s="213" t="s">
        <v>5605</v>
      </c>
    </row>
    <row r="3287" spans="1:3" x14ac:dyDescent="0.25">
      <c r="A3287" s="211">
        <f t="shared" si="51"/>
        <v>8520690</v>
      </c>
      <c r="B3287" s="213" t="s">
        <v>5606</v>
      </c>
      <c r="C3287" s="213" t="s">
        <v>5607</v>
      </c>
    </row>
    <row r="3288" spans="1:3" x14ac:dyDescent="0.25">
      <c r="A3288" s="211">
        <f t="shared" si="51"/>
        <v>8520691</v>
      </c>
      <c r="B3288" s="213" t="s">
        <v>5608</v>
      </c>
      <c r="C3288" s="213" t="s">
        <v>5609</v>
      </c>
    </row>
    <row r="3289" spans="1:3" x14ac:dyDescent="0.25">
      <c r="A3289" s="211">
        <f t="shared" si="51"/>
        <v>8520710</v>
      </c>
      <c r="B3289" s="213" t="s">
        <v>5610</v>
      </c>
      <c r="C3289" s="213" t="s">
        <v>13360</v>
      </c>
    </row>
    <row r="3290" spans="1:3" x14ac:dyDescent="0.25">
      <c r="A3290" s="211">
        <f t="shared" si="51"/>
        <v>8520726</v>
      </c>
      <c r="B3290" s="213" t="s">
        <v>5611</v>
      </c>
      <c r="C3290" s="213" t="s">
        <v>5612</v>
      </c>
    </row>
    <row r="3291" spans="1:3" x14ac:dyDescent="0.25">
      <c r="A3291" s="211">
        <f t="shared" si="51"/>
        <v>8520728</v>
      </c>
      <c r="B3291" s="213" t="s">
        <v>5613</v>
      </c>
      <c r="C3291" s="213" t="s">
        <v>5614</v>
      </c>
    </row>
    <row r="3292" spans="1:3" x14ac:dyDescent="0.25">
      <c r="A3292" s="211">
        <f t="shared" si="51"/>
        <v>8520729</v>
      </c>
      <c r="B3292" s="213" t="s">
        <v>5615</v>
      </c>
      <c r="C3292" s="213" t="s">
        <v>5616</v>
      </c>
    </row>
    <row r="3293" spans="1:3" x14ac:dyDescent="0.25">
      <c r="A3293" s="211">
        <f t="shared" si="51"/>
        <v>8520733</v>
      </c>
      <c r="B3293" s="213" t="s">
        <v>5617</v>
      </c>
      <c r="C3293" s="213" t="s">
        <v>5618</v>
      </c>
    </row>
    <row r="3294" spans="1:3" x14ac:dyDescent="0.25">
      <c r="A3294" s="211">
        <f t="shared" si="51"/>
        <v>8520738</v>
      </c>
      <c r="B3294" s="213" t="s">
        <v>5619</v>
      </c>
      <c r="C3294" s="213" t="s">
        <v>7672</v>
      </c>
    </row>
    <row r="3295" spans="1:3" x14ac:dyDescent="0.25">
      <c r="A3295" s="211">
        <f t="shared" si="51"/>
        <v>8520745</v>
      </c>
      <c r="B3295" s="213" t="s">
        <v>5620</v>
      </c>
      <c r="C3295" s="213" t="s">
        <v>5621</v>
      </c>
    </row>
    <row r="3296" spans="1:3" x14ac:dyDescent="0.25">
      <c r="A3296" s="211">
        <f t="shared" si="51"/>
        <v>8520746</v>
      </c>
      <c r="B3296" s="213" t="s">
        <v>5622</v>
      </c>
      <c r="C3296" s="213" t="s">
        <v>5623</v>
      </c>
    </row>
    <row r="3297" spans="1:3" x14ac:dyDescent="0.25">
      <c r="A3297" s="211">
        <f t="shared" si="51"/>
        <v>8520750</v>
      </c>
      <c r="B3297" s="213" t="s">
        <v>5624</v>
      </c>
      <c r="C3297" s="213" t="s">
        <v>7673</v>
      </c>
    </row>
    <row r="3298" spans="1:3" x14ac:dyDescent="0.25">
      <c r="A3298" s="211">
        <f t="shared" si="51"/>
        <v>8520751</v>
      </c>
      <c r="B3298" s="213" t="s">
        <v>5625</v>
      </c>
      <c r="C3298" s="213" t="s">
        <v>5626</v>
      </c>
    </row>
    <row r="3299" spans="1:3" x14ac:dyDescent="0.25">
      <c r="A3299" s="211">
        <f t="shared" si="51"/>
        <v>8520776</v>
      </c>
      <c r="B3299" s="213" t="s">
        <v>5627</v>
      </c>
      <c r="C3299" s="213" t="s">
        <v>5446</v>
      </c>
    </row>
    <row r="3300" spans="1:3" x14ac:dyDescent="0.25">
      <c r="A3300" s="211">
        <f t="shared" si="51"/>
        <v>8520779</v>
      </c>
      <c r="B3300" s="213" t="s">
        <v>5628</v>
      </c>
      <c r="C3300" s="213" t="s">
        <v>5629</v>
      </c>
    </row>
    <row r="3301" spans="1:3" x14ac:dyDescent="0.25">
      <c r="A3301" s="211">
        <f t="shared" si="51"/>
        <v>8520781</v>
      </c>
      <c r="B3301" s="213" t="s">
        <v>5630</v>
      </c>
      <c r="C3301" s="213" t="s">
        <v>5631</v>
      </c>
    </row>
    <row r="3302" spans="1:3" x14ac:dyDescent="0.25">
      <c r="A3302" s="211">
        <f t="shared" si="51"/>
        <v>8520802</v>
      </c>
      <c r="B3302" s="213" t="s">
        <v>5632</v>
      </c>
      <c r="C3302" s="213" t="s">
        <v>13361</v>
      </c>
    </row>
    <row r="3303" spans="1:3" x14ac:dyDescent="0.25">
      <c r="A3303" s="211">
        <f t="shared" si="51"/>
        <v>8520804</v>
      </c>
      <c r="B3303" s="213" t="s">
        <v>5633</v>
      </c>
      <c r="C3303" s="213" t="s">
        <v>5634</v>
      </c>
    </row>
    <row r="3304" spans="1:3" x14ac:dyDescent="0.25">
      <c r="A3304" s="211">
        <f t="shared" si="51"/>
        <v>8520813</v>
      </c>
      <c r="B3304" s="213" t="s">
        <v>5635</v>
      </c>
      <c r="C3304" s="213" t="s">
        <v>5636</v>
      </c>
    </row>
    <row r="3305" spans="1:3" x14ac:dyDescent="0.25">
      <c r="A3305" s="211">
        <f t="shared" si="51"/>
        <v>8520814</v>
      </c>
      <c r="B3305" s="213" t="s">
        <v>5637</v>
      </c>
      <c r="C3305" s="213" t="s">
        <v>13588</v>
      </c>
    </row>
    <row r="3306" spans="1:3" x14ac:dyDescent="0.25">
      <c r="A3306" s="211">
        <f t="shared" si="51"/>
        <v>8520817</v>
      </c>
      <c r="B3306" s="213" t="s">
        <v>5638</v>
      </c>
      <c r="C3306" s="213" t="s">
        <v>5639</v>
      </c>
    </row>
    <row r="3307" spans="1:3" x14ac:dyDescent="0.25">
      <c r="A3307" s="211">
        <f t="shared" si="51"/>
        <v>8520821</v>
      </c>
      <c r="B3307" s="213" t="s">
        <v>5640</v>
      </c>
      <c r="C3307" s="213" t="s">
        <v>5641</v>
      </c>
    </row>
    <row r="3308" spans="1:3" x14ac:dyDescent="0.25">
      <c r="A3308" s="211">
        <f t="shared" si="51"/>
        <v>8520824</v>
      </c>
      <c r="B3308" s="213" t="s">
        <v>5642</v>
      </c>
      <c r="C3308" s="213" t="s">
        <v>5643</v>
      </c>
    </row>
    <row r="3309" spans="1:3" x14ac:dyDescent="0.25">
      <c r="A3309" s="211">
        <f t="shared" si="51"/>
        <v>8520866</v>
      </c>
      <c r="B3309" s="213" t="s">
        <v>5644</v>
      </c>
      <c r="C3309" s="213" t="s">
        <v>5645</v>
      </c>
    </row>
    <row r="3310" spans="1:3" x14ac:dyDescent="0.25">
      <c r="A3310" s="211">
        <f t="shared" si="51"/>
        <v>8520925</v>
      </c>
      <c r="B3310" s="213" t="s">
        <v>5646</v>
      </c>
      <c r="C3310" s="213" t="s">
        <v>5647</v>
      </c>
    </row>
    <row r="3311" spans="1:3" x14ac:dyDescent="0.25">
      <c r="A3311" s="211">
        <f t="shared" si="51"/>
        <v>8520932</v>
      </c>
      <c r="B3311" s="213" t="s">
        <v>5648</v>
      </c>
      <c r="C3311" s="213" t="s">
        <v>5649</v>
      </c>
    </row>
    <row r="3312" spans="1:3" x14ac:dyDescent="0.25">
      <c r="A3312" s="211">
        <f t="shared" si="51"/>
        <v>8520936</v>
      </c>
      <c r="B3312" s="213" t="s">
        <v>5650</v>
      </c>
      <c r="C3312" s="213" t="s">
        <v>5651</v>
      </c>
    </row>
    <row r="3313" spans="1:3" x14ac:dyDescent="0.25">
      <c r="A3313" s="211">
        <f t="shared" si="51"/>
        <v>8520941</v>
      </c>
      <c r="B3313" s="213" t="s">
        <v>5652</v>
      </c>
      <c r="C3313" s="213" t="s">
        <v>5653</v>
      </c>
    </row>
    <row r="3314" spans="1:3" x14ac:dyDescent="0.25">
      <c r="A3314" s="211">
        <f t="shared" si="51"/>
        <v>8520942</v>
      </c>
      <c r="B3314" s="213" t="s">
        <v>5654</v>
      </c>
      <c r="C3314" s="213" t="s">
        <v>5655</v>
      </c>
    </row>
    <row r="3315" spans="1:3" x14ac:dyDescent="0.25">
      <c r="A3315" s="211">
        <f t="shared" si="51"/>
        <v>8520945</v>
      </c>
      <c r="B3315" s="213" t="s">
        <v>5656</v>
      </c>
      <c r="C3315" s="213" t="s">
        <v>5657</v>
      </c>
    </row>
    <row r="3316" spans="1:3" x14ac:dyDescent="0.25">
      <c r="A3316" s="211">
        <f t="shared" si="51"/>
        <v>8520946</v>
      </c>
      <c r="B3316" s="213" t="s">
        <v>5658</v>
      </c>
      <c r="C3316" s="213" t="s">
        <v>7674</v>
      </c>
    </row>
    <row r="3317" spans="1:3" x14ac:dyDescent="0.25">
      <c r="A3317" s="211">
        <f t="shared" si="51"/>
        <v>8520947</v>
      </c>
      <c r="B3317" s="213" t="s">
        <v>5659</v>
      </c>
      <c r="C3317" s="213" t="s">
        <v>5660</v>
      </c>
    </row>
    <row r="3318" spans="1:3" x14ac:dyDescent="0.25">
      <c r="A3318" s="211">
        <f t="shared" si="51"/>
        <v>8520948</v>
      </c>
      <c r="B3318" s="213" t="s">
        <v>5661</v>
      </c>
      <c r="C3318" s="213" t="s">
        <v>5662</v>
      </c>
    </row>
    <row r="3319" spans="1:3" x14ac:dyDescent="0.25">
      <c r="A3319" s="211">
        <f t="shared" si="51"/>
        <v>8520953</v>
      </c>
      <c r="B3319" s="213" t="s">
        <v>5663</v>
      </c>
      <c r="C3319" s="213" t="s">
        <v>5664</v>
      </c>
    </row>
    <row r="3320" spans="1:3" x14ac:dyDescent="0.25">
      <c r="A3320" s="211">
        <f t="shared" si="51"/>
        <v>8520986</v>
      </c>
      <c r="B3320" s="213" t="s">
        <v>13362</v>
      </c>
      <c r="C3320" s="213" t="s">
        <v>13363</v>
      </c>
    </row>
    <row r="3321" spans="1:3" x14ac:dyDescent="0.25">
      <c r="A3321" s="211">
        <f t="shared" si="51"/>
        <v>8520994</v>
      </c>
      <c r="B3321" s="213" t="s">
        <v>5665</v>
      </c>
      <c r="C3321" s="213" t="s">
        <v>5666</v>
      </c>
    </row>
    <row r="3322" spans="1:3" x14ac:dyDescent="0.25">
      <c r="A3322" s="211">
        <f t="shared" si="51"/>
        <v>8520999</v>
      </c>
      <c r="B3322" s="213" t="s">
        <v>5667</v>
      </c>
      <c r="C3322" s="213" t="s">
        <v>5668</v>
      </c>
    </row>
    <row r="3323" spans="1:3" x14ac:dyDescent="0.25">
      <c r="A3323" s="211">
        <f t="shared" si="51"/>
        <v>8521001</v>
      </c>
      <c r="B3323" s="213" t="s">
        <v>5669</v>
      </c>
      <c r="C3323" s="213" t="s">
        <v>5670</v>
      </c>
    </row>
    <row r="3324" spans="1:3" x14ac:dyDescent="0.25">
      <c r="A3324" s="211">
        <f t="shared" si="51"/>
        <v>8521002</v>
      </c>
      <c r="B3324" s="213" t="s">
        <v>5671</v>
      </c>
      <c r="C3324" s="213" t="s">
        <v>5672</v>
      </c>
    </row>
    <row r="3325" spans="1:3" x14ac:dyDescent="0.25">
      <c r="A3325" s="211">
        <f t="shared" si="51"/>
        <v>8521013</v>
      </c>
      <c r="B3325" s="213" t="s">
        <v>5673</v>
      </c>
      <c r="C3325" s="213" t="s">
        <v>5674</v>
      </c>
    </row>
    <row r="3326" spans="1:3" x14ac:dyDescent="0.25">
      <c r="A3326" s="211">
        <f t="shared" si="51"/>
        <v>8521014</v>
      </c>
      <c r="B3326" s="213" t="s">
        <v>5675</v>
      </c>
      <c r="C3326" s="213" t="s">
        <v>5676</v>
      </c>
    </row>
    <row r="3327" spans="1:3" x14ac:dyDescent="0.25">
      <c r="A3327" s="211">
        <f t="shared" si="51"/>
        <v>8521015</v>
      </c>
      <c r="B3327" s="213" t="s">
        <v>5677</v>
      </c>
      <c r="C3327" s="213" t="s">
        <v>5678</v>
      </c>
    </row>
    <row r="3328" spans="1:3" x14ac:dyDescent="0.25">
      <c r="A3328" s="211">
        <f t="shared" si="51"/>
        <v>8521021</v>
      </c>
      <c r="B3328" s="213" t="s">
        <v>5679</v>
      </c>
      <c r="C3328" s="213" t="s">
        <v>5680</v>
      </c>
    </row>
    <row r="3329" spans="1:3" x14ac:dyDescent="0.25">
      <c r="A3329" s="211">
        <f t="shared" si="51"/>
        <v>8521024</v>
      </c>
      <c r="B3329" s="213" t="s">
        <v>5681</v>
      </c>
      <c r="C3329" s="213" t="s">
        <v>13589</v>
      </c>
    </row>
    <row r="3330" spans="1:3" x14ac:dyDescent="0.25">
      <c r="A3330" s="211">
        <f t="shared" ref="A3330:A3393" si="52">IFERROR(B3330*1,"")</f>
        <v>8521029</v>
      </c>
      <c r="B3330" s="213" t="s">
        <v>5682</v>
      </c>
      <c r="C3330" s="213" t="s">
        <v>5683</v>
      </c>
    </row>
    <row r="3331" spans="1:3" x14ac:dyDescent="0.25">
      <c r="A3331" s="211">
        <f t="shared" si="52"/>
        <v>8521030</v>
      </c>
      <c r="B3331" s="213" t="s">
        <v>5684</v>
      </c>
      <c r="C3331" s="213" t="s">
        <v>5685</v>
      </c>
    </row>
    <row r="3332" spans="1:3" x14ac:dyDescent="0.25">
      <c r="A3332" s="211">
        <f t="shared" si="52"/>
        <v>8521031</v>
      </c>
      <c r="B3332" s="213" t="s">
        <v>5686</v>
      </c>
      <c r="C3332" s="213" t="s">
        <v>5687</v>
      </c>
    </row>
    <row r="3333" spans="1:3" x14ac:dyDescent="0.25">
      <c r="A3333" s="211">
        <f t="shared" si="52"/>
        <v>8521032</v>
      </c>
      <c r="B3333" s="213" t="s">
        <v>5688</v>
      </c>
      <c r="C3333" s="213" t="s">
        <v>5689</v>
      </c>
    </row>
    <row r="3334" spans="1:3" x14ac:dyDescent="0.25">
      <c r="A3334" s="211">
        <f t="shared" si="52"/>
        <v>8521033</v>
      </c>
      <c r="B3334" s="213" t="s">
        <v>5690</v>
      </c>
      <c r="C3334" s="213" t="s">
        <v>5691</v>
      </c>
    </row>
    <row r="3335" spans="1:3" x14ac:dyDescent="0.25">
      <c r="A3335" s="211">
        <f t="shared" si="52"/>
        <v>8521034</v>
      </c>
      <c r="B3335" s="213" t="s">
        <v>5692</v>
      </c>
      <c r="C3335" s="213" t="s">
        <v>5693</v>
      </c>
    </row>
    <row r="3336" spans="1:3" x14ac:dyDescent="0.25">
      <c r="A3336" s="211">
        <f t="shared" si="52"/>
        <v>8521036</v>
      </c>
      <c r="B3336" s="213" t="s">
        <v>5694</v>
      </c>
      <c r="C3336" s="213" t="s">
        <v>5695</v>
      </c>
    </row>
    <row r="3337" spans="1:3" x14ac:dyDescent="0.25">
      <c r="A3337" s="211">
        <f t="shared" si="52"/>
        <v>8521040</v>
      </c>
      <c r="B3337" s="213" t="s">
        <v>5696</v>
      </c>
      <c r="C3337" s="213" t="s">
        <v>13364</v>
      </c>
    </row>
    <row r="3338" spans="1:3" x14ac:dyDescent="0.25">
      <c r="A3338" s="211">
        <f t="shared" si="52"/>
        <v>8521042</v>
      </c>
      <c r="B3338" s="213" t="s">
        <v>5697</v>
      </c>
      <c r="C3338" s="213" t="s">
        <v>5698</v>
      </c>
    </row>
    <row r="3339" spans="1:3" x14ac:dyDescent="0.25">
      <c r="A3339" s="211">
        <f t="shared" si="52"/>
        <v>8521043</v>
      </c>
      <c r="B3339" s="213" t="s">
        <v>5699</v>
      </c>
      <c r="C3339" s="213" t="s">
        <v>5700</v>
      </c>
    </row>
    <row r="3340" spans="1:3" x14ac:dyDescent="0.25">
      <c r="A3340" s="211">
        <f t="shared" si="52"/>
        <v>8521045</v>
      </c>
      <c r="B3340" s="213" t="s">
        <v>5701</v>
      </c>
      <c r="C3340" s="213" t="s">
        <v>5702</v>
      </c>
    </row>
    <row r="3341" spans="1:3" x14ac:dyDescent="0.25">
      <c r="A3341" s="211">
        <f t="shared" si="52"/>
        <v>8521046</v>
      </c>
      <c r="B3341" s="213" t="s">
        <v>5703</v>
      </c>
      <c r="C3341" s="213" t="s">
        <v>5704</v>
      </c>
    </row>
    <row r="3342" spans="1:3" x14ac:dyDescent="0.25">
      <c r="A3342" s="211">
        <f t="shared" si="52"/>
        <v>8521050</v>
      </c>
      <c r="B3342" s="213" t="s">
        <v>5705</v>
      </c>
      <c r="C3342" s="213" t="s">
        <v>5706</v>
      </c>
    </row>
    <row r="3343" spans="1:3" x14ac:dyDescent="0.25">
      <c r="A3343" s="211">
        <f t="shared" si="52"/>
        <v>8521060</v>
      </c>
      <c r="B3343" s="213" t="s">
        <v>5707</v>
      </c>
      <c r="C3343" s="213" t="s">
        <v>5708</v>
      </c>
    </row>
    <row r="3344" spans="1:3" x14ac:dyDescent="0.25">
      <c r="A3344" s="211">
        <f t="shared" si="52"/>
        <v>8521061</v>
      </c>
      <c r="B3344" s="213" t="s">
        <v>5709</v>
      </c>
      <c r="C3344" s="213" t="s">
        <v>5710</v>
      </c>
    </row>
    <row r="3345" spans="1:3" x14ac:dyDescent="0.25">
      <c r="A3345" s="211">
        <f t="shared" si="52"/>
        <v>8521062</v>
      </c>
      <c r="B3345" s="213" t="s">
        <v>5711</v>
      </c>
      <c r="C3345" s="213" t="s">
        <v>5712</v>
      </c>
    </row>
    <row r="3346" spans="1:3" x14ac:dyDescent="0.25">
      <c r="A3346" s="211">
        <f t="shared" si="52"/>
        <v>8521063</v>
      </c>
      <c r="B3346" s="213" t="s">
        <v>5713</v>
      </c>
      <c r="C3346" s="213" t="s">
        <v>5714</v>
      </c>
    </row>
    <row r="3347" spans="1:3" x14ac:dyDescent="0.25">
      <c r="A3347" s="211">
        <f t="shared" si="52"/>
        <v>8521064</v>
      </c>
      <c r="B3347" s="213" t="s">
        <v>5715</v>
      </c>
      <c r="C3347" s="213" t="s">
        <v>5716</v>
      </c>
    </row>
    <row r="3348" spans="1:3" x14ac:dyDescent="0.25">
      <c r="A3348" s="211">
        <f t="shared" si="52"/>
        <v>8521100</v>
      </c>
      <c r="B3348" s="213" t="s">
        <v>5717</v>
      </c>
      <c r="C3348" s="213" t="s">
        <v>5718</v>
      </c>
    </row>
    <row r="3349" spans="1:3" x14ac:dyDescent="0.25">
      <c r="A3349" s="211">
        <f t="shared" si="52"/>
        <v>8521101</v>
      </c>
      <c r="B3349" s="213" t="s">
        <v>5719</v>
      </c>
      <c r="C3349" s="213" t="s">
        <v>5720</v>
      </c>
    </row>
    <row r="3350" spans="1:3" x14ac:dyDescent="0.25">
      <c r="A3350" s="211">
        <f t="shared" si="52"/>
        <v>8521102</v>
      </c>
      <c r="B3350" s="213" t="s">
        <v>5721</v>
      </c>
      <c r="C3350" s="213" t="s">
        <v>14120</v>
      </c>
    </row>
    <row r="3351" spans="1:3" x14ac:dyDescent="0.25">
      <c r="A3351" s="211">
        <f t="shared" si="52"/>
        <v>8521120</v>
      </c>
      <c r="B3351" s="213" t="s">
        <v>5722</v>
      </c>
      <c r="C3351" s="213" t="s">
        <v>5723</v>
      </c>
    </row>
    <row r="3352" spans="1:3" x14ac:dyDescent="0.25">
      <c r="A3352" s="211">
        <f t="shared" si="52"/>
        <v>8521129</v>
      </c>
      <c r="B3352" s="213" t="s">
        <v>5724</v>
      </c>
      <c r="C3352" s="213" t="s">
        <v>5725</v>
      </c>
    </row>
    <row r="3353" spans="1:3" x14ac:dyDescent="0.25">
      <c r="A3353" s="211">
        <f t="shared" si="52"/>
        <v>8521160</v>
      </c>
      <c r="B3353" s="213" t="s">
        <v>5726</v>
      </c>
      <c r="C3353" s="213" t="s">
        <v>5727</v>
      </c>
    </row>
    <row r="3354" spans="1:3" x14ac:dyDescent="0.25">
      <c r="A3354" s="211">
        <f t="shared" si="52"/>
        <v>8521290</v>
      </c>
      <c r="B3354" s="213" t="s">
        <v>5728</v>
      </c>
      <c r="C3354" s="213" t="s">
        <v>5729</v>
      </c>
    </row>
    <row r="3355" spans="1:3" x14ac:dyDescent="0.25">
      <c r="A3355" s="211">
        <f t="shared" si="52"/>
        <v>8521300</v>
      </c>
      <c r="B3355" s="213" t="s">
        <v>5730</v>
      </c>
      <c r="C3355" s="213" t="s">
        <v>5731</v>
      </c>
    </row>
    <row r="3356" spans="1:3" x14ac:dyDescent="0.25">
      <c r="A3356" s="211">
        <f t="shared" si="52"/>
        <v>8521301</v>
      </c>
      <c r="B3356" s="213" t="s">
        <v>5732</v>
      </c>
      <c r="C3356" s="213" t="s">
        <v>5733</v>
      </c>
    </row>
    <row r="3357" spans="1:3" x14ac:dyDescent="0.25">
      <c r="A3357" s="211">
        <f t="shared" si="52"/>
        <v>8521302</v>
      </c>
      <c r="B3357" s="213" t="s">
        <v>5734</v>
      </c>
      <c r="C3357" s="213" t="s">
        <v>5735</v>
      </c>
    </row>
    <row r="3358" spans="1:3" x14ac:dyDescent="0.25">
      <c r="A3358" s="211">
        <f t="shared" si="52"/>
        <v>8521303</v>
      </c>
      <c r="B3358" s="213" t="s">
        <v>5736</v>
      </c>
      <c r="C3358" s="213" t="s">
        <v>13365</v>
      </c>
    </row>
    <row r="3359" spans="1:3" x14ac:dyDescent="0.25">
      <c r="A3359" s="211">
        <f t="shared" si="52"/>
        <v>8521304</v>
      </c>
      <c r="B3359" s="213" t="s">
        <v>5737</v>
      </c>
      <c r="C3359" s="213" t="s">
        <v>5738</v>
      </c>
    </row>
    <row r="3360" spans="1:3" x14ac:dyDescent="0.25">
      <c r="A3360" s="211">
        <f t="shared" si="52"/>
        <v>8521305</v>
      </c>
      <c r="B3360" s="213" t="s">
        <v>5739</v>
      </c>
      <c r="C3360" s="213" t="s">
        <v>5740</v>
      </c>
    </row>
    <row r="3361" spans="1:3" x14ac:dyDescent="0.25">
      <c r="A3361" s="211">
        <f t="shared" si="52"/>
        <v>8521306</v>
      </c>
      <c r="B3361" s="213" t="s">
        <v>5741</v>
      </c>
      <c r="C3361" s="213" t="s">
        <v>5742</v>
      </c>
    </row>
    <row r="3362" spans="1:3" x14ac:dyDescent="0.25">
      <c r="A3362" s="211">
        <f t="shared" si="52"/>
        <v>8521307</v>
      </c>
      <c r="B3362" s="213" t="s">
        <v>13366</v>
      </c>
      <c r="C3362" s="213" t="s">
        <v>13367</v>
      </c>
    </row>
    <row r="3363" spans="1:3" x14ac:dyDescent="0.25">
      <c r="A3363" s="211">
        <f t="shared" si="52"/>
        <v>8521374</v>
      </c>
      <c r="B3363" s="213" t="s">
        <v>5743</v>
      </c>
      <c r="C3363" s="213" t="s">
        <v>5744</v>
      </c>
    </row>
    <row r="3364" spans="1:3" x14ac:dyDescent="0.25">
      <c r="A3364" s="211">
        <f t="shared" si="52"/>
        <v>8521443</v>
      </c>
      <c r="B3364" s="213" t="s">
        <v>5745</v>
      </c>
      <c r="C3364" s="213" t="s">
        <v>5746</v>
      </c>
    </row>
    <row r="3365" spans="1:3" x14ac:dyDescent="0.25">
      <c r="A3365" s="211">
        <f t="shared" si="52"/>
        <v>8521455</v>
      </c>
      <c r="B3365" s="213" t="s">
        <v>5747</v>
      </c>
      <c r="C3365" s="213" t="s">
        <v>5748</v>
      </c>
    </row>
    <row r="3366" spans="1:3" x14ac:dyDescent="0.25">
      <c r="A3366" s="211">
        <f t="shared" si="52"/>
        <v>8521458</v>
      </c>
      <c r="B3366" s="213" t="s">
        <v>5749</v>
      </c>
      <c r="C3366" s="213" t="s">
        <v>5750</v>
      </c>
    </row>
    <row r="3367" spans="1:3" x14ac:dyDescent="0.25">
      <c r="A3367" s="211">
        <f t="shared" si="52"/>
        <v>8521467</v>
      </c>
      <c r="B3367" s="213" t="s">
        <v>5751</v>
      </c>
      <c r="C3367" s="213" t="s">
        <v>5752</v>
      </c>
    </row>
    <row r="3368" spans="1:3" x14ac:dyDescent="0.25">
      <c r="A3368" s="211">
        <f t="shared" si="52"/>
        <v>8521472</v>
      </c>
      <c r="B3368" s="213" t="s">
        <v>5753</v>
      </c>
      <c r="C3368" s="213" t="s">
        <v>5754</v>
      </c>
    </row>
    <row r="3369" spans="1:3" x14ac:dyDescent="0.25">
      <c r="A3369" s="211">
        <f t="shared" si="52"/>
        <v>8521498</v>
      </c>
      <c r="B3369" s="213" t="s">
        <v>5755</v>
      </c>
      <c r="C3369" s="213" t="s">
        <v>5756</v>
      </c>
    </row>
    <row r="3370" spans="1:3" x14ac:dyDescent="0.25">
      <c r="A3370" s="211">
        <f t="shared" si="52"/>
        <v>8521499</v>
      </c>
      <c r="B3370" s="213" t="s">
        <v>5757</v>
      </c>
      <c r="C3370" s="213" t="s">
        <v>5758</v>
      </c>
    </row>
    <row r="3371" spans="1:3" x14ac:dyDescent="0.25">
      <c r="A3371" s="211">
        <f t="shared" si="52"/>
        <v>8521551</v>
      </c>
      <c r="B3371" s="213" t="s">
        <v>5759</v>
      </c>
      <c r="C3371" s="213" t="s">
        <v>5760</v>
      </c>
    </row>
    <row r="3372" spans="1:3" x14ac:dyDescent="0.25">
      <c r="A3372" s="211">
        <f t="shared" si="52"/>
        <v>8521572</v>
      </c>
      <c r="B3372" s="213" t="s">
        <v>5761</v>
      </c>
      <c r="C3372" s="213" t="s">
        <v>5762</v>
      </c>
    </row>
    <row r="3373" spans="1:3" x14ac:dyDescent="0.25">
      <c r="A3373" s="211">
        <f t="shared" si="52"/>
        <v>8521580</v>
      </c>
      <c r="B3373" s="213" t="s">
        <v>5763</v>
      </c>
      <c r="C3373" s="213" t="s">
        <v>5764</v>
      </c>
    </row>
    <row r="3374" spans="1:3" x14ac:dyDescent="0.25">
      <c r="A3374" s="211">
        <f t="shared" si="52"/>
        <v>8521593</v>
      </c>
      <c r="B3374" s="213" t="s">
        <v>5765</v>
      </c>
      <c r="C3374" s="213" t="s">
        <v>5766</v>
      </c>
    </row>
    <row r="3375" spans="1:3" x14ac:dyDescent="0.25">
      <c r="A3375" s="211" t="str">
        <f t="shared" si="52"/>
        <v/>
      </c>
      <c r="B3375" s="213" t="s">
        <v>13840</v>
      </c>
      <c r="C3375" s="212"/>
    </row>
    <row r="3376" spans="1:3" x14ac:dyDescent="0.25">
      <c r="A3376" s="211">
        <f t="shared" si="52"/>
        <v>8521660</v>
      </c>
      <c r="B3376" s="213" t="s">
        <v>5767</v>
      </c>
      <c r="C3376" s="213" t="s">
        <v>5768</v>
      </c>
    </row>
    <row r="3377" spans="1:3" x14ac:dyDescent="0.25">
      <c r="A3377" s="211">
        <f t="shared" si="52"/>
        <v>8521674</v>
      </c>
      <c r="B3377" s="213" t="s">
        <v>5769</v>
      </c>
      <c r="C3377" s="213" t="s">
        <v>5770</v>
      </c>
    </row>
    <row r="3378" spans="1:3" x14ac:dyDescent="0.25">
      <c r="A3378" s="211">
        <f t="shared" si="52"/>
        <v>8521903</v>
      </c>
      <c r="B3378" s="213" t="s">
        <v>5771</v>
      </c>
      <c r="C3378" s="213" t="s">
        <v>5772</v>
      </c>
    </row>
    <row r="3379" spans="1:3" x14ac:dyDescent="0.25">
      <c r="A3379" s="211">
        <f t="shared" si="52"/>
        <v>8522001</v>
      </c>
      <c r="B3379" s="213" t="s">
        <v>5773</v>
      </c>
      <c r="C3379" s="213" t="s">
        <v>5774</v>
      </c>
    </row>
    <row r="3380" spans="1:3" x14ac:dyDescent="0.25">
      <c r="A3380" s="211">
        <f t="shared" si="52"/>
        <v>8522011</v>
      </c>
      <c r="B3380" s="213" t="s">
        <v>5775</v>
      </c>
      <c r="C3380" s="213" t="s">
        <v>5776</v>
      </c>
    </row>
    <row r="3381" spans="1:3" x14ac:dyDescent="0.25">
      <c r="A3381" s="211">
        <f t="shared" si="52"/>
        <v>8522012</v>
      </c>
      <c r="B3381" s="213" t="s">
        <v>5777</v>
      </c>
      <c r="C3381" s="213" t="s">
        <v>5778</v>
      </c>
    </row>
    <row r="3382" spans="1:3" x14ac:dyDescent="0.25">
      <c r="A3382" s="211">
        <f t="shared" si="52"/>
        <v>8522030</v>
      </c>
      <c r="B3382" s="213" t="s">
        <v>5779</v>
      </c>
      <c r="C3382" s="213" t="s">
        <v>5780</v>
      </c>
    </row>
    <row r="3383" spans="1:3" x14ac:dyDescent="0.25">
      <c r="A3383" s="211">
        <f t="shared" si="52"/>
        <v>8522101</v>
      </c>
      <c r="B3383" s="213" t="s">
        <v>5781</v>
      </c>
      <c r="C3383" s="213" t="s">
        <v>5782</v>
      </c>
    </row>
    <row r="3384" spans="1:3" x14ac:dyDescent="0.25">
      <c r="A3384" s="211">
        <f t="shared" si="52"/>
        <v>8522999</v>
      </c>
      <c r="B3384" s="213" t="s">
        <v>5783</v>
      </c>
      <c r="C3384" s="213" t="s">
        <v>5784</v>
      </c>
    </row>
    <row r="3385" spans="1:3" x14ac:dyDescent="0.25">
      <c r="A3385" s="211">
        <f t="shared" si="52"/>
        <v>8523071</v>
      </c>
      <c r="B3385" s="213" t="s">
        <v>5785</v>
      </c>
      <c r="C3385" s="213" t="s">
        <v>5786</v>
      </c>
    </row>
    <row r="3386" spans="1:3" x14ac:dyDescent="0.25">
      <c r="A3386" s="211">
        <f t="shared" si="52"/>
        <v>8523072</v>
      </c>
      <c r="B3386" s="213" t="s">
        <v>5787</v>
      </c>
      <c r="C3386" s="213" t="s">
        <v>5788</v>
      </c>
    </row>
    <row r="3387" spans="1:3" x14ac:dyDescent="0.25">
      <c r="A3387" s="211">
        <f t="shared" si="52"/>
        <v>8523073</v>
      </c>
      <c r="B3387" s="213" t="s">
        <v>5789</v>
      </c>
      <c r="C3387" s="213" t="s">
        <v>5790</v>
      </c>
    </row>
    <row r="3388" spans="1:3" x14ac:dyDescent="0.25">
      <c r="A3388" s="211">
        <f t="shared" si="52"/>
        <v>8525001</v>
      </c>
      <c r="B3388" s="213" t="s">
        <v>5791</v>
      </c>
      <c r="C3388" s="213" t="s">
        <v>5792</v>
      </c>
    </row>
    <row r="3389" spans="1:3" x14ac:dyDescent="0.25">
      <c r="A3389" s="211">
        <f t="shared" si="52"/>
        <v>8525576</v>
      </c>
      <c r="B3389" s="213" t="s">
        <v>5793</v>
      </c>
      <c r="C3389" s="213" t="s">
        <v>5794</v>
      </c>
    </row>
    <row r="3390" spans="1:3" x14ac:dyDescent="0.25">
      <c r="A3390" s="211">
        <f t="shared" si="52"/>
        <v>8525999</v>
      </c>
      <c r="B3390" s="213" t="s">
        <v>5795</v>
      </c>
      <c r="C3390" s="213" t="s">
        <v>5796</v>
      </c>
    </row>
    <row r="3391" spans="1:3" x14ac:dyDescent="0.25">
      <c r="A3391" s="211">
        <f t="shared" si="52"/>
        <v>8549042</v>
      </c>
      <c r="B3391" s="213" t="s">
        <v>5797</v>
      </c>
      <c r="C3391" s="213" t="s">
        <v>5798</v>
      </c>
    </row>
    <row r="3392" spans="1:3" x14ac:dyDescent="0.25">
      <c r="A3392" s="211">
        <f t="shared" si="52"/>
        <v>8601008</v>
      </c>
      <c r="B3392" s="213" t="s">
        <v>5799</v>
      </c>
      <c r="C3392" s="213" t="s">
        <v>5502</v>
      </c>
    </row>
    <row r="3393" spans="1:3" x14ac:dyDescent="0.25">
      <c r="A3393" s="211">
        <f t="shared" si="52"/>
        <v>8601050</v>
      </c>
      <c r="B3393" s="213" t="s">
        <v>13590</v>
      </c>
      <c r="C3393" s="213" t="s">
        <v>13591</v>
      </c>
    </row>
    <row r="3394" spans="1:3" x14ac:dyDescent="0.25">
      <c r="A3394" s="211">
        <f t="shared" ref="A3394:A3457" si="53">IFERROR(B3394*1,"")</f>
        <v>8612001</v>
      </c>
      <c r="B3394" s="213" t="s">
        <v>5800</v>
      </c>
      <c r="C3394" s="213" t="s">
        <v>5801</v>
      </c>
    </row>
    <row r="3395" spans="1:3" x14ac:dyDescent="0.25">
      <c r="A3395" s="211">
        <f t="shared" si="53"/>
        <v>8612002</v>
      </c>
      <c r="B3395" s="213" t="s">
        <v>5802</v>
      </c>
      <c r="C3395" s="213" t="s">
        <v>5803</v>
      </c>
    </row>
    <row r="3396" spans="1:3" x14ac:dyDescent="0.25">
      <c r="A3396" s="211">
        <f t="shared" si="53"/>
        <v>8612006</v>
      </c>
      <c r="B3396" s="213" t="s">
        <v>5804</v>
      </c>
      <c r="C3396" s="213" t="s">
        <v>5805</v>
      </c>
    </row>
    <row r="3397" spans="1:3" x14ac:dyDescent="0.25">
      <c r="A3397" s="211">
        <f t="shared" si="53"/>
        <v>8612009</v>
      </c>
      <c r="B3397" s="213" t="s">
        <v>5806</v>
      </c>
      <c r="C3397" s="213" t="s">
        <v>5502</v>
      </c>
    </row>
    <row r="3398" spans="1:3" x14ac:dyDescent="0.25">
      <c r="A3398" s="211">
        <f t="shared" si="53"/>
        <v>8612051</v>
      </c>
      <c r="B3398" s="213" t="s">
        <v>5807</v>
      </c>
      <c r="C3398" s="213" t="s">
        <v>5808</v>
      </c>
    </row>
    <row r="3399" spans="1:3" x14ac:dyDescent="0.25">
      <c r="A3399" s="211">
        <f t="shared" si="53"/>
        <v>8612052</v>
      </c>
      <c r="B3399" s="213" t="s">
        <v>5809</v>
      </c>
      <c r="C3399" s="213" t="s">
        <v>5810</v>
      </c>
    </row>
    <row r="3400" spans="1:3" x14ac:dyDescent="0.25">
      <c r="A3400" s="211">
        <f t="shared" si="53"/>
        <v>8612053</v>
      </c>
      <c r="B3400" s="213" t="s">
        <v>5811</v>
      </c>
      <c r="C3400" s="213" t="s">
        <v>5812</v>
      </c>
    </row>
    <row r="3401" spans="1:3" x14ac:dyDescent="0.25">
      <c r="A3401" s="211">
        <f t="shared" si="53"/>
        <v>8612054</v>
      </c>
      <c r="B3401" s="213" t="s">
        <v>5813</v>
      </c>
      <c r="C3401" s="213" t="s">
        <v>5814</v>
      </c>
    </row>
    <row r="3402" spans="1:3" x14ac:dyDescent="0.25">
      <c r="A3402" s="211">
        <f t="shared" si="53"/>
        <v>8612055</v>
      </c>
      <c r="B3402" s="213" t="s">
        <v>5815</v>
      </c>
      <c r="C3402" s="213" t="s">
        <v>7675</v>
      </c>
    </row>
    <row r="3403" spans="1:3" x14ac:dyDescent="0.25">
      <c r="A3403" s="211">
        <f t="shared" si="53"/>
        <v>8612056</v>
      </c>
      <c r="B3403" s="213" t="s">
        <v>5816</v>
      </c>
      <c r="C3403" s="213" t="s">
        <v>13368</v>
      </c>
    </row>
    <row r="3404" spans="1:3" x14ac:dyDescent="0.25">
      <c r="A3404" s="211">
        <f t="shared" si="53"/>
        <v>8612057</v>
      </c>
      <c r="B3404" s="213" t="s">
        <v>5817</v>
      </c>
      <c r="C3404" s="213" t="s">
        <v>13369</v>
      </c>
    </row>
    <row r="3405" spans="1:3" x14ac:dyDescent="0.25">
      <c r="A3405" s="211">
        <f t="shared" si="53"/>
        <v>8612058</v>
      </c>
      <c r="B3405" s="213" t="s">
        <v>5818</v>
      </c>
      <c r="C3405" s="213" t="s">
        <v>13370</v>
      </c>
    </row>
    <row r="3406" spans="1:3" x14ac:dyDescent="0.25">
      <c r="A3406" s="211">
        <f t="shared" si="53"/>
        <v>8612059</v>
      </c>
      <c r="B3406" s="213" t="s">
        <v>5819</v>
      </c>
      <c r="C3406" s="213" t="s">
        <v>5820</v>
      </c>
    </row>
    <row r="3407" spans="1:3" x14ac:dyDescent="0.25">
      <c r="A3407" s="211">
        <f t="shared" si="53"/>
        <v>8612080</v>
      </c>
      <c r="B3407" s="213" t="s">
        <v>5821</v>
      </c>
      <c r="C3407" s="213" t="s">
        <v>5822</v>
      </c>
    </row>
    <row r="3408" spans="1:3" x14ac:dyDescent="0.25">
      <c r="A3408" s="211">
        <f t="shared" si="53"/>
        <v>8612093</v>
      </c>
      <c r="B3408" s="213" t="s">
        <v>5823</v>
      </c>
      <c r="C3408" s="213" t="s">
        <v>5824</v>
      </c>
    </row>
    <row r="3409" spans="1:3" x14ac:dyDescent="0.25">
      <c r="A3409" s="211">
        <f t="shared" si="53"/>
        <v>8612101</v>
      </c>
      <c r="B3409" s="213" t="s">
        <v>5825</v>
      </c>
      <c r="C3409" s="213" t="s">
        <v>5826</v>
      </c>
    </row>
    <row r="3410" spans="1:3" x14ac:dyDescent="0.25">
      <c r="A3410" s="211">
        <f t="shared" si="53"/>
        <v>8612102</v>
      </c>
      <c r="B3410" s="213" t="s">
        <v>5827</v>
      </c>
      <c r="C3410" s="213" t="s">
        <v>5828</v>
      </c>
    </row>
    <row r="3411" spans="1:3" x14ac:dyDescent="0.25">
      <c r="A3411" s="211">
        <f t="shared" si="53"/>
        <v>8612112</v>
      </c>
      <c r="B3411" s="213" t="s">
        <v>7676</v>
      </c>
      <c r="C3411" s="213" t="s">
        <v>7677</v>
      </c>
    </row>
    <row r="3412" spans="1:3" x14ac:dyDescent="0.25">
      <c r="A3412" s="211">
        <f t="shared" si="53"/>
        <v>8612122</v>
      </c>
      <c r="B3412" s="213" t="s">
        <v>13371</v>
      </c>
      <c r="C3412" s="213" t="s">
        <v>13372</v>
      </c>
    </row>
    <row r="3413" spans="1:3" x14ac:dyDescent="0.25">
      <c r="A3413" s="211">
        <f t="shared" si="53"/>
        <v>8612151</v>
      </c>
      <c r="B3413" s="213" t="s">
        <v>5829</v>
      </c>
      <c r="C3413" s="213" t="s">
        <v>5830</v>
      </c>
    </row>
    <row r="3414" spans="1:3" x14ac:dyDescent="0.25">
      <c r="A3414" s="211">
        <f t="shared" si="53"/>
        <v>8612200</v>
      </c>
      <c r="B3414" s="213" t="s">
        <v>5831</v>
      </c>
      <c r="C3414" s="213" t="s">
        <v>5832</v>
      </c>
    </row>
    <row r="3415" spans="1:3" x14ac:dyDescent="0.25">
      <c r="A3415" s="211">
        <f t="shared" si="53"/>
        <v>8612201</v>
      </c>
      <c r="B3415" s="213" t="s">
        <v>5833</v>
      </c>
      <c r="C3415" s="213" t="s">
        <v>5834</v>
      </c>
    </row>
    <row r="3416" spans="1:3" x14ac:dyDescent="0.25">
      <c r="A3416" s="211">
        <f t="shared" si="53"/>
        <v>8612203</v>
      </c>
      <c r="B3416" s="213" t="s">
        <v>7678</v>
      </c>
      <c r="C3416" s="213" t="s">
        <v>7679</v>
      </c>
    </row>
    <row r="3417" spans="1:3" x14ac:dyDescent="0.25">
      <c r="A3417" s="211">
        <f t="shared" si="53"/>
        <v>8612300</v>
      </c>
      <c r="B3417" s="213" t="s">
        <v>5835</v>
      </c>
      <c r="C3417" s="213" t="s">
        <v>5836</v>
      </c>
    </row>
    <row r="3418" spans="1:3" x14ac:dyDescent="0.25">
      <c r="A3418" s="211">
        <f t="shared" si="53"/>
        <v>8612416</v>
      </c>
      <c r="B3418" s="213" t="s">
        <v>5837</v>
      </c>
      <c r="C3418" s="213" t="s">
        <v>5838</v>
      </c>
    </row>
    <row r="3419" spans="1:3" x14ac:dyDescent="0.25">
      <c r="A3419" s="211">
        <f t="shared" si="53"/>
        <v>8612418</v>
      </c>
      <c r="B3419" s="213" t="s">
        <v>5839</v>
      </c>
      <c r="C3419" s="213" t="s">
        <v>5840</v>
      </c>
    </row>
    <row r="3420" spans="1:3" x14ac:dyDescent="0.25">
      <c r="A3420" s="211">
        <f t="shared" si="53"/>
        <v>8612420</v>
      </c>
      <c r="B3420" s="213" t="s">
        <v>5841</v>
      </c>
      <c r="C3420" s="213" t="s">
        <v>5842</v>
      </c>
    </row>
    <row r="3421" spans="1:3" x14ac:dyDescent="0.25">
      <c r="A3421" s="211">
        <f t="shared" si="53"/>
        <v>8612462</v>
      </c>
      <c r="B3421" s="213" t="s">
        <v>5843</v>
      </c>
      <c r="C3421" s="213" t="s">
        <v>5844</v>
      </c>
    </row>
    <row r="3422" spans="1:3" x14ac:dyDescent="0.25">
      <c r="A3422" s="211">
        <f t="shared" si="53"/>
        <v>8612468</v>
      </c>
      <c r="B3422" s="213" t="s">
        <v>5845</v>
      </c>
      <c r="C3422" s="213" t="s">
        <v>5846</v>
      </c>
    </row>
    <row r="3423" spans="1:3" x14ac:dyDescent="0.25">
      <c r="A3423" s="211">
        <f t="shared" si="53"/>
        <v>8612500</v>
      </c>
      <c r="B3423" s="213" t="s">
        <v>5847</v>
      </c>
      <c r="C3423" s="213" t="s">
        <v>5848</v>
      </c>
    </row>
    <row r="3424" spans="1:3" x14ac:dyDescent="0.25">
      <c r="A3424" s="211">
        <f t="shared" si="53"/>
        <v>8612523</v>
      </c>
      <c r="B3424" s="213" t="s">
        <v>5849</v>
      </c>
      <c r="C3424" s="213" t="s">
        <v>5850</v>
      </c>
    </row>
    <row r="3425" spans="1:3" x14ac:dyDescent="0.25">
      <c r="A3425" s="211">
        <f t="shared" si="53"/>
        <v>8612600</v>
      </c>
      <c r="B3425" s="213" t="s">
        <v>5851</v>
      </c>
      <c r="C3425" s="213" t="s">
        <v>5852</v>
      </c>
    </row>
    <row r="3426" spans="1:3" x14ac:dyDescent="0.25">
      <c r="A3426" s="211">
        <f t="shared" si="53"/>
        <v>8612601</v>
      </c>
      <c r="B3426" s="213" t="s">
        <v>5853</v>
      </c>
      <c r="C3426" s="213" t="s">
        <v>5854</v>
      </c>
    </row>
    <row r="3427" spans="1:3" x14ac:dyDescent="0.25">
      <c r="A3427" s="211">
        <f t="shared" si="53"/>
        <v>8612697</v>
      </c>
      <c r="B3427" s="213" t="s">
        <v>5855</v>
      </c>
      <c r="C3427" s="213" t="s">
        <v>5856</v>
      </c>
    </row>
    <row r="3428" spans="1:3" x14ac:dyDescent="0.25">
      <c r="A3428" s="211">
        <f t="shared" si="53"/>
        <v>8612793</v>
      </c>
      <c r="B3428" s="213" t="s">
        <v>5857</v>
      </c>
      <c r="C3428" s="213" t="s">
        <v>5858</v>
      </c>
    </row>
    <row r="3429" spans="1:3" x14ac:dyDescent="0.25">
      <c r="A3429" s="211">
        <f t="shared" si="53"/>
        <v>8612794</v>
      </c>
      <c r="B3429" s="213" t="s">
        <v>5859</v>
      </c>
      <c r="C3429" s="213" t="s">
        <v>5860</v>
      </c>
    </row>
    <row r="3430" spans="1:3" x14ac:dyDescent="0.25">
      <c r="A3430" s="211">
        <f t="shared" si="53"/>
        <v>8614014</v>
      </c>
      <c r="B3430" s="213" t="s">
        <v>5861</v>
      </c>
      <c r="C3430" s="213" t="s">
        <v>5862</v>
      </c>
    </row>
    <row r="3431" spans="1:3" x14ac:dyDescent="0.25">
      <c r="A3431" s="211">
        <f t="shared" si="53"/>
        <v>8614015</v>
      </c>
      <c r="B3431" s="213" t="s">
        <v>5863</v>
      </c>
      <c r="C3431" s="213" t="s">
        <v>13373</v>
      </c>
    </row>
    <row r="3432" spans="1:3" x14ac:dyDescent="0.25">
      <c r="A3432" s="211">
        <f t="shared" si="53"/>
        <v>8614016</v>
      </c>
      <c r="B3432" s="213" t="s">
        <v>13374</v>
      </c>
      <c r="C3432" s="213" t="s">
        <v>13375</v>
      </c>
    </row>
    <row r="3433" spans="1:3" x14ac:dyDescent="0.25">
      <c r="A3433" s="211">
        <f t="shared" si="53"/>
        <v>8660019</v>
      </c>
      <c r="B3433" s="213" t="s">
        <v>5864</v>
      </c>
      <c r="C3433" s="213" t="s">
        <v>5865</v>
      </c>
    </row>
    <row r="3434" spans="1:3" x14ac:dyDescent="0.25">
      <c r="A3434" s="211">
        <f t="shared" si="53"/>
        <v>8676004</v>
      </c>
      <c r="B3434" s="213" t="s">
        <v>5866</v>
      </c>
      <c r="C3434" s="213" t="s">
        <v>5867</v>
      </c>
    </row>
    <row r="3435" spans="1:3" x14ac:dyDescent="0.25">
      <c r="A3435" s="211">
        <f t="shared" si="53"/>
        <v>8686003</v>
      </c>
      <c r="B3435" s="213" t="s">
        <v>5868</v>
      </c>
      <c r="C3435" s="213" t="s">
        <v>5869</v>
      </c>
    </row>
    <row r="3436" spans="1:3" x14ac:dyDescent="0.25">
      <c r="A3436" s="211">
        <f t="shared" si="53"/>
        <v>8686004</v>
      </c>
      <c r="B3436" s="213" t="s">
        <v>5870</v>
      </c>
      <c r="C3436" s="213" t="s">
        <v>5871</v>
      </c>
    </row>
    <row r="3437" spans="1:3" x14ac:dyDescent="0.25">
      <c r="A3437" s="211">
        <f t="shared" si="53"/>
        <v>8686010</v>
      </c>
      <c r="B3437" s="213" t="s">
        <v>5872</v>
      </c>
      <c r="C3437" s="213" t="s">
        <v>5873</v>
      </c>
    </row>
    <row r="3438" spans="1:3" x14ac:dyDescent="0.25">
      <c r="A3438" s="211">
        <f t="shared" si="53"/>
        <v>8686070</v>
      </c>
      <c r="B3438" s="213" t="s">
        <v>5874</v>
      </c>
      <c r="C3438" s="213" t="s">
        <v>5875</v>
      </c>
    </row>
    <row r="3439" spans="1:3" x14ac:dyDescent="0.25">
      <c r="A3439" s="211">
        <f t="shared" si="53"/>
        <v>8687002</v>
      </c>
      <c r="B3439" s="213" t="s">
        <v>5876</v>
      </c>
      <c r="C3439" s="213" t="s">
        <v>5877</v>
      </c>
    </row>
    <row r="3440" spans="1:3" x14ac:dyDescent="0.25">
      <c r="A3440" s="211">
        <f t="shared" si="53"/>
        <v>8691016</v>
      </c>
      <c r="B3440" s="213" t="s">
        <v>5878</v>
      </c>
      <c r="C3440" s="213" t="s">
        <v>5879</v>
      </c>
    </row>
    <row r="3441" spans="1:3" x14ac:dyDescent="0.25">
      <c r="A3441" s="211">
        <f t="shared" si="53"/>
        <v>8691508</v>
      </c>
      <c r="B3441" s="213" t="s">
        <v>5880</v>
      </c>
      <c r="C3441" s="213" t="s">
        <v>5881</v>
      </c>
    </row>
    <row r="3442" spans="1:3" x14ac:dyDescent="0.25">
      <c r="A3442" s="211">
        <f t="shared" si="53"/>
        <v>8692010</v>
      </c>
      <c r="B3442" s="213" t="s">
        <v>5882</v>
      </c>
      <c r="C3442" s="213" t="s">
        <v>13376</v>
      </c>
    </row>
    <row r="3443" spans="1:3" x14ac:dyDescent="0.25">
      <c r="A3443" s="211">
        <f t="shared" si="53"/>
        <v>8692011</v>
      </c>
      <c r="B3443" s="213" t="s">
        <v>5884</v>
      </c>
      <c r="C3443" s="213" t="s">
        <v>13377</v>
      </c>
    </row>
    <row r="3444" spans="1:3" x14ac:dyDescent="0.25">
      <c r="A3444" s="211">
        <f t="shared" si="53"/>
        <v>8692150</v>
      </c>
      <c r="B3444" s="213" t="s">
        <v>5886</v>
      </c>
      <c r="C3444" s="213" t="s">
        <v>5887</v>
      </c>
    </row>
    <row r="3445" spans="1:3" x14ac:dyDescent="0.25">
      <c r="A3445" s="211">
        <f t="shared" si="53"/>
        <v>8692210</v>
      </c>
      <c r="B3445" s="213" t="s">
        <v>5888</v>
      </c>
      <c r="C3445" s="213" t="s">
        <v>5889</v>
      </c>
    </row>
    <row r="3446" spans="1:3" x14ac:dyDescent="0.25">
      <c r="A3446" s="211">
        <f t="shared" si="53"/>
        <v>8692230</v>
      </c>
      <c r="B3446" s="213" t="s">
        <v>5890</v>
      </c>
      <c r="C3446" s="213" t="s">
        <v>13378</v>
      </c>
    </row>
    <row r="3447" spans="1:3" x14ac:dyDescent="0.25">
      <c r="A3447" s="211">
        <f t="shared" si="53"/>
        <v>8692231</v>
      </c>
      <c r="B3447" s="213" t="s">
        <v>13379</v>
      </c>
      <c r="C3447" s="213" t="s">
        <v>13380</v>
      </c>
    </row>
    <row r="3448" spans="1:3" x14ac:dyDescent="0.25">
      <c r="A3448" s="211">
        <f t="shared" si="53"/>
        <v>8692232</v>
      </c>
      <c r="B3448" s="213" t="s">
        <v>13381</v>
      </c>
      <c r="C3448" s="213" t="s">
        <v>13382</v>
      </c>
    </row>
    <row r="3449" spans="1:3" x14ac:dyDescent="0.25">
      <c r="A3449" s="211">
        <f t="shared" si="53"/>
        <v>8692233</v>
      </c>
      <c r="B3449" s="213" t="s">
        <v>13383</v>
      </c>
      <c r="C3449" s="213" t="s">
        <v>13384</v>
      </c>
    </row>
    <row r="3450" spans="1:3" x14ac:dyDescent="0.25">
      <c r="A3450" s="211">
        <f t="shared" si="53"/>
        <v>8692240</v>
      </c>
      <c r="B3450" s="213" t="s">
        <v>5891</v>
      </c>
      <c r="C3450" s="213" t="s">
        <v>5892</v>
      </c>
    </row>
    <row r="3451" spans="1:3" x14ac:dyDescent="0.25">
      <c r="A3451" s="211">
        <f t="shared" si="53"/>
        <v>8692501</v>
      </c>
      <c r="B3451" s="213" t="s">
        <v>5893</v>
      </c>
      <c r="C3451" s="213" t="s">
        <v>5894</v>
      </c>
    </row>
    <row r="3452" spans="1:3" x14ac:dyDescent="0.25">
      <c r="A3452" s="211">
        <f t="shared" si="53"/>
        <v>8692502</v>
      </c>
      <c r="B3452" s="213" t="s">
        <v>5895</v>
      </c>
      <c r="C3452" s="213" t="s">
        <v>5896</v>
      </c>
    </row>
    <row r="3453" spans="1:3" x14ac:dyDescent="0.25">
      <c r="A3453" s="211">
        <f t="shared" si="53"/>
        <v>8692503</v>
      </c>
      <c r="B3453" s="213" t="s">
        <v>5897</v>
      </c>
      <c r="C3453" s="213" t="s">
        <v>5898</v>
      </c>
    </row>
    <row r="3454" spans="1:3" x14ac:dyDescent="0.25">
      <c r="A3454" s="211">
        <f t="shared" si="53"/>
        <v>8692504</v>
      </c>
      <c r="B3454" s="213" t="s">
        <v>5899</v>
      </c>
      <c r="C3454" s="213" t="s">
        <v>5900</v>
      </c>
    </row>
    <row r="3455" spans="1:3" x14ac:dyDescent="0.25">
      <c r="A3455" s="211">
        <f t="shared" si="53"/>
        <v>8692505</v>
      </c>
      <c r="B3455" s="213" t="s">
        <v>5901</v>
      </c>
      <c r="C3455" s="213" t="s">
        <v>5902</v>
      </c>
    </row>
    <row r="3456" spans="1:3" x14ac:dyDescent="0.25">
      <c r="A3456" s="211">
        <f t="shared" si="53"/>
        <v>8692506</v>
      </c>
      <c r="B3456" s="213" t="s">
        <v>5903</v>
      </c>
      <c r="C3456" s="213" t="s">
        <v>5904</v>
      </c>
    </row>
    <row r="3457" spans="1:3" x14ac:dyDescent="0.25">
      <c r="A3457" s="211">
        <f t="shared" si="53"/>
        <v>8692507</v>
      </c>
      <c r="B3457" s="213" t="s">
        <v>5905</v>
      </c>
      <c r="C3457" s="213" t="s">
        <v>5906</v>
      </c>
    </row>
    <row r="3458" spans="1:3" x14ac:dyDescent="0.25">
      <c r="A3458" s="211">
        <f t="shared" ref="A3458:A3521" si="54">IFERROR(B3458*1,"")</f>
        <v>8692508</v>
      </c>
      <c r="B3458" s="213" t="s">
        <v>5907</v>
      </c>
      <c r="C3458" s="213" t="s">
        <v>5881</v>
      </c>
    </row>
    <row r="3459" spans="1:3" x14ac:dyDescent="0.25">
      <c r="A3459" s="211">
        <f t="shared" si="54"/>
        <v>8692851</v>
      </c>
      <c r="B3459" s="213" t="s">
        <v>5908</v>
      </c>
      <c r="C3459" s="213" t="s">
        <v>5909</v>
      </c>
    </row>
    <row r="3460" spans="1:3" x14ac:dyDescent="0.25">
      <c r="A3460" s="211">
        <f t="shared" si="54"/>
        <v>8693012</v>
      </c>
      <c r="B3460" s="213" t="s">
        <v>5910</v>
      </c>
      <c r="C3460" s="213" t="s">
        <v>5911</v>
      </c>
    </row>
    <row r="3461" spans="1:3" x14ac:dyDescent="0.25">
      <c r="A3461" s="211">
        <f t="shared" si="54"/>
        <v>8694014</v>
      </c>
      <c r="B3461" s="213" t="s">
        <v>5912</v>
      </c>
      <c r="C3461" s="213" t="s">
        <v>5911</v>
      </c>
    </row>
    <row r="3462" spans="1:3" x14ac:dyDescent="0.25">
      <c r="A3462" s="211">
        <f t="shared" si="54"/>
        <v>8695001</v>
      </c>
      <c r="B3462" s="213" t="s">
        <v>5913</v>
      </c>
      <c r="C3462" s="213" t="s">
        <v>5914</v>
      </c>
    </row>
    <row r="3463" spans="1:3" x14ac:dyDescent="0.25">
      <c r="A3463" s="211">
        <f t="shared" si="54"/>
        <v>8697004</v>
      </c>
      <c r="B3463" s="213" t="s">
        <v>5915</v>
      </c>
      <c r="C3463" s="213" t="s">
        <v>5502</v>
      </c>
    </row>
    <row r="3464" spans="1:3" x14ac:dyDescent="0.25">
      <c r="A3464" s="211">
        <f t="shared" si="54"/>
        <v>8701000</v>
      </c>
      <c r="B3464" s="213" t="s">
        <v>5917</v>
      </c>
      <c r="C3464" s="213" t="s">
        <v>5918</v>
      </c>
    </row>
    <row r="3465" spans="1:3" x14ac:dyDescent="0.25">
      <c r="A3465" s="211">
        <f t="shared" si="54"/>
        <v>8701001</v>
      </c>
      <c r="B3465" s="213" t="s">
        <v>5919</v>
      </c>
      <c r="C3465" s="213" t="s">
        <v>5920</v>
      </c>
    </row>
    <row r="3466" spans="1:3" x14ac:dyDescent="0.25">
      <c r="A3466" s="211">
        <f t="shared" si="54"/>
        <v>8701002</v>
      </c>
      <c r="B3466" s="213" t="s">
        <v>5921</v>
      </c>
      <c r="C3466" s="213" t="s">
        <v>5922</v>
      </c>
    </row>
    <row r="3467" spans="1:3" x14ac:dyDescent="0.25">
      <c r="A3467" s="211">
        <f t="shared" si="54"/>
        <v>8701003</v>
      </c>
      <c r="B3467" s="213" t="s">
        <v>5923</v>
      </c>
      <c r="C3467" s="213" t="s">
        <v>5924</v>
      </c>
    </row>
    <row r="3468" spans="1:3" x14ac:dyDescent="0.25">
      <c r="A3468" s="211">
        <f t="shared" si="54"/>
        <v>8701005</v>
      </c>
      <c r="B3468" s="213" t="s">
        <v>5925</v>
      </c>
      <c r="C3468" s="213" t="s">
        <v>5926</v>
      </c>
    </row>
    <row r="3469" spans="1:3" x14ac:dyDescent="0.25">
      <c r="A3469" s="211">
        <f t="shared" si="54"/>
        <v>8701010</v>
      </c>
      <c r="B3469" s="213" t="s">
        <v>14121</v>
      </c>
      <c r="C3469" s="213" t="s">
        <v>14122</v>
      </c>
    </row>
    <row r="3470" spans="1:3" x14ac:dyDescent="0.25">
      <c r="A3470" s="211">
        <f t="shared" si="54"/>
        <v>8701020</v>
      </c>
      <c r="B3470" s="213" t="s">
        <v>5927</v>
      </c>
      <c r="C3470" s="213" t="s">
        <v>5928</v>
      </c>
    </row>
    <row r="3471" spans="1:3" x14ac:dyDescent="0.25">
      <c r="A3471" s="211">
        <f t="shared" si="54"/>
        <v>8701032</v>
      </c>
      <c r="B3471" s="213" t="s">
        <v>5929</v>
      </c>
      <c r="C3471" s="213" t="s">
        <v>5930</v>
      </c>
    </row>
    <row r="3472" spans="1:3" x14ac:dyDescent="0.25">
      <c r="A3472" s="211">
        <f t="shared" si="54"/>
        <v>8701033</v>
      </c>
      <c r="B3472" s="213" t="s">
        <v>5931</v>
      </c>
      <c r="C3472" s="213" t="s">
        <v>5932</v>
      </c>
    </row>
    <row r="3473" spans="1:3" x14ac:dyDescent="0.25">
      <c r="A3473" s="211">
        <f t="shared" si="54"/>
        <v>8701038</v>
      </c>
      <c r="B3473" s="213" t="s">
        <v>5933</v>
      </c>
      <c r="C3473" s="213" t="s">
        <v>5934</v>
      </c>
    </row>
    <row r="3474" spans="1:3" x14ac:dyDescent="0.25">
      <c r="A3474" s="211">
        <f t="shared" si="54"/>
        <v>8701060</v>
      </c>
      <c r="B3474" s="213" t="s">
        <v>5935</v>
      </c>
      <c r="C3474" s="213" t="s">
        <v>5936</v>
      </c>
    </row>
    <row r="3475" spans="1:3" x14ac:dyDescent="0.25">
      <c r="A3475" s="211">
        <f t="shared" si="54"/>
        <v>8701090</v>
      </c>
      <c r="B3475" s="213" t="s">
        <v>5937</v>
      </c>
      <c r="C3475" s="213" t="s">
        <v>5938</v>
      </c>
    </row>
    <row r="3476" spans="1:3" x14ac:dyDescent="0.25">
      <c r="A3476" s="211">
        <f t="shared" si="54"/>
        <v>8701092</v>
      </c>
      <c r="B3476" s="213" t="s">
        <v>5939</v>
      </c>
      <c r="C3476" s="213" t="s">
        <v>5940</v>
      </c>
    </row>
    <row r="3477" spans="1:3" x14ac:dyDescent="0.25">
      <c r="A3477" s="211">
        <f t="shared" si="54"/>
        <v>8701093</v>
      </c>
      <c r="B3477" s="213" t="s">
        <v>5941</v>
      </c>
      <c r="C3477" s="213" t="s">
        <v>5942</v>
      </c>
    </row>
    <row r="3478" spans="1:3" x14ac:dyDescent="0.25">
      <c r="A3478" s="211">
        <f t="shared" si="54"/>
        <v>8701100</v>
      </c>
      <c r="B3478" s="213" t="s">
        <v>5943</v>
      </c>
      <c r="C3478" s="213" t="s">
        <v>5944</v>
      </c>
    </row>
    <row r="3479" spans="1:3" x14ac:dyDescent="0.25">
      <c r="A3479" s="211">
        <f t="shared" si="54"/>
        <v>8701120</v>
      </c>
      <c r="B3479" s="213" t="s">
        <v>5945</v>
      </c>
      <c r="C3479" s="213" t="s">
        <v>5946</v>
      </c>
    </row>
    <row r="3480" spans="1:3" x14ac:dyDescent="0.25">
      <c r="A3480" s="211">
        <f t="shared" si="54"/>
        <v>8701158</v>
      </c>
      <c r="B3480" s="213" t="s">
        <v>5947</v>
      </c>
      <c r="C3480" s="213" t="s">
        <v>5948</v>
      </c>
    </row>
    <row r="3481" spans="1:3" x14ac:dyDescent="0.25">
      <c r="A3481" s="211">
        <f t="shared" si="54"/>
        <v>8701162</v>
      </c>
      <c r="B3481" s="213" t="s">
        <v>5949</v>
      </c>
      <c r="C3481" s="213" t="s">
        <v>5950</v>
      </c>
    </row>
    <row r="3482" spans="1:3" x14ac:dyDescent="0.25">
      <c r="A3482" s="211">
        <f t="shared" si="54"/>
        <v>8701200</v>
      </c>
      <c r="B3482" s="213" t="s">
        <v>5951</v>
      </c>
      <c r="C3482" s="213" t="s">
        <v>5952</v>
      </c>
    </row>
    <row r="3483" spans="1:3" x14ac:dyDescent="0.25">
      <c r="A3483" s="211">
        <f t="shared" si="54"/>
        <v>8701214</v>
      </c>
      <c r="B3483" s="213" t="s">
        <v>5953</v>
      </c>
      <c r="C3483" s="213" t="s">
        <v>5954</v>
      </c>
    </row>
    <row r="3484" spans="1:3" x14ac:dyDescent="0.25">
      <c r="A3484" s="211">
        <f t="shared" si="54"/>
        <v>8701215</v>
      </c>
      <c r="B3484" s="213" t="s">
        <v>5955</v>
      </c>
      <c r="C3484" s="213" t="s">
        <v>5956</v>
      </c>
    </row>
    <row r="3485" spans="1:3" x14ac:dyDescent="0.25">
      <c r="A3485" s="211">
        <f t="shared" si="54"/>
        <v>8701216</v>
      </c>
      <c r="B3485" s="213" t="s">
        <v>5957</v>
      </c>
      <c r="C3485" s="213" t="s">
        <v>5958</v>
      </c>
    </row>
    <row r="3486" spans="1:3" x14ac:dyDescent="0.25">
      <c r="A3486" s="211">
        <f t="shared" si="54"/>
        <v>8701253</v>
      </c>
      <c r="B3486" s="213" t="s">
        <v>13592</v>
      </c>
      <c r="C3486" s="213" t="s">
        <v>13593</v>
      </c>
    </row>
    <row r="3487" spans="1:3" x14ac:dyDescent="0.25">
      <c r="A3487" s="211">
        <f t="shared" si="54"/>
        <v>8701255</v>
      </c>
      <c r="B3487" s="213" t="s">
        <v>13594</v>
      </c>
      <c r="C3487" s="213" t="s">
        <v>13595</v>
      </c>
    </row>
    <row r="3488" spans="1:3" x14ac:dyDescent="0.25">
      <c r="A3488" s="211">
        <f t="shared" si="54"/>
        <v>8701325</v>
      </c>
      <c r="B3488" s="213" t="s">
        <v>13596</v>
      </c>
      <c r="C3488" s="213" t="s">
        <v>13597</v>
      </c>
    </row>
    <row r="3489" spans="1:3" x14ac:dyDescent="0.25">
      <c r="A3489" s="211">
        <f t="shared" si="54"/>
        <v>8701326</v>
      </c>
      <c r="B3489" s="213" t="s">
        <v>5959</v>
      </c>
      <c r="C3489" s="213" t="s">
        <v>5960</v>
      </c>
    </row>
    <row r="3490" spans="1:3" x14ac:dyDescent="0.25">
      <c r="A3490" s="211">
        <f t="shared" si="54"/>
        <v>8701350</v>
      </c>
      <c r="B3490" s="213" t="s">
        <v>5961</v>
      </c>
      <c r="C3490" s="213" t="s">
        <v>7680</v>
      </c>
    </row>
    <row r="3491" spans="1:3" x14ac:dyDescent="0.25">
      <c r="A3491" s="211">
        <f t="shared" si="54"/>
        <v>8701351</v>
      </c>
      <c r="B3491" s="213" t="s">
        <v>5962</v>
      </c>
      <c r="C3491" s="213" t="s">
        <v>5963</v>
      </c>
    </row>
    <row r="3492" spans="1:3" x14ac:dyDescent="0.25">
      <c r="A3492" s="211">
        <f t="shared" si="54"/>
        <v>8701453</v>
      </c>
      <c r="B3492" s="213" t="s">
        <v>5964</v>
      </c>
      <c r="C3492" s="213" t="s">
        <v>5965</v>
      </c>
    </row>
    <row r="3493" spans="1:3" x14ac:dyDescent="0.25">
      <c r="A3493" s="211">
        <f t="shared" si="54"/>
        <v>8701458</v>
      </c>
      <c r="B3493" s="213" t="s">
        <v>5966</v>
      </c>
      <c r="C3493" s="213" t="s">
        <v>5967</v>
      </c>
    </row>
    <row r="3494" spans="1:3" x14ac:dyDescent="0.25">
      <c r="A3494" s="211">
        <f t="shared" si="54"/>
        <v>8701494</v>
      </c>
      <c r="B3494" s="213" t="s">
        <v>5968</v>
      </c>
      <c r="C3494" s="213" t="s">
        <v>5969</v>
      </c>
    </row>
    <row r="3495" spans="1:3" x14ac:dyDescent="0.25">
      <c r="A3495" s="211">
        <f t="shared" si="54"/>
        <v>8701495</v>
      </c>
      <c r="B3495" s="213" t="s">
        <v>5970</v>
      </c>
      <c r="C3495" s="213" t="s">
        <v>5971</v>
      </c>
    </row>
    <row r="3496" spans="1:3" x14ac:dyDescent="0.25">
      <c r="A3496" s="211">
        <f t="shared" si="54"/>
        <v>8701500</v>
      </c>
      <c r="B3496" s="213" t="s">
        <v>5972</v>
      </c>
      <c r="C3496" s="213" t="s">
        <v>5973</v>
      </c>
    </row>
    <row r="3497" spans="1:3" x14ac:dyDescent="0.25">
      <c r="A3497" s="211">
        <f t="shared" si="54"/>
        <v>8701541</v>
      </c>
      <c r="B3497" s="213" t="s">
        <v>5974</v>
      </c>
      <c r="C3497" s="213" t="s">
        <v>5975</v>
      </c>
    </row>
    <row r="3498" spans="1:3" x14ac:dyDescent="0.25">
      <c r="A3498" s="211">
        <f t="shared" si="54"/>
        <v>8701542</v>
      </c>
      <c r="B3498" s="213" t="s">
        <v>5976</v>
      </c>
      <c r="C3498" s="213" t="s">
        <v>5977</v>
      </c>
    </row>
    <row r="3499" spans="1:3" x14ac:dyDescent="0.25">
      <c r="A3499" s="211">
        <f t="shared" si="54"/>
        <v>8701550</v>
      </c>
      <c r="B3499" s="213" t="s">
        <v>5978</v>
      </c>
      <c r="C3499" s="213" t="s">
        <v>5979</v>
      </c>
    </row>
    <row r="3500" spans="1:3" x14ac:dyDescent="0.25">
      <c r="A3500" s="211">
        <f t="shared" si="54"/>
        <v>8701552</v>
      </c>
      <c r="B3500" s="213" t="s">
        <v>5980</v>
      </c>
      <c r="C3500" s="213" t="s">
        <v>5981</v>
      </c>
    </row>
    <row r="3501" spans="1:3" x14ac:dyDescent="0.25">
      <c r="A3501" s="211">
        <f t="shared" si="54"/>
        <v>8701575</v>
      </c>
      <c r="B3501" s="213" t="s">
        <v>5982</v>
      </c>
      <c r="C3501" s="213" t="s">
        <v>5983</v>
      </c>
    </row>
    <row r="3502" spans="1:3" x14ac:dyDescent="0.25">
      <c r="A3502" s="211">
        <f t="shared" si="54"/>
        <v>8701576</v>
      </c>
      <c r="B3502" s="213" t="s">
        <v>5984</v>
      </c>
      <c r="C3502" s="213" t="s">
        <v>14123</v>
      </c>
    </row>
    <row r="3503" spans="1:3" x14ac:dyDescent="0.25">
      <c r="A3503" s="211">
        <f t="shared" si="54"/>
        <v>8701652</v>
      </c>
      <c r="B3503" s="213" t="s">
        <v>5985</v>
      </c>
      <c r="C3503" s="213" t="s">
        <v>5986</v>
      </c>
    </row>
    <row r="3504" spans="1:3" x14ac:dyDescent="0.25">
      <c r="A3504" s="211">
        <f t="shared" si="54"/>
        <v>8701653</v>
      </c>
      <c r="B3504" s="213" t="s">
        <v>5987</v>
      </c>
      <c r="C3504" s="213" t="s">
        <v>5988</v>
      </c>
    </row>
    <row r="3505" spans="1:3" x14ac:dyDescent="0.25">
      <c r="A3505" s="211">
        <f t="shared" si="54"/>
        <v>8701654</v>
      </c>
      <c r="B3505" s="213" t="s">
        <v>5989</v>
      </c>
      <c r="C3505" s="213" t="s">
        <v>5990</v>
      </c>
    </row>
    <row r="3506" spans="1:3" x14ac:dyDescent="0.25">
      <c r="A3506" s="211">
        <f t="shared" si="54"/>
        <v>8701655</v>
      </c>
      <c r="B3506" s="213" t="s">
        <v>5991</v>
      </c>
      <c r="C3506" s="213" t="s">
        <v>5992</v>
      </c>
    </row>
    <row r="3507" spans="1:3" x14ac:dyDescent="0.25">
      <c r="A3507" s="211">
        <f t="shared" si="54"/>
        <v>8701656</v>
      </c>
      <c r="B3507" s="213" t="s">
        <v>5993</v>
      </c>
      <c r="C3507" s="213" t="s">
        <v>5994</v>
      </c>
    </row>
    <row r="3508" spans="1:3" x14ac:dyDescent="0.25">
      <c r="A3508" s="211">
        <f t="shared" si="54"/>
        <v>8701657</v>
      </c>
      <c r="B3508" s="213" t="s">
        <v>5995</v>
      </c>
      <c r="C3508" s="213" t="s">
        <v>5996</v>
      </c>
    </row>
    <row r="3509" spans="1:3" x14ac:dyDescent="0.25">
      <c r="A3509" s="211">
        <f t="shared" si="54"/>
        <v>8701658</v>
      </c>
      <c r="B3509" s="213" t="s">
        <v>5997</v>
      </c>
      <c r="C3509" s="213" t="s">
        <v>5998</v>
      </c>
    </row>
    <row r="3510" spans="1:3" x14ac:dyDescent="0.25">
      <c r="A3510" s="211">
        <f t="shared" si="54"/>
        <v>8701735</v>
      </c>
      <c r="B3510" s="213" t="s">
        <v>5999</v>
      </c>
      <c r="C3510" s="213" t="s">
        <v>6000</v>
      </c>
    </row>
    <row r="3511" spans="1:3" x14ac:dyDescent="0.25">
      <c r="A3511" s="211">
        <f t="shared" si="54"/>
        <v>8701736</v>
      </c>
      <c r="B3511" s="213" t="s">
        <v>6001</v>
      </c>
      <c r="C3511" s="213" t="s">
        <v>6002</v>
      </c>
    </row>
    <row r="3512" spans="1:3" x14ac:dyDescent="0.25">
      <c r="A3512" s="211">
        <f t="shared" si="54"/>
        <v>8701741</v>
      </c>
      <c r="B3512" s="213" t="s">
        <v>6003</v>
      </c>
      <c r="C3512" s="213" t="s">
        <v>14124</v>
      </c>
    </row>
    <row r="3513" spans="1:3" x14ac:dyDescent="0.25">
      <c r="A3513" s="211">
        <f t="shared" si="54"/>
        <v>8701742</v>
      </c>
      <c r="B3513" s="213" t="s">
        <v>6004</v>
      </c>
      <c r="C3513" s="213" t="s">
        <v>14125</v>
      </c>
    </row>
    <row r="3514" spans="1:3" x14ac:dyDescent="0.25">
      <c r="A3514" s="211">
        <f t="shared" si="54"/>
        <v>8701745</v>
      </c>
      <c r="B3514" s="213" t="s">
        <v>6005</v>
      </c>
      <c r="C3514" s="213" t="s">
        <v>6006</v>
      </c>
    </row>
    <row r="3515" spans="1:3" x14ac:dyDescent="0.25">
      <c r="A3515" s="211">
        <f t="shared" si="54"/>
        <v>8701750</v>
      </c>
      <c r="B3515" s="213" t="s">
        <v>6007</v>
      </c>
      <c r="C3515" s="213" t="s">
        <v>6008</v>
      </c>
    </row>
    <row r="3516" spans="1:3" x14ac:dyDescent="0.25">
      <c r="A3516" s="211">
        <f t="shared" si="54"/>
        <v>8701800</v>
      </c>
      <c r="B3516" s="213" t="s">
        <v>6009</v>
      </c>
      <c r="C3516" s="213" t="s">
        <v>6010</v>
      </c>
    </row>
    <row r="3517" spans="1:3" x14ac:dyDescent="0.25">
      <c r="A3517" s="211">
        <f t="shared" si="54"/>
        <v>8701856</v>
      </c>
      <c r="B3517" s="213" t="s">
        <v>6011</v>
      </c>
      <c r="C3517" s="213" t="s">
        <v>6012</v>
      </c>
    </row>
    <row r="3518" spans="1:3" x14ac:dyDescent="0.25">
      <c r="A3518" s="211">
        <f t="shared" si="54"/>
        <v>8701900</v>
      </c>
      <c r="B3518" s="213" t="s">
        <v>6013</v>
      </c>
      <c r="C3518" s="213" t="s">
        <v>14126</v>
      </c>
    </row>
    <row r="3519" spans="1:3" x14ac:dyDescent="0.25">
      <c r="A3519" s="211">
        <f t="shared" si="54"/>
        <v>8701999</v>
      </c>
      <c r="B3519" s="213" t="s">
        <v>6014</v>
      </c>
      <c r="C3519" s="213" t="s">
        <v>6015</v>
      </c>
    </row>
    <row r="3520" spans="1:3" x14ac:dyDescent="0.25">
      <c r="A3520" s="211">
        <f t="shared" si="54"/>
        <v>8702073</v>
      </c>
      <c r="B3520" s="213" t="s">
        <v>6016</v>
      </c>
      <c r="C3520" s="213" t="s">
        <v>6017</v>
      </c>
    </row>
    <row r="3521" spans="1:3" x14ac:dyDescent="0.25">
      <c r="A3521" s="211">
        <f t="shared" si="54"/>
        <v>8702228</v>
      </c>
      <c r="B3521" s="213" t="s">
        <v>6018</v>
      </c>
      <c r="C3521" s="213" t="s">
        <v>6019</v>
      </c>
    </row>
    <row r="3522" spans="1:3" x14ac:dyDescent="0.25">
      <c r="A3522" s="211">
        <f t="shared" ref="A3522:A3585" si="55">IFERROR(B3522*1,"")</f>
        <v>8702557</v>
      </c>
      <c r="B3522" s="213" t="s">
        <v>6020</v>
      </c>
      <c r="C3522" s="213" t="s">
        <v>6021</v>
      </c>
    </row>
    <row r="3523" spans="1:3" x14ac:dyDescent="0.25">
      <c r="A3523" s="211">
        <f t="shared" si="55"/>
        <v>8702660</v>
      </c>
      <c r="B3523" s="213" t="s">
        <v>6022</v>
      </c>
      <c r="C3523" s="213" t="s">
        <v>6023</v>
      </c>
    </row>
    <row r="3524" spans="1:3" x14ac:dyDescent="0.25">
      <c r="A3524" s="211">
        <f t="shared" si="55"/>
        <v>8702661</v>
      </c>
      <c r="B3524" s="213" t="s">
        <v>6024</v>
      </c>
      <c r="C3524" s="213" t="s">
        <v>6025</v>
      </c>
    </row>
    <row r="3525" spans="1:3" x14ac:dyDescent="0.25">
      <c r="A3525" s="211">
        <f t="shared" si="55"/>
        <v>8702668</v>
      </c>
      <c r="B3525" s="213" t="s">
        <v>6026</v>
      </c>
      <c r="C3525" s="213" t="s">
        <v>6027</v>
      </c>
    </row>
    <row r="3526" spans="1:3" x14ac:dyDescent="0.25">
      <c r="A3526" s="211">
        <f t="shared" si="55"/>
        <v>8703000</v>
      </c>
      <c r="B3526" s="213" t="s">
        <v>6028</v>
      </c>
      <c r="C3526" s="213" t="s">
        <v>6029</v>
      </c>
    </row>
    <row r="3527" spans="1:3" x14ac:dyDescent="0.25">
      <c r="A3527" s="211">
        <f t="shared" si="55"/>
        <v>8703001</v>
      </c>
      <c r="B3527" s="213" t="s">
        <v>6030</v>
      </c>
      <c r="C3527" s="213" t="s">
        <v>6031</v>
      </c>
    </row>
    <row r="3528" spans="1:3" x14ac:dyDescent="0.25">
      <c r="A3528" s="211">
        <f t="shared" si="55"/>
        <v>8703002</v>
      </c>
      <c r="B3528" s="213" t="s">
        <v>6032</v>
      </c>
      <c r="C3528" s="213" t="s">
        <v>6033</v>
      </c>
    </row>
    <row r="3529" spans="1:3" x14ac:dyDescent="0.25">
      <c r="A3529" s="211">
        <f t="shared" si="55"/>
        <v>8703004</v>
      </c>
      <c r="B3529" s="213" t="s">
        <v>6034</v>
      </c>
      <c r="C3529" s="213" t="s">
        <v>6035</v>
      </c>
    </row>
    <row r="3530" spans="1:3" x14ac:dyDescent="0.25">
      <c r="A3530" s="211">
        <f t="shared" si="55"/>
        <v>8703005</v>
      </c>
      <c r="B3530" s="213" t="s">
        <v>6036</v>
      </c>
      <c r="C3530" s="213" t="s">
        <v>6037</v>
      </c>
    </row>
    <row r="3531" spans="1:3" x14ac:dyDescent="0.25">
      <c r="A3531" s="211">
        <f t="shared" si="55"/>
        <v>8703011</v>
      </c>
      <c r="B3531" s="213" t="s">
        <v>6038</v>
      </c>
      <c r="C3531" s="213" t="s">
        <v>6039</v>
      </c>
    </row>
    <row r="3532" spans="1:3" x14ac:dyDescent="0.25">
      <c r="A3532" s="211">
        <f t="shared" si="55"/>
        <v>8703012</v>
      </c>
      <c r="B3532" s="213" t="s">
        <v>6040</v>
      </c>
      <c r="C3532" s="213" t="s">
        <v>6041</v>
      </c>
    </row>
    <row r="3533" spans="1:3" x14ac:dyDescent="0.25">
      <c r="A3533" s="211">
        <f t="shared" si="55"/>
        <v>8703017</v>
      </c>
      <c r="B3533" s="213" t="s">
        <v>6042</v>
      </c>
      <c r="C3533" s="213" t="s">
        <v>13598</v>
      </c>
    </row>
    <row r="3534" spans="1:3" x14ac:dyDescent="0.25">
      <c r="A3534" s="211">
        <f t="shared" si="55"/>
        <v>8703018</v>
      </c>
      <c r="B3534" s="213" t="s">
        <v>6043</v>
      </c>
      <c r="C3534" s="213" t="s">
        <v>6044</v>
      </c>
    </row>
    <row r="3535" spans="1:3" x14ac:dyDescent="0.25">
      <c r="A3535" s="211">
        <f t="shared" si="55"/>
        <v>8703020</v>
      </c>
      <c r="B3535" s="213" t="s">
        <v>6045</v>
      </c>
      <c r="C3535" s="213" t="s">
        <v>6046</v>
      </c>
    </row>
    <row r="3536" spans="1:3" x14ac:dyDescent="0.25">
      <c r="A3536" s="211">
        <f t="shared" si="55"/>
        <v>8703021</v>
      </c>
      <c r="B3536" s="213" t="s">
        <v>6047</v>
      </c>
      <c r="C3536" s="213" t="s">
        <v>6048</v>
      </c>
    </row>
    <row r="3537" spans="1:3" x14ac:dyDescent="0.25">
      <c r="A3537" s="211">
        <f t="shared" si="55"/>
        <v>8703028</v>
      </c>
      <c r="B3537" s="213" t="s">
        <v>6049</v>
      </c>
      <c r="C3537" s="213" t="s">
        <v>13385</v>
      </c>
    </row>
    <row r="3538" spans="1:3" x14ac:dyDescent="0.25">
      <c r="A3538" s="211">
        <f t="shared" si="55"/>
        <v>8703030</v>
      </c>
      <c r="B3538" s="213" t="s">
        <v>6050</v>
      </c>
      <c r="C3538" s="213" t="s">
        <v>6051</v>
      </c>
    </row>
    <row r="3539" spans="1:3" x14ac:dyDescent="0.25">
      <c r="A3539" s="211">
        <f t="shared" si="55"/>
        <v>8703034</v>
      </c>
      <c r="B3539" s="213" t="s">
        <v>6052</v>
      </c>
      <c r="C3539" s="213" t="s">
        <v>6053</v>
      </c>
    </row>
    <row r="3540" spans="1:3" x14ac:dyDescent="0.25">
      <c r="A3540" s="211">
        <f t="shared" si="55"/>
        <v>8703035</v>
      </c>
      <c r="B3540" s="213" t="s">
        <v>6054</v>
      </c>
      <c r="C3540" s="213" t="s">
        <v>6055</v>
      </c>
    </row>
    <row r="3541" spans="1:3" x14ac:dyDescent="0.25">
      <c r="A3541" s="211">
        <f t="shared" si="55"/>
        <v>8703036</v>
      </c>
      <c r="B3541" s="213" t="s">
        <v>6056</v>
      </c>
      <c r="C3541" s="213" t="s">
        <v>6057</v>
      </c>
    </row>
    <row r="3542" spans="1:3" x14ac:dyDescent="0.25">
      <c r="A3542" s="211">
        <f t="shared" si="55"/>
        <v>870303601</v>
      </c>
      <c r="B3542" s="213" t="s">
        <v>6058</v>
      </c>
      <c r="C3542" s="213" t="s">
        <v>6059</v>
      </c>
    </row>
    <row r="3543" spans="1:3" x14ac:dyDescent="0.25">
      <c r="A3543" s="211">
        <f t="shared" si="55"/>
        <v>870303602</v>
      </c>
      <c r="B3543" s="213" t="s">
        <v>6060</v>
      </c>
      <c r="C3543" s="213" t="s">
        <v>6061</v>
      </c>
    </row>
    <row r="3544" spans="1:3" x14ac:dyDescent="0.25">
      <c r="A3544" s="211">
        <f t="shared" si="55"/>
        <v>8703037</v>
      </c>
      <c r="B3544" s="213" t="s">
        <v>6062</v>
      </c>
      <c r="C3544" s="213" t="s">
        <v>6063</v>
      </c>
    </row>
    <row r="3545" spans="1:3" x14ac:dyDescent="0.25">
      <c r="A3545" s="211">
        <f t="shared" si="55"/>
        <v>8703038</v>
      </c>
      <c r="B3545" s="213" t="s">
        <v>6064</v>
      </c>
      <c r="C3545" s="213" t="s">
        <v>6065</v>
      </c>
    </row>
    <row r="3546" spans="1:3" x14ac:dyDescent="0.25">
      <c r="A3546" s="211">
        <f t="shared" si="55"/>
        <v>870303800</v>
      </c>
      <c r="B3546" s="213" t="s">
        <v>6066</v>
      </c>
      <c r="C3546" s="213" t="s">
        <v>6067</v>
      </c>
    </row>
    <row r="3547" spans="1:3" x14ac:dyDescent="0.25">
      <c r="A3547" s="211">
        <f t="shared" si="55"/>
        <v>870303801</v>
      </c>
      <c r="B3547" s="213" t="s">
        <v>6068</v>
      </c>
      <c r="C3547" s="213" t="s">
        <v>6069</v>
      </c>
    </row>
    <row r="3548" spans="1:3" x14ac:dyDescent="0.25">
      <c r="A3548" s="211">
        <f t="shared" si="55"/>
        <v>870303802</v>
      </c>
      <c r="B3548" s="213" t="s">
        <v>6070</v>
      </c>
      <c r="C3548" s="213" t="s">
        <v>6071</v>
      </c>
    </row>
    <row r="3549" spans="1:3" x14ac:dyDescent="0.25">
      <c r="A3549" s="211">
        <f t="shared" si="55"/>
        <v>870303803</v>
      </c>
      <c r="B3549" s="213" t="s">
        <v>6072</v>
      </c>
      <c r="C3549" s="213" t="s">
        <v>6073</v>
      </c>
    </row>
    <row r="3550" spans="1:3" x14ac:dyDescent="0.25">
      <c r="A3550" s="211">
        <f t="shared" si="55"/>
        <v>8703039</v>
      </c>
      <c r="B3550" s="213" t="s">
        <v>6074</v>
      </c>
      <c r="C3550" s="213" t="s">
        <v>6075</v>
      </c>
    </row>
    <row r="3551" spans="1:3" x14ac:dyDescent="0.25">
      <c r="A3551" s="211">
        <f t="shared" si="55"/>
        <v>8703040</v>
      </c>
      <c r="B3551" s="213" t="s">
        <v>6076</v>
      </c>
      <c r="C3551" s="213" t="s">
        <v>6077</v>
      </c>
    </row>
    <row r="3552" spans="1:3" x14ac:dyDescent="0.25">
      <c r="A3552" s="211">
        <f t="shared" si="55"/>
        <v>8703041</v>
      </c>
      <c r="B3552" s="213" t="s">
        <v>6078</v>
      </c>
      <c r="C3552" s="213" t="s">
        <v>6079</v>
      </c>
    </row>
    <row r="3553" spans="1:3" x14ac:dyDescent="0.25">
      <c r="A3553" s="211">
        <f t="shared" si="55"/>
        <v>870304101</v>
      </c>
      <c r="B3553" s="213" t="s">
        <v>6080</v>
      </c>
      <c r="C3553" s="213" t="s">
        <v>6081</v>
      </c>
    </row>
    <row r="3554" spans="1:3" x14ac:dyDescent="0.25">
      <c r="A3554" s="211">
        <f t="shared" si="55"/>
        <v>870304102</v>
      </c>
      <c r="B3554" s="213" t="s">
        <v>6082</v>
      </c>
      <c r="C3554" s="213" t="s">
        <v>6083</v>
      </c>
    </row>
    <row r="3555" spans="1:3" x14ac:dyDescent="0.25">
      <c r="A3555" s="211">
        <f t="shared" si="55"/>
        <v>8703042</v>
      </c>
      <c r="B3555" s="213" t="s">
        <v>6084</v>
      </c>
      <c r="C3555" s="213" t="s">
        <v>6085</v>
      </c>
    </row>
    <row r="3556" spans="1:3" x14ac:dyDescent="0.25">
      <c r="A3556" s="211">
        <f t="shared" si="55"/>
        <v>8703045</v>
      </c>
      <c r="B3556" s="213" t="s">
        <v>6086</v>
      </c>
      <c r="C3556" s="213" t="s">
        <v>6087</v>
      </c>
    </row>
    <row r="3557" spans="1:3" x14ac:dyDescent="0.25">
      <c r="A3557" s="211">
        <f t="shared" si="55"/>
        <v>8703046</v>
      </c>
      <c r="B3557" s="213" t="s">
        <v>6088</v>
      </c>
      <c r="C3557" s="213" t="s">
        <v>6089</v>
      </c>
    </row>
    <row r="3558" spans="1:3" x14ac:dyDescent="0.25">
      <c r="A3558" s="211">
        <f t="shared" si="55"/>
        <v>8703047</v>
      </c>
      <c r="B3558" s="213" t="s">
        <v>6090</v>
      </c>
      <c r="C3558" s="213" t="s">
        <v>13599</v>
      </c>
    </row>
    <row r="3559" spans="1:3" x14ac:dyDescent="0.25">
      <c r="A3559" s="211">
        <f t="shared" si="55"/>
        <v>8703051</v>
      </c>
      <c r="B3559" s="213" t="s">
        <v>6091</v>
      </c>
      <c r="C3559" s="213" t="s">
        <v>6092</v>
      </c>
    </row>
    <row r="3560" spans="1:3" x14ac:dyDescent="0.25">
      <c r="A3560" s="211">
        <f t="shared" si="55"/>
        <v>8703052</v>
      </c>
      <c r="B3560" s="213" t="s">
        <v>6093</v>
      </c>
      <c r="C3560" s="213" t="s">
        <v>6094</v>
      </c>
    </row>
    <row r="3561" spans="1:3" x14ac:dyDescent="0.25">
      <c r="A3561" s="211">
        <f t="shared" si="55"/>
        <v>8703053</v>
      </c>
      <c r="B3561" s="213" t="s">
        <v>6095</v>
      </c>
      <c r="C3561" s="213" t="s">
        <v>6096</v>
      </c>
    </row>
    <row r="3562" spans="1:3" x14ac:dyDescent="0.25">
      <c r="A3562" s="211">
        <f t="shared" si="55"/>
        <v>8703062</v>
      </c>
      <c r="B3562" s="213" t="s">
        <v>6097</v>
      </c>
      <c r="C3562" s="213" t="s">
        <v>6098</v>
      </c>
    </row>
    <row r="3563" spans="1:3" x14ac:dyDescent="0.25">
      <c r="A3563" s="211">
        <f t="shared" si="55"/>
        <v>8703090</v>
      </c>
      <c r="B3563" s="213" t="s">
        <v>6099</v>
      </c>
      <c r="C3563" s="213" t="s">
        <v>6100</v>
      </c>
    </row>
    <row r="3564" spans="1:3" x14ac:dyDescent="0.25">
      <c r="A3564" s="211">
        <f t="shared" si="55"/>
        <v>8703094</v>
      </c>
      <c r="B3564" s="213" t="s">
        <v>6101</v>
      </c>
      <c r="C3564" s="213" t="s">
        <v>6102</v>
      </c>
    </row>
    <row r="3565" spans="1:3" x14ac:dyDescent="0.25">
      <c r="A3565" s="211">
        <f t="shared" si="55"/>
        <v>8703097</v>
      </c>
      <c r="B3565" s="213" t="s">
        <v>6103</v>
      </c>
      <c r="C3565" s="213" t="s">
        <v>6104</v>
      </c>
    </row>
    <row r="3566" spans="1:3" x14ac:dyDescent="0.25">
      <c r="A3566" s="211">
        <f t="shared" si="55"/>
        <v>8703099</v>
      </c>
      <c r="B3566" s="213" t="s">
        <v>6105</v>
      </c>
      <c r="C3566" s="213" t="s">
        <v>6106</v>
      </c>
    </row>
    <row r="3567" spans="1:3" x14ac:dyDescent="0.25">
      <c r="A3567" s="211">
        <f t="shared" si="55"/>
        <v>8703100</v>
      </c>
      <c r="B3567" s="213" t="s">
        <v>6107</v>
      </c>
      <c r="C3567" s="213" t="s">
        <v>6108</v>
      </c>
    </row>
    <row r="3568" spans="1:3" x14ac:dyDescent="0.25">
      <c r="A3568" s="211">
        <f t="shared" si="55"/>
        <v>8703101</v>
      </c>
      <c r="B3568" s="213" t="s">
        <v>6109</v>
      </c>
      <c r="C3568" s="213" t="s">
        <v>6110</v>
      </c>
    </row>
    <row r="3569" spans="1:3" x14ac:dyDescent="0.25">
      <c r="A3569" s="211">
        <f t="shared" si="55"/>
        <v>8703102</v>
      </c>
      <c r="B3569" s="213" t="s">
        <v>6111</v>
      </c>
      <c r="C3569" s="213" t="s">
        <v>13600</v>
      </c>
    </row>
    <row r="3570" spans="1:3" x14ac:dyDescent="0.25">
      <c r="A3570" s="211">
        <f t="shared" si="55"/>
        <v>8703103</v>
      </c>
      <c r="B3570" s="213" t="s">
        <v>6112</v>
      </c>
      <c r="C3570" s="213" t="s">
        <v>6113</v>
      </c>
    </row>
    <row r="3571" spans="1:3" x14ac:dyDescent="0.25">
      <c r="A3571" s="211">
        <f t="shared" si="55"/>
        <v>8703104</v>
      </c>
      <c r="B3571" s="213" t="s">
        <v>6114</v>
      </c>
      <c r="C3571" s="213" t="s">
        <v>6115</v>
      </c>
    </row>
    <row r="3572" spans="1:3" x14ac:dyDescent="0.25">
      <c r="A3572" s="211">
        <f t="shared" si="55"/>
        <v>8703105</v>
      </c>
      <c r="B3572" s="213" t="s">
        <v>6116</v>
      </c>
      <c r="C3572" s="213" t="s">
        <v>6117</v>
      </c>
    </row>
    <row r="3573" spans="1:3" x14ac:dyDescent="0.25">
      <c r="A3573" s="211">
        <f t="shared" si="55"/>
        <v>8703106</v>
      </c>
      <c r="B3573" s="213" t="s">
        <v>6118</v>
      </c>
      <c r="C3573" s="213" t="s">
        <v>6119</v>
      </c>
    </row>
    <row r="3574" spans="1:3" x14ac:dyDescent="0.25">
      <c r="A3574" s="211">
        <f t="shared" si="55"/>
        <v>8703107</v>
      </c>
      <c r="B3574" s="213" t="s">
        <v>6120</v>
      </c>
      <c r="C3574" s="213" t="s">
        <v>6121</v>
      </c>
    </row>
    <row r="3575" spans="1:3" x14ac:dyDescent="0.25">
      <c r="A3575" s="211">
        <f t="shared" si="55"/>
        <v>8703108</v>
      </c>
      <c r="B3575" s="213" t="s">
        <v>6122</v>
      </c>
      <c r="C3575" s="213" t="s">
        <v>6123</v>
      </c>
    </row>
    <row r="3576" spans="1:3" x14ac:dyDescent="0.25">
      <c r="A3576" s="211">
        <f t="shared" si="55"/>
        <v>8703109</v>
      </c>
      <c r="B3576" s="213" t="s">
        <v>6124</v>
      </c>
      <c r="C3576" s="213" t="s">
        <v>6125</v>
      </c>
    </row>
    <row r="3577" spans="1:3" x14ac:dyDescent="0.25">
      <c r="A3577" s="211">
        <f t="shared" si="55"/>
        <v>8703110</v>
      </c>
      <c r="B3577" s="213" t="s">
        <v>6126</v>
      </c>
      <c r="C3577" s="213" t="s">
        <v>6127</v>
      </c>
    </row>
    <row r="3578" spans="1:3" x14ac:dyDescent="0.25">
      <c r="A3578" s="211">
        <f t="shared" si="55"/>
        <v>8703111</v>
      </c>
      <c r="B3578" s="213" t="s">
        <v>6128</v>
      </c>
      <c r="C3578" s="213" t="s">
        <v>6129</v>
      </c>
    </row>
    <row r="3579" spans="1:3" x14ac:dyDescent="0.25">
      <c r="A3579" s="211">
        <f t="shared" si="55"/>
        <v>8703112</v>
      </c>
      <c r="B3579" s="213" t="s">
        <v>6130</v>
      </c>
      <c r="C3579" s="213" t="s">
        <v>6131</v>
      </c>
    </row>
    <row r="3580" spans="1:3" x14ac:dyDescent="0.25">
      <c r="A3580" s="211">
        <f t="shared" si="55"/>
        <v>8703113</v>
      </c>
      <c r="B3580" s="213" t="s">
        <v>6132</v>
      </c>
      <c r="C3580" s="213" t="s">
        <v>6133</v>
      </c>
    </row>
    <row r="3581" spans="1:3" x14ac:dyDescent="0.25">
      <c r="A3581" s="211">
        <f t="shared" si="55"/>
        <v>8703114</v>
      </c>
      <c r="B3581" s="213" t="s">
        <v>6134</v>
      </c>
      <c r="C3581" s="213" t="s">
        <v>6135</v>
      </c>
    </row>
    <row r="3582" spans="1:3" x14ac:dyDescent="0.25">
      <c r="A3582" s="211">
        <f t="shared" si="55"/>
        <v>8703115</v>
      </c>
      <c r="B3582" s="213" t="s">
        <v>6136</v>
      </c>
      <c r="C3582" s="213" t="s">
        <v>6137</v>
      </c>
    </row>
    <row r="3583" spans="1:3" x14ac:dyDescent="0.25">
      <c r="A3583" s="211">
        <f t="shared" si="55"/>
        <v>8703116</v>
      </c>
      <c r="B3583" s="213" t="s">
        <v>6138</v>
      </c>
      <c r="C3583" s="213" t="s">
        <v>6139</v>
      </c>
    </row>
    <row r="3584" spans="1:3" x14ac:dyDescent="0.25">
      <c r="A3584" s="211">
        <f t="shared" si="55"/>
        <v>8703117</v>
      </c>
      <c r="B3584" s="213" t="s">
        <v>6140</v>
      </c>
      <c r="C3584" s="213" t="s">
        <v>6141</v>
      </c>
    </row>
    <row r="3585" spans="1:3" x14ac:dyDescent="0.25">
      <c r="A3585" s="211">
        <f t="shared" si="55"/>
        <v>8703118</v>
      </c>
      <c r="B3585" s="213" t="s">
        <v>6142</v>
      </c>
      <c r="C3585" s="213" t="s">
        <v>6143</v>
      </c>
    </row>
    <row r="3586" spans="1:3" x14ac:dyDescent="0.25">
      <c r="A3586" s="211">
        <f t="shared" ref="A3586:A3649" si="56">IFERROR(B3586*1,"")</f>
        <v>8703119</v>
      </c>
      <c r="B3586" s="213" t="s">
        <v>6144</v>
      </c>
      <c r="C3586" s="213" t="s">
        <v>6145</v>
      </c>
    </row>
    <row r="3587" spans="1:3" x14ac:dyDescent="0.25">
      <c r="A3587" s="211">
        <f t="shared" si="56"/>
        <v>8703120</v>
      </c>
      <c r="B3587" s="213" t="s">
        <v>6146</v>
      </c>
      <c r="C3587" s="213" t="s">
        <v>6147</v>
      </c>
    </row>
    <row r="3588" spans="1:3" x14ac:dyDescent="0.25">
      <c r="A3588" s="211">
        <f t="shared" si="56"/>
        <v>8703121</v>
      </c>
      <c r="B3588" s="213" t="s">
        <v>6148</v>
      </c>
      <c r="C3588" s="213" t="s">
        <v>6149</v>
      </c>
    </row>
    <row r="3589" spans="1:3" x14ac:dyDescent="0.25">
      <c r="A3589" s="211">
        <f t="shared" si="56"/>
        <v>8703122</v>
      </c>
      <c r="B3589" s="213" t="s">
        <v>6150</v>
      </c>
      <c r="C3589" s="213" t="s">
        <v>6151</v>
      </c>
    </row>
    <row r="3590" spans="1:3" x14ac:dyDescent="0.25">
      <c r="A3590" s="211">
        <f t="shared" si="56"/>
        <v>8703128</v>
      </c>
      <c r="B3590" s="213" t="s">
        <v>6152</v>
      </c>
      <c r="C3590" s="213" t="s">
        <v>6153</v>
      </c>
    </row>
    <row r="3591" spans="1:3" x14ac:dyDescent="0.25">
      <c r="A3591" s="211">
        <f t="shared" si="56"/>
        <v>8703135</v>
      </c>
      <c r="B3591" s="213" t="s">
        <v>6154</v>
      </c>
      <c r="C3591" s="213" t="s">
        <v>6155</v>
      </c>
    </row>
    <row r="3592" spans="1:3" x14ac:dyDescent="0.25">
      <c r="A3592" s="211">
        <f t="shared" si="56"/>
        <v>8703138</v>
      </c>
      <c r="B3592" s="213" t="s">
        <v>6156</v>
      </c>
      <c r="C3592" s="213" t="s">
        <v>6157</v>
      </c>
    </row>
    <row r="3593" spans="1:3" x14ac:dyDescent="0.25">
      <c r="A3593" s="211">
        <f t="shared" si="56"/>
        <v>8703140</v>
      </c>
      <c r="B3593" s="213" t="s">
        <v>6158</v>
      </c>
      <c r="C3593" s="213" t="s">
        <v>6159</v>
      </c>
    </row>
    <row r="3594" spans="1:3" x14ac:dyDescent="0.25">
      <c r="A3594" s="211">
        <f t="shared" si="56"/>
        <v>8703150</v>
      </c>
      <c r="B3594" s="213" t="s">
        <v>6160</v>
      </c>
      <c r="C3594" s="213" t="s">
        <v>13601</v>
      </c>
    </row>
    <row r="3595" spans="1:3" x14ac:dyDescent="0.25">
      <c r="A3595" s="211">
        <f t="shared" si="56"/>
        <v>8703151</v>
      </c>
      <c r="B3595" s="213" t="s">
        <v>6161</v>
      </c>
      <c r="C3595" s="213" t="s">
        <v>14127</v>
      </c>
    </row>
    <row r="3596" spans="1:3" x14ac:dyDescent="0.25">
      <c r="A3596" s="211">
        <f t="shared" si="56"/>
        <v>8703152</v>
      </c>
      <c r="B3596" s="213" t="s">
        <v>6162</v>
      </c>
      <c r="C3596" s="213" t="s">
        <v>14128</v>
      </c>
    </row>
    <row r="3597" spans="1:3" x14ac:dyDescent="0.25">
      <c r="A3597" s="211">
        <f t="shared" si="56"/>
        <v>8703153</v>
      </c>
      <c r="B3597" s="213" t="s">
        <v>6163</v>
      </c>
      <c r="C3597" s="213" t="s">
        <v>13602</v>
      </c>
    </row>
    <row r="3598" spans="1:3" x14ac:dyDescent="0.25">
      <c r="A3598" s="211">
        <f t="shared" si="56"/>
        <v>8703155</v>
      </c>
      <c r="B3598" s="213" t="s">
        <v>6164</v>
      </c>
      <c r="C3598" s="213" t="s">
        <v>6165</v>
      </c>
    </row>
    <row r="3599" spans="1:3" x14ac:dyDescent="0.25">
      <c r="A3599" s="211">
        <f t="shared" si="56"/>
        <v>8703157</v>
      </c>
      <c r="B3599" s="213" t="s">
        <v>6166</v>
      </c>
      <c r="C3599" s="213" t="s">
        <v>6167</v>
      </c>
    </row>
    <row r="3600" spans="1:3" x14ac:dyDescent="0.25">
      <c r="A3600" s="211">
        <f t="shared" si="56"/>
        <v>8703158</v>
      </c>
      <c r="B3600" s="213" t="s">
        <v>6168</v>
      </c>
      <c r="C3600" s="213" t="s">
        <v>6169</v>
      </c>
    </row>
    <row r="3601" spans="1:3" x14ac:dyDescent="0.25">
      <c r="A3601" s="211">
        <f t="shared" si="56"/>
        <v>8703162</v>
      </c>
      <c r="B3601" s="213" t="s">
        <v>6170</v>
      </c>
      <c r="C3601" s="213" t="s">
        <v>6171</v>
      </c>
    </row>
    <row r="3602" spans="1:3" x14ac:dyDescent="0.25">
      <c r="A3602" s="211">
        <f t="shared" si="56"/>
        <v>8703163</v>
      </c>
      <c r="B3602" s="213" t="s">
        <v>7681</v>
      </c>
      <c r="C3602" s="213" t="s">
        <v>7682</v>
      </c>
    </row>
    <row r="3603" spans="1:3" x14ac:dyDescent="0.25">
      <c r="A3603" s="211">
        <f t="shared" si="56"/>
        <v>8703197</v>
      </c>
      <c r="B3603" s="213" t="s">
        <v>6172</v>
      </c>
      <c r="C3603" s="213" t="s">
        <v>6173</v>
      </c>
    </row>
    <row r="3604" spans="1:3" x14ac:dyDescent="0.25">
      <c r="A3604" s="211">
        <f t="shared" si="56"/>
        <v>8703200</v>
      </c>
      <c r="B3604" s="213" t="s">
        <v>6174</v>
      </c>
      <c r="C3604" s="213" t="s">
        <v>7683</v>
      </c>
    </row>
    <row r="3605" spans="1:3" x14ac:dyDescent="0.25">
      <c r="A3605" s="211">
        <f t="shared" si="56"/>
        <v>8703201</v>
      </c>
      <c r="B3605" s="213" t="s">
        <v>6175</v>
      </c>
      <c r="C3605" s="213" t="s">
        <v>6176</v>
      </c>
    </row>
    <row r="3606" spans="1:3" x14ac:dyDescent="0.25">
      <c r="A3606" s="211">
        <f t="shared" si="56"/>
        <v>8703203</v>
      </c>
      <c r="B3606" s="213" t="s">
        <v>6177</v>
      </c>
      <c r="C3606" s="213" t="s">
        <v>6178</v>
      </c>
    </row>
    <row r="3607" spans="1:3" x14ac:dyDescent="0.25">
      <c r="A3607" s="211">
        <f t="shared" si="56"/>
        <v>8703205</v>
      </c>
      <c r="B3607" s="213" t="s">
        <v>6179</v>
      </c>
      <c r="C3607" s="213" t="s">
        <v>6180</v>
      </c>
    </row>
    <row r="3608" spans="1:3" x14ac:dyDescent="0.25">
      <c r="A3608" s="211">
        <f t="shared" si="56"/>
        <v>8703206</v>
      </c>
      <c r="B3608" s="213" t="s">
        <v>6181</v>
      </c>
      <c r="C3608" s="213" t="s">
        <v>6182</v>
      </c>
    </row>
    <row r="3609" spans="1:3" x14ac:dyDescent="0.25">
      <c r="A3609" s="211">
        <f t="shared" si="56"/>
        <v>8703207</v>
      </c>
      <c r="B3609" s="213" t="s">
        <v>6183</v>
      </c>
      <c r="C3609" s="213" t="s">
        <v>6184</v>
      </c>
    </row>
    <row r="3610" spans="1:3" x14ac:dyDescent="0.25">
      <c r="A3610" s="211">
        <f t="shared" si="56"/>
        <v>8703208</v>
      </c>
      <c r="B3610" s="213" t="s">
        <v>6185</v>
      </c>
      <c r="C3610" s="213" t="s">
        <v>6186</v>
      </c>
    </row>
    <row r="3611" spans="1:3" x14ac:dyDescent="0.25">
      <c r="A3611" s="211">
        <f t="shared" si="56"/>
        <v>8703237</v>
      </c>
      <c r="B3611" s="213" t="s">
        <v>6187</v>
      </c>
      <c r="C3611" s="213" t="s">
        <v>6188</v>
      </c>
    </row>
    <row r="3612" spans="1:3" x14ac:dyDescent="0.25">
      <c r="A3612" s="211">
        <f t="shared" si="56"/>
        <v>8703238</v>
      </c>
      <c r="B3612" s="213" t="s">
        <v>6189</v>
      </c>
      <c r="C3612" s="213" t="s">
        <v>6190</v>
      </c>
    </row>
    <row r="3613" spans="1:3" x14ac:dyDescent="0.25">
      <c r="A3613" s="211">
        <f t="shared" si="56"/>
        <v>8703239</v>
      </c>
      <c r="B3613" s="213" t="s">
        <v>14129</v>
      </c>
      <c r="C3613" s="213" t="s">
        <v>14130</v>
      </c>
    </row>
    <row r="3614" spans="1:3" x14ac:dyDescent="0.25">
      <c r="A3614" s="211">
        <f t="shared" si="56"/>
        <v>8703240</v>
      </c>
      <c r="B3614" s="213" t="s">
        <v>6191</v>
      </c>
      <c r="C3614" s="213" t="s">
        <v>6192</v>
      </c>
    </row>
    <row r="3615" spans="1:3" x14ac:dyDescent="0.25">
      <c r="A3615" s="211">
        <f t="shared" si="56"/>
        <v>8703241</v>
      </c>
      <c r="B3615" s="213" t="s">
        <v>6193</v>
      </c>
      <c r="C3615" s="213" t="s">
        <v>6194</v>
      </c>
    </row>
    <row r="3616" spans="1:3" x14ac:dyDescent="0.25">
      <c r="A3616" s="211">
        <f t="shared" si="56"/>
        <v>8703244</v>
      </c>
      <c r="B3616" s="213" t="s">
        <v>6195</v>
      </c>
      <c r="C3616" s="213" t="s">
        <v>6196</v>
      </c>
    </row>
    <row r="3617" spans="1:3" x14ac:dyDescent="0.25">
      <c r="A3617" s="211">
        <f t="shared" si="56"/>
        <v>8703245</v>
      </c>
      <c r="B3617" s="213" t="s">
        <v>6197</v>
      </c>
      <c r="C3617" s="213" t="s">
        <v>6198</v>
      </c>
    </row>
    <row r="3618" spans="1:3" x14ac:dyDescent="0.25">
      <c r="A3618" s="211">
        <f t="shared" si="56"/>
        <v>8703247</v>
      </c>
      <c r="B3618" s="213" t="s">
        <v>6199</v>
      </c>
      <c r="C3618" s="213" t="s">
        <v>6200</v>
      </c>
    </row>
    <row r="3619" spans="1:3" x14ac:dyDescent="0.25">
      <c r="A3619" s="211">
        <f t="shared" si="56"/>
        <v>8703249</v>
      </c>
      <c r="B3619" s="213" t="s">
        <v>6201</v>
      </c>
      <c r="C3619" s="213" t="s">
        <v>6202</v>
      </c>
    </row>
    <row r="3620" spans="1:3" x14ac:dyDescent="0.25">
      <c r="A3620" s="211">
        <f t="shared" si="56"/>
        <v>8703250</v>
      </c>
      <c r="B3620" s="213" t="s">
        <v>6203</v>
      </c>
      <c r="C3620" s="213" t="s">
        <v>6204</v>
      </c>
    </row>
    <row r="3621" spans="1:3" x14ac:dyDescent="0.25">
      <c r="A3621" s="211">
        <f t="shared" si="56"/>
        <v>8703251</v>
      </c>
      <c r="B3621" s="213" t="s">
        <v>6205</v>
      </c>
      <c r="C3621" s="213" t="s">
        <v>6206</v>
      </c>
    </row>
    <row r="3622" spans="1:3" x14ac:dyDescent="0.25">
      <c r="A3622" s="211">
        <f t="shared" si="56"/>
        <v>8703252</v>
      </c>
      <c r="B3622" s="213" t="s">
        <v>6207</v>
      </c>
      <c r="C3622" s="213" t="s">
        <v>6208</v>
      </c>
    </row>
    <row r="3623" spans="1:3" x14ac:dyDescent="0.25">
      <c r="A3623" s="211">
        <f t="shared" si="56"/>
        <v>8703257</v>
      </c>
      <c r="B3623" s="213" t="s">
        <v>13603</v>
      </c>
      <c r="C3623" s="213" t="s">
        <v>13604</v>
      </c>
    </row>
    <row r="3624" spans="1:3" x14ac:dyDescent="0.25">
      <c r="A3624" s="211">
        <f t="shared" si="56"/>
        <v>8703291</v>
      </c>
      <c r="B3624" s="213" t="s">
        <v>6209</v>
      </c>
      <c r="C3624" s="213" t="s">
        <v>6210</v>
      </c>
    </row>
    <row r="3625" spans="1:3" x14ac:dyDescent="0.25">
      <c r="A3625" s="211">
        <f t="shared" si="56"/>
        <v>8703300</v>
      </c>
      <c r="B3625" s="213" t="s">
        <v>6211</v>
      </c>
      <c r="C3625" s="213" t="s">
        <v>6212</v>
      </c>
    </row>
    <row r="3626" spans="1:3" x14ac:dyDescent="0.25">
      <c r="A3626" s="211">
        <f t="shared" si="56"/>
        <v>8703325</v>
      </c>
      <c r="B3626" s="213" t="s">
        <v>13605</v>
      </c>
      <c r="C3626" s="213" t="s">
        <v>13606</v>
      </c>
    </row>
    <row r="3627" spans="1:3" x14ac:dyDescent="0.25">
      <c r="A3627" s="211">
        <f t="shared" si="56"/>
        <v>8703338</v>
      </c>
      <c r="B3627" s="213" t="s">
        <v>7684</v>
      </c>
      <c r="C3627" s="213" t="s">
        <v>7685</v>
      </c>
    </row>
    <row r="3628" spans="1:3" x14ac:dyDescent="0.25">
      <c r="A3628" s="211">
        <f t="shared" si="56"/>
        <v>8703349</v>
      </c>
      <c r="B3628" s="213" t="s">
        <v>6213</v>
      </c>
      <c r="C3628" s="213" t="s">
        <v>6214</v>
      </c>
    </row>
    <row r="3629" spans="1:3" x14ac:dyDescent="0.25">
      <c r="A3629" s="211" t="str">
        <f t="shared" si="56"/>
        <v/>
      </c>
      <c r="B3629" s="213" t="s">
        <v>13841</v>
      </c>
      <c r="C3629" s="212"/>
    </row>
    <row r="3630" spans="1:3" x14ac:dyDescent="0.25">
      <c r="A3630" s="211">
        <f t="shared" si="56"/>
        <v>8703350</v>
      </c>
      <c r="B3630" s="213" t="s">
        <v>6215</v>
      </c>
      <c r="C3630" s="213" t="s">
        <v>13607</v>
      </c>
    </row>
    <row r="3631" spans="1:3" x14ac:dyDescent="0.25">
      <c r="A3631" s="211">
        <f t="shared" si="56"/>
        <v>8703351</v>
      </c>
      <c r="B3631" s="213" t="s">
        <v>6216</v>
      </c>
      <c r="C3631" s="213" t="s">
        <v>6217</v>
      </c>
    </row>
    <row r="3632" spans="1:3" x14ac:dyDescent="0.25">
      <c r="A3632" s="211">
        <f t="shared" si="56"/>
        <v>8703352</v>
      </c>
      <c r="B3632" s="213" t="s">
        <v>6218</v>
      </c>
      <c r="C3632" s="213" t="s">
        <v>13608</v>
      </c>
    </row>
    <row r="3633" spans="1:3" x14ac:dyDescent="0.25">
      <c r="A3633" s="211">
        <f t="shared" si="56"/>
        <v>8703376</v>
      </c>
      <c r="B3633" s="213" t="s">
        <v>6219</v>
      </c>
      <c r="C3633" s="213" t="s">
        <v>6220</v>
      </c>
    </row>
    <row r="3634" spans="1:3" x14ac:dyDescent="0.25">
      <c r="A3634" s="211">
        <f t="shared" si="56"/>
        <v>8703391</v>
      </c>
      <c r="B3634" s="213" t="s">
        <v>6221</v>
      </c>
      <c r="C3634" s="213" t="s">
        <v>6222</v>
      </c>
    </row>
    <row r="3635" spans="1:3" x14ac:dyDescent="0.25">
      <c r="A3635" s="211">
        <f t="shared" si="56"/>
        <v>8703400</v>
      </c>
      <c r="B3635" s="213" t="s">
        <v>6223</v>
      </c>
      <c r="C3635" s="213" t="s">
        <v>6224</v>
      </c>
    </row>
    <row r="3636" spans="1:3" x14ac:dyDescent="0.25">
      <c r="A3636" s="211">
        <f t="shared" si="56"/>
        <v>8703405</v>
      </c>
      <c r="B3636" s="213" t="s">
        <v>6225</v>
      </c>
      <c r="C3636" s="213" t="s">
        <v>6226</v>
      </c>
    </row>
    <row r="3637" spans="1:3" x14ac:dyDescent="0.25">
      <c r="A3637" s="211">
        <f t="shared" si="56"/>
        <v>8703500</v>
      </c>
      <c r="B3637" s="213" t="s">
        <v>6227</v>
      </c>
      <c r="C3637" s="213" t="s">
        <v>6228</v>
      </c>
    </row>
    <row r="3638" spans="1:3" x14ac:dyDescent="0.25">
      <c r="A3638" s="211">
        <f t="shared" si="56"/>
        <v>8703501</v>
      </c>
      <c r="B3638" s="213" t="s">
        <v>6229</v>
      </c>
      <c r="C3638" s="213" t="s">
        <v>6230</v>
      </c>
    </row>
    <row r="3639" spans="1:3" x14ac:dyDescent="0.25">
      <c r="A3639" s="211">
        <f t="shared" si="56"/>
        <v>8703502</v>
      </c>
      <c r="B3639" s="213" t="s">
        <v>6231</v>
      </c>
      <c r="C3639" s="213" t="s">
        <v>13609</v>
      </c>
    </row>
    <row r="3640" spans="1:3" x14ac:dyDescent="0.25">
      <c r="A3640" s="211">
        <f t="shared" si="56"/>
        <v>8703503</v>
      </c>
      <c r="B3640" s="213" t="s">
        <v>6232</v>
      </c>
      <c r="C3640" s="213" t="s">
        <v>6233</v>
      </c>
    </row>
    <row r="3641" spans="1:3" x14ac:dyDescent="0.25">
      <c r="A3641" s="211">
        <f t="shared" si="56"/>
        <v>8703504</v>
      </c>
      <c r="B3641" s="213" t="s">
        <v>6234</v>
      </c>
      <c r="C3641" s="213" t="s">
        <v>6235</v>
      </c>
    </row>
    <row r="3642" spans="1:3" x14ac:dyDescent="0.25">
      <c r="A3642" s="211">
        <f t="shared" si="56"/>
        <v>8703505</v>
      </c>
      <c r="B3642" s="213" t="s">
        <v>6236</v>
      </c>
      <c r="C3642" s="213" t="s">
        <v>13610</v>
      </c>
    </row>
    <row r="3643" spans="1:3" x14ac:dyDescent="0.25">
      <c r="A3643" s="211">
        <f t="shared" si="56"/>
        <v>8703506</v>
      </c>
      <c r="B3643" s="213" t="s">
        <v>6237</v>
      </c>
      <c r="C3643" s="213" t="s">
        <v>6238</v>
      </c>
    </row>
    <row r="3644" spans="1:3" x14ac:dyDescent="0.25">
      <c r="A3644" s="211">
        <f t="shared" si="56"/>
        <v>8703507</v>
      </c>
      <c r="B3644" s="213" t="s">
        <v>6239</v>
      </c>
      <c r="C3644" s="213" t="s">
        <v>6240</v>
      </c>
    </row>
    <row r="3645" spans="1:3" x14ac:dyDescent="0.25">
      <c r="A3645" s="211">
        <f t="shared" si="56"/>
        <v>8703508</v>
      </c>
      <c r="B3645" s="213" t="s">
        <v>6241</v>
      </c>
      <c r="C3645" s="213" t="s">
        <v>6242</v>
      </c>
    </row>
    <row r="3646" spans="1:3" x14ac:dyDescent="0.25">
      <c r="A3646" s="211">
        <f t="shared" si="56"/>
        <v>8703509</v>
      </c>
      <c r="B3646" s="213" t="s">
        <v>6243</v>
      </c>
      <c r="C3646" s="213" t="s">
        <v>6244</v>
      </c>
    </row>
    <row r="3647" spans="1:3" x14ac:dyDescent="0.25">
      <c r="A3647" s="211">
        <f t="shared" si="56"/>
        <v>8703510</v>
      </c>
      <c r="B3647" s="213" t="s">
        <v>6245</v>
      </c>
      <c r="C3647" s="213" t="s">
        <v>6246</v>
      </c>
    </row>
    <row r="3648" spans="1:3" x14ac:dyDescent="0.25">
      <c r="A3648" s="211">
        <f t="shared" si="56"/>
        <v>8703513</v>
      </c>
      <c r="B3648" s="213" t="s">
        <v>6247</v>
      </c>
      <c r="C3648" s="213" t="s">
        <v>6248</v>
      </c>
    </row>
    <row r="3649" spans="1:3" x14ac:dyDescent="0.25">
      <c r="A3649" s="211">
        <f t="shared" si="56"/>
        <v>8703517</v>
      </c>
      <c r="B3649" s="213" t="s">
        <v>6249</v>
      </c>
      <c r="C3649" s="213" t="s">
        <v>6250</v>
      </c>
    </row>
    <row r="3650" spans="1:3" x14ac:dyDescent="0.25">
      <c r="A3650" s="211">
        <f t="shared" ref="A3650:A3713" si="57">IFERROR(B3650*1,"")</f>
        <v>8703550</v>
      </c>
      <c r="B3650" s="213" t="s">
        <v>6251</v>
      </c>
      <c r="C3650" s="213" t="s">
        <v>6252</v>
      </c>
    </row>
    <row r="3651" spans="1:3" x14ac:dyDescent="0.25">
      <c r="A3651" s="211">
        <f t="shared" si="57"/>
        <v>8703551</v>
      </c>
      <c r="B3651" s="213" t="s">
        <v>6253</v>
      </c>
      <c r="C3651" s="213" t="s">
        <v>13611</v>
      </c>
    </row>
    <row r="3652" spans="1:3" x14ac:dyDescent="0.25">
      <c r="A3652" s="211">
        <f t="shared" si="57"/>
        <v>8703552</v>
      </c>
      <c r="B3652" s="213" t="s">
        <v>6254</v>
      </c>
      <c r="C3652" s="213" t="s">
        <v>6255</v>
      </c>
    </row>
    <row r="3653" spans="1:3" x14ac:dyDescent="0.25">
      <c r="A3653" s="211">
        <f t="shared" si="57"/>
        <v>8703553</v>
      </c>
      <c r="B3653" s="213" t="s">
        <v>6256</v>
      </c>
      <c r="C3653" s="213" t="s">
        <v>6257</v>
      </c>
    </row>
    <row r="3654" spans="1:3" x14ac:dyDescent="0.25">
      <c r="A3654" s="211">
        <f t="shared" si="57"/>
        <v>8703555</v>
      </c>
      <c r="B3654" s="213" t="s">
        <v>6258</v>
      </c>
      <c r="C3654" s="213" t="s">
        <v>6259</v>
      </c>
    </row>
    <row r="3655" spans="1:3" x14ac:dyDescent="0.25">
      <c r="A3655" s="211">
        <f t="shared" si="57"/>
        <v>8703557</v>
      </c>
      <c r="B3655" s="213" t="s">
        <v>6260</v>
      </c>
      <c r="C3655" s="213" t="s">
        <v>6261</v>
      </c>
    </row>
    <row r="3656" spans="1:3" x14ac:dyDescent="0.25">
      <c r="A3656" s="211">
        <f t="shared" si="57"/>
        <v>8703570</v>
      </c>
      <c r="B3656" s="213" t="s">
        <v>6262</v>
      </c>
      <c r="C3656" s="213" t="s">
        <v>6263</v>
      </c>
    </row>
    <row r="3657" spans="1:3" x14ac:dyDescent="0.25">
      <c r="A3657" s="211">
        <f t="shared" si="57"/>
        <v>8703573</v>
      </c>
      <c r="B3657" s="213" t="s">
        <v>6264</v>
      </c>
      <c r="C3657" s="213" t="s">
        <v>6265</v>
      </c>
    </row>
    <row r="3658" spans="1:3" x14ac:dyDescent="0.25">
      <c r="A3658" s="211">
        <f t="shared" si="57"/>
        <v>8703599</v>
      </c>
      <c r="B3658" s="213" t="s">
        <v>6266</v>
      </c>
      <c r="C3658" s="213" t="s">
        <v>13612</v>
      </c>
    </row>
    <row r="3659" spans="1:3" x14ac:dyDescent="0.25">
      <c r="A3659" s="211">
        <f t="shared" si="57"/>
        <v>8703600</v>
      </c>
      <c r="B3659" s="213" t="s">
        <v>6267</v>
      </c>
      <c r="C3659" s="213" t="s">
        <v>6268</v>
      </c>
    </row>
    <row r="3660" spans="1:3" x14ac:dyDescent="0.25">
      <c r="A3660" s="211">
        <f t="shared" si="57"/>
        <v>8703601</v>
      </c>
      <c r="B3660" s="213" t="s">
        <v>6269</v>
      </c>
      <c r="C3660" s="213" t="s">
        <v>6270</v>
      </c>
    </row>
    <row r="3661" spans="1:3" x14ac:dyDescent="0.25">
      <c r="A3661" s="211">
        <f t="shared" si="57"/>
        <v>8703604</v>
      </c>
      <c r="B3661" s="213" t="s">
        <v>6271</v>
      </c>
      <c r="C3661" s="213" t="s">
        <v>13613</v>
      </c>
    </row>
    <row r="3662" spans="1:3" x14ac:dyDescent="0.25">
      <c r="A3662" s="211">
        <f t="shared" si="57"/>
        <v>8703607</v>
      </c>
      <c r="B3662" s="213" t="s">
        <v>6272</v>
      </c>
      <c r="C3662" s="213" t="s">
        <v>6273</v>
      </c>
    </row>
    <row r="3663" spans="1:3" x14ac:dyDescent="0.25">
      <c r="A3663" s="211">
        <f t="shared" si="57"/>
        <v>8703608</v>
      </c>
      <c r="B3663" s="213" t="s">
        <v>6274</v>
      </c>
      <c r="C3663" s="213" t="s">
        <v>6275</v>
      </c>
    </row>
    <row r="3664" spans="1:3" x14ac:dyDescent="0.25">
      <c r="A3664" s="211">
        <f t="shared" si="57"/>
        <v>8703611</v>
      </c>
      <c r="B3664" s="213" t="s">
        <v>6276</v>
      </c>
      <c r="C3664" s="213" t="s">
        <v>6277</v>
      </c>
    </row>
    <row r="3665" spans="1:3" x14ac:dyDescent="0.25">
      <c r="A3665" s="211">
        <f t="shared" si="57"/>
        <v>8703612</v>
      </c>
      <c r="B3665" s="213" t="s">
        <v>6278</v>
      </c>
      <c r="C3665" s="213" t="s">
        <v>6279</v>
      </c>
    </row>
    <row r="3666" spans="1:3" x14ac:dyDescent="0.25">
      <c r="A3666" s="211">
        <f t="shared" si="57"/>
        <v>8703613</v>
      </c>
      <c r="B3666" s="213" t="s">
        <v>6280</v>
      </c>
      <c r="C3666" s="213" t="s">
        <v>6281</v>
      </c>
    </row>
    <row r="3667" spans="1:3" x14ac:dyDescent="0.25">
      <c r="A3667" s="211">
        <f t="shared" si="57"/>
        <v>8703615</v>
      </c>
      <c r="B3667" s="213" t="s">
        <v>6282</v>
      </c>
      <c r="C3667" s="213" t="s">
        <v>6283</v>
      </c>
    </row>
    <row r="3668" spans="1:3" x14ac:dyDescent="0.25">
      <c r="A3668" s="211">
        <f t="shared" si="57"/>
        <v>8703616</v>
      </c>
      <c r="B3668" s="213" t="s">
        <v>6284</v>
      </c>
      <c r="C3668" s="213" t="s">
        <v>6285</v>
      </c>
    </row>
    <row r="3669" spans="1:3" x14ac:dyDescent="0.25">
      <c r="A3669" s="211">
        <f t="shared" si="57"/>
        <v>8703617</v>
      </c>
      <c r="B3669" s="213" t="s">
        <v>6286</v>
      </c>
      <c r="C3669" s="213" t="s">
        <v>6287</v>
      </c>
    </row>
    <row r="3670" spans="1:3" x14ac:dyDescent="0.25">
      <c r="A3670" s="211">
        <f t="shared" si="57"/>
        <v>8703619</v>
      </c>
      <c r="B3670" s="213" t="s">
        <v>6288</v>
      </c>
      <c r="C3670" s="213" t="s">
        <v>6289</v>
      </c>
    </row>
    <row r="3671" spans="1:3" x14ac:dyDescent="0.25">
      <c r="A3671" s="211">
        <f t="shared" si="57"/>
        <v>8703620</v>
      </c>
      <c r="B3671" s="213" t="s">
        <v>6290</v>
      </c>
      <c r="C3671" s="213" t="s">
        <v>6291</v>
      </c>
    </row>
    <row r="3672" spans="1:3" x14ac:dyDescent="0.25">
      <c r="A3672" s="211">
        <f t="shared" si="57"/>
        <v>8703621</v>
      </c>
      <c r="B3672" s="213" t="s">
        <v>6292</v>
      </c>
      <c r="C3672" s="213" t="s">
        <v>6293</v>
      </c>
    </row>
    <row r="3673" spans="1:3" x14ac:dyDescent="0.25">
      <c r="A3673" s="211">
        <f t="shared" si="57"/>
        <v>8703630</v>
      </c>
      <c r="B3673" s="213" t="s">
        <v>6294</v>
      </c>
      <c r="C3673" s="213" t="s">
        <v>6295</v>
      </c>
    </row>
    <row r="3674" spans="1:3" x14ac:dyDescent="0.25">
      <c r="A3674" s="211">
        <f t="shared" si="57"/>
        <v>8703641</v>
      </c>
      <c r="B3674" s="213" t="s">
        <v>6296</v>
      </c>
      <c r="C3674" s="213" t="s">
        <v>6297</v>
      </c>
    </row>
    <row r="3675" spans="1:3" x14ac:dyDescent="0.25">
      <c r="A3675" s="211">
        <f t="shared" si="57"/>
        <v>8703656</v>
      </c>
      <c r="B3675" s="213" t="s">
        <v>6298</v>
      </c>
      <c r="C3675" s="213" t="s">
        <v>6299</v>
      </c>
    </row>
    <row r="3676" spans="1:3" x14ac:dyDescent="0.25">
      <c r="A3676" s="211">
        <f t="shared" si="57"/>
        <v>8703658</v>
      </c>
      <c r="B3676" s="213" t="s">
        <v>6300</v>
      </c>
      <c r="C3676" s="213" t="s">
        <v>6301</v>
      </c>
    </row>
    <row r="3677" spans="1:3" x14ac:dyDescent="0.25">
      <c r="A3677" s="211">
        <f t="shared" si="57"/>
        <v>8703660</v>
      </c>
      <c r="B3677" s="213" t="s">
        <v>6302</v>
      </c>
      <c r="C3677" s="213" t="s">
        <v>6303</v>
      </c>
    </row>
    <row r="3678" spans="1:3" x14ac:dyDescent="0.25">
      <c r="A3678" s="211">
        <f t="shared" si="57"/>
        <v>8703662</v>
      </c>
      <c r="B3678" s="213" t="s">
        <v>6304</v>
      </c>
      <c r="C3678" s="213" t="s">
        <v>6305</v>
      </c>
    </row>
    <row r="3679" spans="1:3" x14ac:dyDescent="0.25">
      <c r="A3679" s="211">
        <f t="shared" si="57"/>
        <v>8703665</v>
      </c>
      <c r="B3679" s="213" t="s">
        <v>6306</v>
      </c>
      <c r="C3679" s="213" t="s">
        <v>6307</v>
      </c>
    </row>
    <row r="3680" spans="1:3" x14ac:dyDescent="0.25">
      <c r="A3680" s="211">
        <f t="shared" si="57"/>
        <v>8703667</v>
      </c>
      <c r="B3680" s="213" t="s">
        <v>6308</v>
      </c>
      <c r="C3680" s="213" t="s">
        <v>6309</v>
      </c>
    </row>
    <row r="3681" spans="1:3" x14ac:dyDescent="0.25">
      <c r="A3681" s="211">
        <f t="shared" si="57"/>
        <v>8703669</v>
      </c>
      <c r="B3681" s="213" t="s">
        <v>6310</v>
      </c>
      <c r="C3681" s="213" t="s">
        <v>6311</v>
      </c>
    </row>
    <row r="3682" spans="1:3" x14ac:dyDescent="0.25">
      <c r="A3682" s="211">
        <f t="shared" si="57"/>
        <v>8703670</v>
      </c>
      <c r="B3682" s="213" t="s">
        <v>6312</v>
      </c>
      <c r="C3682" s="213" t="s">
        <v>7686</v>
      </c>
    </row>
    <row r="3683" spans="1:3" x14ac:dyDescent="0.25">
      <c r="A3683" s="211">
        <f t="shared" si="57"/>
        <v>8703671</v>
      </c>
      <c r="B3683" s="213" t="s">
        <v>6313</v>
      </c>
      <c r="C3683" s="213" t="s">
        <v>6314</v>
      </c>
    </row>
    <row r="3684" spans="1:3" x14ac:dyDescent="0.25">
      <c r="A3684" s="211">
        <f t="shared" si="57"/>
        <v>8703674</v>
      </c>
      <c r="B3684" s="213" t="s">
        <v>6315</v>
      </c>
      <c r="C3684" s="213" t="s">
        <v>6316</v>
      </c>
    </row>
    <row r="3685" spans="1:3" x14ac:dyDescent="0.25">
      <c r="A3685" s="211">
        <f t="shared" si="57"/>
        <v>8703677</v>
      </c>
      <c r="B3685" s="213" t="s">
        <v>6317</v>
      </c>
      <c r="C3685" s="213" t="s">
        <v>6318</v>
      </c>
    </row>
    <row r="3686" spans="1:3" x14ac:dyDescent="0.25">
      <c r="A3686" s="211">
        <f t="shared" si="57"/>
        <v>8703679</v>
      </c>
      <c r="B3686" s="213" t="s">
        <v>6319</v>
      </c>
      <c r="C3686" s="213" t="s">
        <v>6320</v>
      </c>
    </row>
    <row r="3687" spans="1:3" x14ac:dyDescent="0.25">
      <c r="A3687" s="211">
        <f t="shared" si="57"/>
        <v>8703681</v>
      </c>
      <c r="B3687" s="213" t="s">
        <v>6321</v>
      </c>
      <c r="C3687" s="213" t="s">
        <v>6159</v>
      </c>
    </row>
    <row r="3688" spans="1:3" x14ac:dyDescent="0.25">
      <c r="A3688" s="211">
        <f t="shared" si="57"/>
        <v>8703699</v>
      </c>
      <c r="B3688" s="213" t="s">
        <v>6322</v>
      </c>
      <c r="C3688" s="213" t="s">
        <v>6323</v>
      </c>
    </row>
    <row r="3689" spans="1:3" x14ac:dyDescent="0.25">
      <c r="A3689" s="211">
        <f t="shared" si="57"/>
        <v>8703700</v>
      </c>
      <c r="B3689" s="213" t="s">
        <v>6324</v>
      </c>
      <c r="C3689" s="213" t="s">
        <v>6325</v>
      </c>
    </row>
    <row r="3690" spans="1:3" x14ac:dyDescent="0.25">
      <c r="A3690" s="211">
        <f t="shared" si="57"/>
        <v>8703702</v>
      </c>
      <c r="B3690" s="213" t="s">
        <v>6326</v>
      </c>
      <c r="C3690" s="213" t="s">
        <v>6327</v>
      </c>
    </row>
    <row r="3691" spans="1:3" x14ac:dyDescent="0.25">
      <c r="A3691" s="211">
        <f t="shared" si="57"/>
        <v>8703703</v>
      </c>
      <c r="B3691" s="213" t="s">
        <v>6328</v>
      </c>
      <c r="C3691" s="213" t="s">
        <v>6329</v>
      </c>
    </row>
    <row r="3692" spans="1:3" x14ac:dyDescent="0.25">
      <c r="A3692" s="211">
        <f t="shared" si="57"/>
        <v>8703704</v>
      </c>
      <c r="B3692" s="213" t="s">
        <v>6330</v>
      </c>
      <c r="C3692" s="213" t="s">
        <v>6331</v>
      </c>
    </row>
    <row r="3693" spans="1:3" x14ac:dyDescent="0.25">
      <c r="A3693" s="211">
        <f t="shared" si="57"/>
        <v>8703705</v>
      </c>
      <c r="B3693" s="213" t="s">
        <v>6332</v>
      </c>
      <c r="C3693" s="213" t="s">
        <v>6333</v>
      </c>
    </row>
    <row r="3694" spans="1:3" x14ac:dyDescent="0.25">
      <c r="A3694" s="211">
        <f t="shared" si="57"/>
        <v>8703706</v>
      </c>
      <c r="B3694" s="213" t="s">
        <v>6334</v>
      </c>
      <c r="C3694" s="213" t="s">
        <v>6335</v>
      </c>
    </row>
    <row r="3695" spans="1:3" x14ac:dyDescent="0.25">
      <c r="A3695" s="211">
        <f t="shared" si="57"/>
        <v>8703707</v>
      </c>
      <c r="B3695" s="213" t="s">
        <v>6336</v>
      </c>
      <c r="C3695" s="213" t="s">
        <v>6337</v>
      </c>
    </row>
    <row r="3696" spans="1:3" x14ac:dyDescent="0.25">
      <c r="A3696" s="211">
        <f t="shared" si="57"/>
        <v>8703741</v>
      </c>
      <c r="B3696" s="213" t="s">
        <v>6338</v>
      </c>
      <c r="C3696" s="213" t="s">
        <v>6339</v>
      </c>
    </row>
    <row r="3697" spans="1:3" x14ac:dyDescent="0.25">
      <c r="A3697" s="211">
        <f t="shared" si="57"/>
        <v>8703742</v>
      </c>
      <c r="B3697" s="213" t="s">
        <v>6340</v>
      </c>
      <c r="C3697" s="213" t="s">
        <v>6341</v>
      </c>
    </row>
    <row r="3698" spans="1:3" x14ac:dyDescent="0.25">
      <c r="A3698" s="211">
        <f t="shared" si="57"/>
        <v>8703743</v>
      </c>
      <c r="B3698" s="213" t="s">
        <v>6342</v>
      </c>
      <c r="C3698" s="213" t="s">
        <v>6343</v>
      </c>
    </row>
    <row r="3699" spans="1:3" x14ac:dyDescent="0.25">
      <c r="A3699" s="211">
        <f t="shared" si="57"/>
        <v>8703750</v>
      </c>
      <c r="B3699" s="213" t="s">
        <v>6344</v>
      </c>
      <c r="C3699" s="213" t="s">
        <v>6345</v>
      </c>
    </row>
    <row r="3700" spans="1:3" x14ac:dyDescent="0.25">
      <c r="A3700" s="211">
        <f t="shared" si="57"/>
        <v>8703779</v>
      </c>
      <c r="B3700" s="213" t="s">
        <v>7687</v>
      </c>
      <c r="C3700" s="213" t="s">
        <v>7688</v>
      </c>
    </row>
    <row r="3701" spans="1:3" x14ac:dyDescent="0.25">
      <c r="A3701" s="211">
        <f t="shared" si="57"/>
        <v>8703800</v>
      </c>
      <c r="B3701" s="213" t="s">
        <v>6346</v>
      </c>
      <c r="C3701" s="213" t="s">
        <v>6347</v>
      </c>
    </row>
    <row r="3702" spans="1:3" x14ac:dyDescent="0.25">
      <c r="A3702" s="211">
        <f t="shared" si="57"/>
        <v>8703803</v>
      </c>
      <c r="B3702" s="213" t="s">
        <v>6348</v>
      </c>
      <c r="C3702" s="213" t="s">
        <v>6349</v>
      </c>
    </row>
    <row r="3703" spans="1:3" x14ac:dyDescent="0.25">
      <c r="A3703" s="211">
        <f t="shared" si="57"/>
        <v>8703810</v>
      </c>
      <c r="B3703" s="213" t="s">
        <v>6350</v>
      </c>
      <c r="C3703" s="213" t="s">
        <v>6351</v>
      </c>
    </row>
    <row r="3704" spans="1:3" x14ac:dyDescent="0.25">
      <c r="A3704" s="211">
        <f t="shared" si="57"/>
        <v>8703811</v>
      </c>
      <c r="B3704" s="213" t="s">
        <v>6352</v>
      </c>
      <c r="C3704" s="213" t="s">
        <v>6353</v>
      </c>
    </row>
    <row r="3705" spans="1:3" x14ac:dyDescent="0.25">
      <c r="A3705" s="211">
        <f t="shared" si="57"/>
        <v>8703812</v>
      </c>
      <c r="B3705" s="213" t="s">
        <v>6354</v>
      </c>
      <c r="C3705" s="213" t="s">
        <v>6355</v>
      </c>
    </row>
    <row r="3706" spans="1:3" x14ac:dyDescent="0.25">
      <c r="A3706" s="211">
        <f t="shared" si="57"/>
        <v>8703841</v>
      </c>
      <c r="B3706" s="213" t="s">
        <v>6356</v>
      </c>
      <c r="C3706" s="213" t="s">
        <v>6357</v>
      </c>
    </row>
    <row r="3707" spans="1:3" x14ac:dyDescent="0.25">
      <c r="A3707" s="211">
        <f t="shared" si="57"/>
        <v>8703842</v>
      </c>
      <c r="B3707" s="213" t="s">
        <v>6358</v>
      </c>
      <c r="C3707" s="213" t="s">
        <v>6359</v>
      </c>
    </row>
    <row r="3708" spans="1:3" x14ac:dyDescent="0.25">
      <c r="A3708" s="211">
        <f t="shared" si="57"/>
        <v>8703843</v>
      </c>
      <c r="B3708" s="213" t="s">
        <v>6360</v>
      </c>
      <c r="C3708" s="213" t="s">
        <v>6361</v>
      </c>
    </row>
    <row r="3709" spans="1:3" x14ac:dyDescent="0.25">
      <c r="A3709" s="211">
        <f t="shared" si="57"/>
        <v>8703861</v>
      </c>
      <c r="B3709" s="213" t="s">
        <v>6362</v>
      </c>
      <c r="C3709" s="213" t="s">
        <v>6363</v>
      </c>
    </row>
    <row r="3710" spans="1:3" x14ac:dyDescent="0.25">
      <c r="A3710" s="211">
        <f t="shared" si="57"/>
        <v>8703900</v>
      </c>
      <c r="B3710" s="213" t="s">
        <v>6364</v>
      </c>
      <c r="C3710" s="213" t="s">
        <v>6365</v>
      </c>
    </row>
    <row r="3711" spans="1:3" x14ac:dyDescent="0.25">
      <c r="A3711" s="211">
        <f t="shared" si="57"/>
        <v>8703901</v>
      </c>
      <c r="B3711" s="213" t="s">
        <v>6366</v>
      </c>
      <c r="C3711" s="213" t="s">
        <v>6367</v>
      </c>
    </row>
    <row r="3712" spans="1:3" x14ac:dyDescent="0.25">
      <c r="A3712" s="211">
        <f t="shared" si="57"/>
        <v>8703902</v>
      </c>
      <c r="B3712" s="213" t="s">
        <v>6368</v>
      </c>
      <c r="C3712" s="213" t="s">
        <v>6369</v>
      </c>
    </row>
    <row r="3713" spans="1:3" x14ac:dyDescent="0.25">
      <c r="A3713" s="211">
        <f t="shared" si="57"/>
        <v>8703905</v>
      </c>
      <c r="B3713" s="213" t="s">
        <v>6370</v>
      </c>
      <c r="C3713" s="213" t="s">
        <v>6371</v>
      </c>
    </row>
    <row r="3714" spans="1:3" x14ac:dyDescent="0.25">
      <c r="A3714" s="211">
        <f t="shared" ref="A3714:A3777" si="58">IFERROR(B3714*1,"")</f>
        <v>8703925</v>
      </c>
      <c r="B3714" s="213" t="s">
        <v>6372</v>
      </c>
      <c r="C3714" s="213" t="s">
        <v>6373</v>
      </c>
    </row>
    <row r="3715" spans="1:3" x14ac:dyDescent="0.25">
      <c r="A3715" s="211">
        <f t="shared" si="58"/>
        <v>8703926</v>
      </c>
      <c r="B3715" s="213" t="s">
        <v>6374</v>
      </c>
      <c r="C3715" s="213" t="s">
        <v>6375</v>
      </c>
    </row>
    <row r="3716" spans="1:3" x14ac:dyDescent="0.25">
      <c r="A3716" s="211">
        <f t="shared" si="58"/>
        <v>8703950</v>
      </c>
      <c r="B3716" s="213" t="s">
        <v>6376</v>
      </c>
      <c r="C3716" s="213" t="s">
        <v>6377</v>
      </c>
    </row>
    <row r="3717" spans="1:3" x14ac:dyDescent="0.25">
      <c r="A3717" s="211">
        <f t="shared" si="58"/>
        <v>8703952</v>
      </c>
      <c r="B3717" s="213" t="s">
        <v>6378</v>
      </c>
      <c r="C3717" s="213" t="s">
        <v>6379</v>
      </c>
    </row>
    <row r="3718" spans="1:3" x14ac:dyDescent="0.25">
      <c r="A3718" s="211">
        <f t="shared" si="58"/>
        <v>8703954</v>
      </c>
      <c r="B3718" s="213" t="s">
        <v>6380</v>
      </c>
      <c r="C3718" s="213" t="s">
        <v>6381</v>
      </c>
    </row>
    <row r="3719" spans="1:3" x14ac:dyDescent="0.25">
      <c r="A3719" s="211">
        <f t="shared" si="58"/>
        <v>8703955</v>
      </c>
      <c r="B3719" s="213" t="s">
        <v>6382</v>
      </c>
      <c r="C3719" s="213" t="s">
        <v>6383</v>
      </c>
    </row>
    <row r="3720" spans="1:3" x14ac:dyDescent="0.25">
      <c r="A3720" s="211">
        <f t="shared" si="58"/>
        <v>8703956</v>
      </c>
      <c r="B3720" s="213" t="s">
        <v>6384</v>
      </c>
      <c r="C3720" s="213" t="s">
        <v>6385</v>
      </c>
    </row>
    <row r="3721" spans="1:3" x14ac:dyDescent="0.25">
      <c r="A3721" s="211">
        <f t="shared" si="58"/>
        <v>8703958</v>
      </c>
      <c r="B3721" s="213" t="s">
        <v>6386</v>
      </c>
      <c r="C3721" s="213" t="s">
        <v>6387</v>
      </c>
    </row>
    <row r="3722" spans="1:3" x14ac:dyDescent="0.25">
      <c r="A3722" s="211">
        <f t="shared" si="58"/>
        <v>8703959</v>
      </c>
      <c r="B3722" s="213" t="s">
        <v>6388</v>
      </c>
      <c r="C3722" s="213" t="s">
        <v>6389</v>
      </c>
    </row>
    <row r="3723" spans="1:3" x14ac:dyDescent="0.25">
      <c r="A3723" s="211">
        <f t="shared" si="58"/>
        <v>8703960</v>
      </c>
      <c r="B3723" s="213" t="s">
        <v>6390</v>
      </c>
      <c r="C3723" s="213" t="s">
        <v>6391</v>
      </c>
    </row>
    <row r="3724" spans="1:3" x14ac:dyDescent="0.25">
      <c r="A3724" s="211">
        <f t="shared" si="58"/>
        <v>8703961</v>
      </c>
      <c r="B3724" s="213" t="s">
        <v>6392</v>
      </c>
      <c r="C3724" s="213" t="s">
        <v>6393</v>
      </c>
    </row>
    <row r="3725" spans="1:3" x14ac:dyDescent="0.25">
      <c r="A3725" s="211">
        <f t="shared" si="58"/>
        <v>8703962</v>
      </c>
      <c r="B3725" s="213" t="s">
        <v>6394</v>
      </c>
      <c r="C3725" s="213" t="s">
        <v>6395</v>
      </c>
    </row>
    <row r="3726" spans="1:3" x14ac:dyDescent="0.25">
      <c r="A3726" s="211">
        <f t="shared" si="58"/>
        <v>8703987</v>
      </c>
      <c r="B3726" s="213" t="s">
        <v>6396</v>
      </c>
      <c r="C3726" s="213" t="s">
        <v>6397</v>
      </c>
    </row>
    <row r="3727" spans="1:3" x14ac:dyDescent="0.25">
      <c r="A3727" s="211">
        <f t="shared" si="58"/>
        <v>8705001</v>
      </c>
      <c r="B3727" s="213" t="s">
        <v>6398</v>
      </c>
      <c r="C3727" s="213" t="s">
        <v>6399</v>
      </c>
    </row>
    <row r="3728" spans="1:3" x14ac:dyDescent="0.25">
      <c r="A3728" s="211">
        <f t="shared" si="58"/>
        <v>8705002</v>
      </c>
      <c r="B3728" s="213" t="s">
        <v>6400</v>
      </c>
      <c r="C3728" s="213" t="s">
        <v>6401</v>
      </c>
    </row>
    <row r="3729" spans="1:3" x14ac:dyDescent="0.25">
      <c r="A3729" s="211">
        <f t="shared" si="58"/>
        <v>8705003</v>
      </c>
      <c r="B3729" s="213" t="s">
        <v>6402</v>
      </c>
      <c r="C3729" s="213" t="s">
        <v>6403</v>
      </c>
    </row>
    <row r="3730" spans="1:3" x14ac:dyDescent="0.25">
      <c r="A3730" s="211">
        <f t="shared" si="58"/>
        <v>8705004</v>
      </c>
      <c r="B3730" s="213" t="s">
        <v>6404</v>
      </c>
      <c r="C3730" s="213" t="s">
        <v>6405</v>
      </c>
    </row>
    <row r="3731" spans="1:3" x14ac:dyDescent="0.25">
      <c r="A3731" s="211">
        <f t="shared" si="58"/>
        <v>8705005</v>
      </c>
      <c r="B3731" s="213" t="s">
        <v>6406</v>
      </c>
      <c r="C3731" s="213" t="s">
        <v>6407</v>
      </c>
    </row>
    <row r="3732" spans="1:3" x14ac:dyDescent="0.25">
      <c r="A3732" s="211">
        <f t="shared" si="58"/>
        <v>8705006</v>
      </c>
      <c r="B3732" s="213" t="s">
        <v>6408</v>
      </c>
      <c r="C3732" s="213" t="s">
        <v>6409</v>
      </c>
    </row>
    <row r="3733" spans="1:3" x14ac:dyDescent="0.25">
      <c r="A3733" s="211">
        <f t="shared" si="58"/>
        <v>8705007</v>
      </c>
      <c r="B3733" s="213" t="s">
        <v>6410</v>
      </c>
      <c r="C3733" s="213" t="s">
        <v>6411</v>
      </c>
    </row>
    <row r="3734" spans="1:3" x14ac:dyDescent="0.25">
      <c r="A3734" s="211">
        <f t="shared" si="58"/>
        <v>8705008</v>
      </c>
      <c r="B3734" s="213" t="s">
        <v>6412</v>
      </c>
      <c r="C3734" s="213" t="s">
        <v>6413</v>
      </c>
    </row>
    <row r="3735" spans="1:3" x14ac:dyDescent="0.25">
      <c r="A3735" s="211">
        <f t="shared" si="58"/>
        <v>8705009</v>
      </c>
      <c r="B3735" s="213" t="s">
        <v>6414</v>
      </c>
      <c r="C3735" s="213" t="s">
        <v>6415</v>
      </c>
    </row>
    <row r="3736" spans="1:3" x14ac:dyDescent="0.25">
      <c r="A3736" s="211">
        <f t="shared" si="58"/>
        <v>8705010</v>
      </c>
      <c r="B3736" s="213" t="s">
        <v>6416</v>
      </c>
      <c r="C3736" s="213" t="s">
        <v>6417</v>
      </c>
    </row>
    <row r="3737" spans="1:3" x14ac:dyDescent="0.25">
      <c r="A3737" s="211">
        <f t="shared" si="58"/>
        <v>8705011</v>
      </c>
      <c r="B3737" s="213" t="s">
        <v>6418</v>
      </c>
      <c r="C3737" s="213" t="s">
        <v>6419</v>
      </c>
    </row>
    <row r="3738" spans="1:3" x14ac:dyDescent="0.25">
      <c r="A3738" s="211">
        <f t="shared" si="58"/>
        <v>8705012</v>
      </c>
      <c r="B3738" s="213" t="s">
        <v>6420</v>
      </c>
      <c r="C3738" s="213" t="s">
        <v>6421</v>
      </c>
    </row>
    <row r="3739" spans="1:3" x14ac:dyDescent="0.25">
      <c r="A3739" s="211">
        <f t="shared" si="58"/>
        <v>8705013</v>
      </c>
      <c r="B3739" s="213" t="s">
        <v>6422</v>
      </c>
      <c r="C3739" s="213" t="s">
        <v>7689</v>
      </c>
    </row>
    <row r="3740" spans="1:3" x14ac:dyDescent="0.25">
      <c r="A3740" s="211">
        <f t="shared" si="58"/>
        <v>8705016</v>
      </c>
      <c r="B3740" s="213" t="s">
        <v>6423</v>
      </c>
      <c r="C3740" s="213" t="s">
        <v>6424</v>
      </c>
    </row>
    <row r="3741" spans="1:3" x14ac:dyDescent="0.25">
      <c r="A3741" s="211">
        <f t="shared" si="58"/>
        <v>8705018</v>
      </c>
      <c r="B3741" s="213" t="s">
        <v>6425</v>
      </c>
      <c r="C3741" s="213" t="s">
        <v>6426</v>
      </c>
    </row>
    <row r="3742" spans="1:3" x14ac:dyDescent="0.25">
      <c r="A3742" s="211">
        <f t="shared" si="58"/>
        <v>8705019</v>
      </c>
      <c r="B3742" s="213" t="s">
        <v>6427</v>
      </c>
      <c r="C3742" s="213" t="s">
        <v>6428</v>
      </c>
    </row>
    <row r="3743" spans="1:3" x14ac:dyDescent="0.25">
      <c r="A3743" s="211">
        <f t="shared" si="58"/>
        <v>8705020</v>
      </c>
      <c r="B3743" s="213" t="s">
        <v>6429</v>
      </c>
      <c r="C3743" s="213" t="s">
        <v>6430</v>
      </c>
    </row>
    <row r="3744" spans="1:3" x14ac:dyDescent="0.25">
      <c r="A3744" s="211">
        <f t="shared" si="58"/>
        <v>8705021</v>
      </c>
      <c r="B3744" s="213" t="s">
        <v>6431</v>
      </c>
      <c r="C3744" s="213" t="s">
        <v>6432</v>
      </c>
    </row>
    <row r="3745" spans="1:3" x14ac:dyDescent="0.25">
      <c r="A3745" s="211">
        <f t="shared" si="58"/>
        <v>8705022</v>
      </c>
      <c r="B3745" s="213" t="s">
        <v>6433</v>
      </c>
      <c r="C3745" s="213" t="s">
        <v>6434</v>
      </c>
    </row>
    <row r="3746" spans="1:3" x14ac:dyDescent="0.25">
      <c r="A3746" s="211">
        <f t="shared" si="58"/>
        <v>8705023</v>
      </c>
      <c r="B3746" s="213" t="s">
        <v>6435</v>
      </c>
      <c r="C3746" s="213" t="s">
        <v>6436</v>
      </c>
    </row>
    <row r="3747" spans="1:3" x14ac:dyDescent="0.25">
      <c r="A3747" s="211">
        <f t="shared" si="58"/>
        <v>8705036</v>
      </c>
      <c r="B3747" s="213" t="s">
        <v>6437</v>
      </c>
      <c r="C3747" s="213" t="s">
        <v>6438</v>
      </c>
    </row>
    <row r="3748" spans="1:3" x14ac:dyDescent="0.25">
      <c r="A3748" s="211">
        <f t="shared" si="58"/>
        <v>8705037</v>
      </c>
      <c r="B3748" s="213" t="s">
        <v>6439</v>
      </c>
      <c r="C3748" s="213" t="s">
        <v>13386</v>
      </c>
    </row>
    <row r="3749" spans="1:3" x14ac:dyDescent="0.25">
      <c r="A3749" s="211">
        <f t="shared" si="58"/>
        <v>8705038</v>
      </c>
      <c r="B3749" s="213" t="s">
        <v>6440</v>
      </c>
      <c r="C3749" s="213" t="s">
        <v>6441</v>
      </c>
    </row>
    <row r="3750" spans="1:3" x14ac:dyDescent="0.25">
      <c r="A3750" s="211">
        <f t="shared" si="58"/>
        <v>8705039</v>
      </c>
      <c r="B3750" s="213" t="s">
        <v>6442</v>
      </c>
      <c r="C3750" s="213" t="s">
        <v>6443</v>
      </c>
    </row>
    <row r="3751" spans="1:3" x14ac:dyDescent="0.25">
      <c r="A3751" s="211">
        <f t="shared" si="58"/>
        <v>8705072</v>
      </c>
      <c r="B3751" s="213" t="s">
        <v>6444</v>
      </c>
      <c r="C3751" s="213" t="s">
        <v>6445</v>
      </c>
    </row>
    <row r="3752" spans="1:3" x14ac:dyDescent="0.25">
      <c r="A3752" s="211">
        <f t="shared" si="58"/>
        <v>8705075</v>
      </c>
      <c r="B3752" s="213" t="s">
        <v>6446</v>
      </c>
      <c r="C3752" s="213" t="s">
        <v>6447</v>
      </c>
    </row>
    <row r="3753" spans="1:3" x14ac:dyDescent="0.25">
      <c r="A3753" s="211">
        <f t="shared" si="58"/>
        <v>8705088</v>
      </c>
      <c r="B3753" s="213" t="s">
        <v>14131</v>
      </c>
      <c r="C3753" s="213" t="s">
        <v>14132</v>
      </c>
    </row>
    <row r="3754" spans="1:3" x14ac:dyDescent="0.25">
      <c r="A3754" s="211">
        <f t="shared" si="58"/>
        <v>8705100</v>
      </c>
      <c r="B3754" s="213" t="s">
        <v>6448</v>
      </c>
      <c r="C3754" s="213" t="s">
        <v>13387</v>
      </c>
    </row>
    <row r="3755" spans="1:3" x14ac:dyDescent="0.25">
      <c r="A3755" s="211">
        <f t="shared" si="58"/>
        <v>8705113</v>
      </c>
      <c r="B3755" s="213" t="s">
        <v>6449</v>
      </c>
      <c r="C3755" s="213" t="s">
        <v>6450</v>
      </c>
    </row>
    <row r="3756" spans="1:3" x14ac:dyDescent="0.25">
      <c r="A3756" s="211">
        <f t="shared" si="58"/>
        <v>8705114</v>
      </c>
      <c r="B3756" s="213" t="s">
        <v>14133</v>
      </c>
      <c r="C3756" s="213" t="s">
        <v>14134</v>
      </c>
    </row>
    <row r="3757" spans="1:3" x14ac:dyDescent="0.25">
      <c r="A3757" s="211">
        <f t="shared" si="58"/>
        <v>8705118</v>
      </c>
      <c r="B3757" s="213" t="s">
        <v>6451</v>
      </c>
      <c r="C3757" s="213" t="s">
        <v>6452</v>
      </c>
    </row>
    <row r="3758" spans="1:3" x14ac:dyDescent="0.25">
      <c r="A3758" s="211">
        <f t="shared" si="58"/>
        <v>8705131</v>
      </c>
      <c r="B3758" s="213" t="s">
        <v>6453</v>
      </c>
      <c r="C3758" s="213" t="s">
        <v>6454</v>
      </c>
    </row>
    <row r="3759" spans="1:3" x14ac:dyDescent="0.25">
      <c r="A3759" s="211">
        <f t="shared" si="58"/>
        <v>8705200</v>
      </c>
      <c r="B3759" s="213" t="s">
        <v>6455</v>
      </c>
      <c r="C3759" s="213" t="s">
        <v>6456</v>
      </c>
    </row>
    <row r="3760" spans="1:3" x14ac:dyDescent="0.25">
      <c r="A3760" s="211">
        <f t="shared" si="58"/>
        <v>8705201</v>
      </c>
      <c r="B3760" s="213" t="s">
        <v>6457</v>
      </c>
      <c r="C3760" s="213" t="s">
        <v>6458</v>
      </c>
    </row>
    <row r="3761" spans="1:3" x14ac:dyDescent="0.25">
      <c r="A3761" s="211">
        <f t="shared" si="58"/>
        <v>8705214</v>
      </c>
      <c r="B3761" s="213" t="s">
        <v>6459</v>
      </c>
      <c r="C3761" s="213" t="s">
        <v>6460</v>
      </c>
    </row>
    <row r="3762" spans="1:3" x14ac:dyDescent="0.25">
      <c r="A3762" s="211">
        <f t="shared" si="58"/>
        <v>8705225</v>
      </c>
      <c r="B3762" s="213" t="s">
        <v>6461</v>
      </c>
      <c r="C3762" s="213" t="s">
        <v>6462</v>
      </c>
    </row>
    <row r="3763" spans="1:3" x14ac:dyDescent="0.25">
      <c r="A3763" s="211">
        <f t="shared" si="58"/>
        <v>8705226</v>
      </c>
      <c r="B3763" s="213" t="s">
        <v>6463</v>
      </c>
      <c r="C3763" s="213" t="s">
        <v>6464</v>
      </c>
    </row>
    <row r="3764" spans="1:3" x14ac:dyDescent="0.25">
      <c r="A3764" s="211">
        <f t="shared" si="58"/>
        <v>8705227</v>
      </c>
      <c r="B3764" s="213" t="s">
        <v>6465</v>
      </c>
      <c r="C3764" s="213" t="s">
        <v>6466</v>
      </c>
    </row>
    <row r="3765" spans="1:3" x14ac:dyDescent="0.25">
      <c r="A3765" s="211">
        <f t="shared" si="58"/>
        <v>8705228</v>
      </c>
      <c r="B3765" s="213" t="s">
        <v>6467</v>
      </c>
      <c r="C3765" s="213" t="s">
        <v>6468</v>
      </c>
    </row>
    <row r="3766" spans="1:3" x14ac:dyDescent="0.25">
      <c r="A3766" s="211">
        <f t="shared" si="58"/>
        <v>8705233</v>
      </c>
      <c r="B3766" s="213" t="s">
        <v>6469</v>
      </c>
      <c r="C3766" s="213" t="s">
        <v>6470</v>
      </c>
    </row>
    <row r="3767" spans="1:3" x14ac:dyDescent="0.25">
      <c r="A3767" s="211">
        <f t="shared" si="58"/>
        <v>8705241</v>
      </c>
      <c r="B3767" s="213" t="s">
        <v>6471</v>
      </c>
      <c r="C3767" s="213" t="s">
        <v>6472</v>
      </c>
    </row>
    <row r="3768" spans="1:3" x14ac:dyDescent="0.25">
      <c r="A3768" s="211">
        <f t="shared" si="58"/>
        <v>8705256</v>
      </c>
      <c r="B3768" s="213" t="s">
        <v>6473</v>
      </c>
      <c r="C3768" s="213" t="s">
        <v>6474</v>
      </c>
    </row>
    <row r="3769" spans="1:3" x14ac:dyDescent="0.25">
      <c r="A3769" s="211">
        <f t="shared" si="58"/>
        <v>8705300</v>
      </c>
      <c r="B3769" s="213" t="s">
        <v>6475</v>
      </c>
      <c r="C3769" s="213" t="s">
        <v>6476</v>
      </c>
    </row>
    <row r="3770" spans="1:3" x14ac:dyDescent="0.25">
      <c r="A3770" s="211">
        <f t="shared" si="58"/>
        <v>8705370</v>
      </c>
      <c r="B3770" s="213" t="s">
        <v>6477</v>
      </c>
      <c r="C3770" s="213" t="s">
        <v>6478</v>
      </c>
    </row>
    <row r="3771" spans="1:3" x14ac:dyDescent="0.25">
      <c r="A3771" s="211">
        <f t="shared" si="58"/>
        <v>8705449</v>
      </c>
      <c r="B3771" s="213" t="s">
        <v>6479</v>
      </c>
      <c r="C3771" s="213" t="s">
        <v>13614</v>
      </c>
    </row>
    <row r="3772" spans="1:3" x14ac:dyDescent="0.25">
      <c r="A3772" s="211">
        <f t="shared" si="58"/>
        <v>8705450</v>
      </c>
      <c r="B3772" s="213" t="s">
        <v>6480</v>
      </c>
      <c r="C3772" s="213" t="s">
        <v>6481</v>
      </c>
    </row>
    <row r="3773" spans="1:3" x14ac:dyDescent="0.25">
      <c r="A3773" s="211">
        <f t="shared" si="58"/>
        <v>8705459</v>
      </c>
      <c r="B3773" s="213" t="s">
        <v>6482</v>
      </c>
      <c r="C3773" s="213" t="s">
        <v>6483</v>
      </c>
    </row>
    <row r="3774" spans="1:3" x14ac:dyDescent="0.25">
      <c r="A3774" s="211">
        <f t="shared" si="58"/>
        <v>8705460</v>
      </c>
      <c r="B3774" s="213" t="s">
        <v>6484</v>
      </c>
      <c r="C3774" s="213" t="s">
        <v>6485</v>
      </c>
    </row>
    <row r="3775" spans="1:3" x14ac:dyDescent="0.25">
      <c r="A3775" s="211">
        <f t="shared" si="58"/>
        <v>8705480</v>
      </c>
      <c r="B3775" s="213" t="s">
        <v>6486</v>
      </c>
      <c r="C3775" s="213" t="s">
        <v>13388</v>
      </c>
    </row>
    <row r="3776" spans="1:3" x14ac:dyDescent="0.25">
      <c r="A3776" s="211">
        <f t="shared" si="58"/>
        <v>8705500</v>
      </c>
      <c r="B3776" s="213" t="s">
        <v>6487</v>
      </c>
      <c r="C3776" s="213" t="s">
        <v>6488</v>
      </c>
    </row>
    <row r="3777" spans="1:3" x14ac:dyDescent="0.25">
      <c r="A3777" s="211">
        <f t="shared" si="58"/>
        <v>8705550</v>
      </c>
      <c r="B3777" s="213" t="s">
        <v>6489</v>
      </c>
      <c r="C3777" s="213" t="s">
        <v>6432</v>
      </c>
    </row>
    <row r="3778" spans="1:3" x14ac:dyDescent="0.25">
      <c r="A3778" s="211">
        <f t="shared" ref="A3778:A3841" si="59">IFERROR(B3778*1,"")</f>
        <v>8705551</v>
      </c>
      <c r="B3778" s="213" t="s">
        <v>6490</v>
      </c>
      <c r="C3778" s="213" t="s">
        <v>6491</v>
      </c>
    </row>
    <row r="3779" spans="1:3" x14ac:dyDescent="0.25">
      <c r="A3779" s="211">
        <f t="shared" si="59"/>
        <v>8705552</v>
      </c>
      <c r="B3779" s="213" t="s">
        <v>6492</v>
      </c>
      <c r="C3779" s="213" t="s">
        <v>6493</v>
      </c>
    </row>
    <row r="3780" spans="1:3" x14ac:dyDescent="0.25">
      <c r="A3780" s="211">
        <f t="shared" si="59"/>
        <v>8705553</v>
      </c>
      <c r="B3780" s="213" t="s">
        <v>6494</v>
      </c>
      <c r="C3780" s="213" t="s">
        <v>6495</v>
      </c>
    </row>
    <row r="3781" spans="1:3" x14ac:dyDescent="0.25">
      <c r="A3781" s="211">
        <f t="shared" si="59"/>
        <v>8705554</v>
      </c>
      <c r="B3781" s="213" t="s">
        <v>6496</v>
      </c>
      <c r="C3781" s="213" t="s">
        <v>6497</v>
      </c>
    </row>
    <row r="3782" spans="1:3" x14ac:dyDescent="0.25">
      <c r="A3782" s="211">
        <f t="shared" si="59"/>
        <v>8705555</v>
      </c>
      <c r="B3782" s="213" t="s">
        <v>6498</v>
      </c>
      <c r="C3782" s="213" t="s">
        <v>6499</v>
      </c>
    </row>
    <row r="3783" spans="1:3" x14ac:dyDescent="0.25">
      <c r="A3783" s="211">
        <f t="shared" si="59"/>
        <v>8705556</v>
      </c>
      <c r="B3783" s="213" t="s">
        <v>6500</v>
      </c>
      <c r="C3783" s="213" t="s">
        <v>13615</v>
      </c>
    </row>
    <row r="3784" spans="1:3" x14ac:dyDescent="0.25">
      <c r="A3784" s="211">
        <f t="shared" si="59"/>
        <v>8705557</v>
      </c>
      <c r="B3784" s="213" t="s">
        <v>6501</v>
      </c>
      <c r="C3784" s="213" t="s">
        <v>6502</v>
      </c>
    </row>
    <row r="3785" spans="1:3" x14ac:dyDescent="0.25">
      <c r="A3785" s="211">
        <f t="shared" si="59"/>
        <v>8705568</v>
      </c>
      <c r="B3785" s="213" t="s">
        <v>6503</v>
      </c>
      <c r="C3785" s="213" t="s">
        <v>6504</v>
      </c>
    </row>
    <row r="3786" spans="1:3" x14ac:dyDescent="0.25">
      <c r="A3786" s="211">
        <f t="shared" si="59"/>
        <v>8705586</v>
      </c>
      <c r="B3786" s="213" t="s">
        <v>6505</v>
      </c>
      <c r="C3786" s="213" t="s">
        <v>6506</v>
      </c>
    </row>
    <row r="3787" spans="1:3" x14ac:dyDescent="0.25">
      <c r="A3787" s="211">
        <f t="shared" si="59"/>
        <v>8705651</v>
      </c>
      <c r="B3787" s="213" t="s">
        <v>6507</v>
      </c>
      <c r="C3787" s="213" t="s">
        <v>6508</v>
      </c>
    </row>
    <row r="3788" spans="1:3" x14ac:dyDescent="0.25">
      <c r="A3788" s="211">
        <f t="shared" si="59"/>
        <v>8705661</v>
      </c>
      <c r="B3788" s="213" t="s">
        <v>6509</v>
      </c>
      <c r="C3788" s="213" t="s">
        <v>6510</v>
      </c>
    </row>
    <row r="3789" spans="1:3" x14ac:dyDescent="0.25">
      <c r="A3789" s="211">
        <f t="shared" si="59"/>
        <v>8705665</v>
      </c>
      <c r="B3789" s="213" t="s">
        <v>6511</v>
      </c>
      <c r="C3789" s="213" t="s">
        <v>6512</v>
      </c>
    </row>
    <row r="3790" spans="1:3" x14ac:dyDescent="0.25">
      <c r="A3790" s="211">
        <f t="shared" si="59"/>
        <v>8705668</v>
      </c>
      <c r="B3790" s="213" t="s">
        <v>6513</v>
      </c>
      <c r="C3790" s="213" t="s">
        <v>6514</v>
      </c>
    </row>
    <row r="3791" spans="1:3" x14ac:dyDescent="0.25">
      <c r="A3791" s="211">
        <f t="shared" si="59"/>
        <v>8705683</v>
      </c>
      <c r="B3791" s="213" t="s">
        <v>6515</v>
      </c>
      <c r="C3791" s="213" t="s">
        <v>6516</v>
      </c>
    </row>
    <row r="3792" spans="1:3" x14ac:dyDescent="0.25">
      <c r="A3792" s="211">
        <f t="shared" si="59"/>
        <v>8705700</v>
      </c>
      <c r="B3792" s="213" t="s">
        <v>6517</v>
      </c>
      <c r="C3792" s="213" t="s">
        <v>6518</v>
      </c>
    </row>
    <row r="3793" spans="1:3" x14ac:dyDescent="0.25">
      <c r="A3793" s="211">
        <f t="shared" si="59"/>
        <v>8705749</v>
      </c>
      <c r="B3793" s="213" t="s">
        <v>6519</v>
      </c>
      <c r="C3793" s="213" t="s">
        <v>6520</v>
      </c>
    </row>
    <row r="3794" spans="1:3" x14ac:dyDescent="0.25">
      <c r="A3794" s="211">
        <f t="shared" si="59"/>
        <v>8705750</v>
      </c>
      <c r="B3794" s="213" t="s">
        <v>6521</v>
      </c>
      <c r="C3794" s="213" t="s">
        <v>6522</v>
      </c>
    </row>
    <row r="3795" spans="1:3" x14ac:dyDescent="0.25">
      <c r="A3795" s="211">
        <f t="shared" si="59"/>
        <v>8705802</v>
      </c>
      <c r="B3795" s="213" t="s">
        <v>6523</v>
      </c>
      <c r="C3795" s="213" t="s">
        <v>13616</v>
      </c>
    </row>
    <row r="3796" spans="1:3" x14ac:dyDescent="0.25">
      <c r="A3796" s="211">
        <f t="shared" si="59"/>
        <v>8705861</v>
      </c>
      <c r="B3796" s="213" t="s">
        <v>6524</v>
      </c>
      <c r="C3796" s="213" t="s">
        <v>6525</v>
      </c>
    </row>
    <row r="3797" spans="1:3" x14ac:dyDescent="0.25">
      <c r="A3797" s="211">
        <f t="shared" si="59"/>
        <v>8705905</v>
      </c>
      <c r="B3797" s="213" t="s">
        <v>6526</v>
      </c>
      <c r="C3797" s="213" t="s">
        <v>6527</v>
      </c>
    </row>
    <row r="3798" spans="1:3" x14ac:dyDescent="0.25">
      <c r="A3798" s="211">
        <f t="shared" si="59"/>
        <v>8705910</v>
      </c>
      <c r="B3798" s="213" t="s">
        <v>6528</v>
      </c>
      <c r="C3798" s="213" t="s">
        <v>6529</v>
      </c>
    </row>
    <row r="3799" spans="1:3" x14ac:dyDescent="0.25">
      <c r="A3799" s="211">
        <f t="shared" si="59"/>
        <v>8705913</v>
      </c>
      <c r="B3799" s="213" t="s">
        <v>6530</v>
      </c>
      <c r="C3799" s="213" t="s">
        <v>6531</v>
      </c>
    </row>
    <row r="3800" spans="1:3" x14ac:dyDescent="0.25">
      <c r="A3800" s="211">
        <f t="shared" si="59"/>
        <v>8705914</v>
      </c>
      <c r="B3800" s="213" t="s">
        <v>6532</v>
      </c>
      <c r="C3800" s="213" t="s">
        <v>13617</v>
      </c>
    </row>
    <row r="3801" spans="1:3" x14ac:dyDescent="0.25">
      <c r="A3801" s="211">
        <f t="shared" si="59"/>
        <v>8706002</v>
      </c>
      <c r="B3801" s="213" t="s">
        <v>6533</v>
      </c>
      <c r="C3801" s="213" t="s">
        <v>6534</v>
      </c>
    </row>
    <row r="3802" spans="1:3" x14ac:dyDescent="0.25">
      <c r="A3802" s="211">
        <f t="shared" si="59"/>
        <v>8706012</v>
      </c>
      <c r="B3802" s="213" t="s">
        <v>6535</v>
      </c>
      <c r="C3802" s="213" t="s">
        <v>6536</v>
      </c>
    </row>
    <row r="3803" spans="1:3" x14ac:dyDescent="0.25">
      <c r="A3803" s="211">
        <f t="shared" si="59"/>
        <v>8706500</v>
      </c>
      <c r="B3803" s="213" t="s">
        <v>6537</v>
      </c>
      <c r="C3803" s="213" t="s">
        <v>6538</v>
      </c>
    </row>
    <row r="3804" spans="1:3" x14ac:dyDescent="0.25">
      <c r="A3804" s="211">
        <f t="shared" si="59"/>
        <v>8707000</v>
      </c>
      <c r="B3804" s="213" t="s">
        <v>6539</v>
      </c>
      <c r="C3804" s="213" t="s">
        <v>6540</v>
      </c>
    </row>
    <row r="3805" spans="1:3" x14ac:dyDescent="0.25">
      <c r="A3805" s="211">
        <f t="shared" si="59"/>
        <v>8707002</v>
      </c>
      <c r="B3805" s="213" t="s">
        <v>6541</v>
      </c>
      <c r="C3805" s="213" t="s">
        <v>6542</v>
      </c>
    </row>
    <row r="3806" spans="1:3" x14ac:dyDescent="0.25">
      <c r="A3806" s="211">
        <f t="shared" si="59"/>
        <v>8707003</v>
      </c>
      <c r="B3806" s="213" t="s">
        <v>6543</v>
      </c>
      <c r="C3806" s="213" t="s">
        <v>6544</v>
      </c>
    </row>
    <row r="3807" spans="1:3" x14ac:dyDescent="0.25">
      <c r="A3807" s="211">
        <f t="shared" si="59"/>
        <v>8707020</v>
      </c>
      <c r="B3807" s="213" t="s">
        <v>6545</v>
      </c>
      <c r="C3807" s="213" t="s">
        <v>6546</v>
      </c>
    </row>
    <row r="3808" spans="1:3" x14ac:dyDescent="0.25">
      <c r="A3808" s="211">
        <f t="shared" si="59"/>
        <v>8707021</v>
      </c>
      <c r="B3808" s="213" t="s">
        <v>6547</v>
      </c>
      <c r="C3808" s="213" t="s">
        <v>6548</v>
      </c>
    </row>
    <row r="3809" spans="1:3" x14ac:dyDescent="0.25">
      <c r="A3809" s="211">
        <f t="shared" si="59"/>
        <v>8707023</v>
      </c>
      <c r="B3809" s="213" t="s">
        <v>6549</v>
      </c>
      <c r="C3809" s="213" t="s">
        <v>6550</v>
      </c>
    </row>
    <row r="3810" spans="1:3" x14ac:dyDescent="0.25">
      <c r="A3810" s="211">
        <f t="shared" si="59"/>
        <v>8707024</v>
      </c>
      <c r="B3810" s="213" t="s">
        <v>6551</v>
      </c>
      <c r="C3810" s="213" t="s">
        <v>6552</v>
      </c>
    </row>
    <row r="3811" spans="1:3" x14ac:dyDescent="0.25">
      <c r="A3811" s="211">
        <f t="shared" si="59"/>
        <v>8707025</v>
      </c>
      <c r="B3811" s="213" t="s">
        <v>6553</v>
      </c>
      <c r="C3811" s="213" t="s">
        <v>6554</v>
      </c>
    </row>
    <row r="3812" spans="1:3" x14ac:dyDescent="0.25">
      <c r="A3812" s="211">
        <f t="shared" si="59"/>
        <v>8707026</v>
      </c>
      <c r="B3812" s="213" t="s">
        <v>6555</v>
      </c>
      <c r="C3812" s="213" t="s">
        <v>6556</v>
      </c>
    </row>
    <row r="3813" spans="1:3" x14ac:dyDescent="0.25">
      <c r="A3813" s="211">
        <f t="shared" si="59"/>
        <v>8707058</v>
      </c>
      <c r="B3813" s="213" t="s">
        <v>6557</v>
      </c>
      <c r="C3813" s="213" t="s">
        <v>6558</v>
      </c>
    </row>
    <row r="3814" spans="1:3" x14ac:dyDescent="0.25">
      <c r="A3814" s="211">
        <f t="shared" si="59"/>
        <v>8707113</v>
      </c>
      <c r="B3814" s="213" t="s">
        <v>6559</v>
      </c>
      <c r="C3814" s="213" t="s">
        <v>6560</v>
      </c>
    </row>
    <row r="3815" spans="1:3" x14ac:dyDescent="0.25">
      <c r="A3815" s="211">
        <f t="shared" si="59"/>
        <v>8707117</v>
      </c>
      <c r="B3815" s="213" t="s">
        <v>6561</v>
      </c>
      <c r="C3815" s="213" t="s">
        <v>6562</v>
      </c>
    </row>
    <row r="3816" spans="1:3" x14ac:dyDescent="0.25">
      <c r="A3816" s="211">
        <f t="shared" si="59"/>
        <v>8707206</v>
      </c>
      <c r="B3816" s="213" t="s">
        <v>6563</v>
      </c>
      <c r="C3816" s="213" t="s">
        <v>6564</v>
      </c>
    </row>
    <row r="3817" spans="1:3" x14ac:dyDescent="0.25">
      <c r="A3817" s="211">
        <f t="shared" si="59"/>
        <v>8707381</v>
      </c>
      <c r="B3817" s="213" t="s">
        <v>6565</v>
      </c>
      <c r="C3817" s="213" t="s">
        <v>6566</v>
      </c>
    </row>
    <row r="3818" spans="1:3" x14ac:dyDescent="0.25">
      <c r="A3818" s="211">
        <f t="shared" si="59"/>
        <v>8707500</v>
      </c>
      <c r="B3818" s="213" t="s">
        <v>6567</v>
      </c>
      <c r="C3818" s="213" t="s">
        <v>6568</v>
      </c>
    </row>
    <row r="3819" spans="1:3" x14ac:dyDescent="0.25">
      <c r="A3819" s="211">
        <f t="shared" si="59"/>
        <v>8707509</v>
      </c>
      <c r="B3819" s="213" t="s">
        <v>6569</v>
      </c>
      <c r="C3819" s="213" t="s">
        <v>6570</v>
      </c>
    </row>
    <row r="3820" spans="1:3" x14ac:dyDescent="0.25">
      <c r="A3820" s="211">
        <f t="shared" si="59"/>
        <v>8707550</v>
      </c>
      <c r="B3820" s="213" t="s">
        <v>6571</v>
      </c>
      <c r="C3820" s="213" t="s">
        <v>6572</v>
      </c>
    </row>
    <row r="3821" spans="1:3" x14ac:dyDescent="0.25">
      <c r="A3821" s="211">
        <f t="shared" si="59"/>
        <v>8707552</v>
      </c>
      <c r="B3821" s="213" t="s">
        <v>6573</v>
      </c>
      <c r="C3821" s="213" t="s">
        <v>6574</v>
      </c>
    </row>
    <row r="3822" spans="1:3" x14ac:dyDescent="0.25">
      <c r="A3822" s="211">
        <f t="shared" si="59"/>
        <v>8707553</v>
      </c>
      <c r="B3822" s="213" t="s">
        <v>6575</v>
      </c>
      <c r="C3822" s="213" t="s">
        <v>6576</v>
      </c>
    </row>
    <row r="3823" spans="1:3" x14ac:dyDescent="0.25">
      <c r="A3823" s="211">
        <f t="shared" si="59"/>
        <v>8707554</v>
      </c>
      <c r="B3823" s="213" t="s">
        <v>6577</v>
      </c>
      <c r="C3823" s="213" t="s">
        <v>13618</v>
      </c>
    </row>
    <row r="3824" spans="1:3" x14ac:dyDescent="0.25">
      <c r="A3824" s="211">
        <f t="shared" si="59"/>
        <v>8707555</v>
      </c>
      <c r="B3824" s="213" t="s">
        <v>6578</v>
      </c>
      <c r="C3824" s="213" t="s">
        <v>6579</v>
      </c>
    </row>
    <row r="3825" spans="1:3" x14ac:dyDescent="0.25">
      <c r="A3825" s="211">
        <f t="shared" si="59"/>
        <v>8707556</v>
      </c>
      <c r="B3825" s="213" t="s">
        <v>6580</v>
      </c>
      <c r="C3825" s="213" t="s">
        <v>6581</v>
      </c>
    </row>
    <row r="3826" spans="1:3" x14ac:dyDescent="0.25">
      <c r="A3826" s="211">
        <f t="shared" si="59"/>
        <v>8707657</v>
      </c>
      <c r="B3826" s="213" t="s">
        <v>6582</v>
      </c>
      <c r="C3826" s="213" t="s">
        <v>6583</v>
      </c>
    </row>
    <row r="3827" spans="1:3" x14ac:dyDescent="0.25">
      <c r="A3827" s="211">
        <f t="shared" si="59"/>
        <v>8707658</v>
      </c>
      <c r="B3827" s="213" t="s">
        <v>6584</v>
      </c>
      <c r="C3827" s="213" t="s">
        <v>6585</v>
      </c>
    </row>
    <row r="3828" spans="1:3" x14ac:dyDescent="0.25">
      <c r="A3828" s="211">
        <f t="shared" si="59"/>
        <v>8707701</v>
      </c>
      <c r="B3828" s="213" t="s">
        <v>6586</v>
      </c>
      <c r="C3828" s="213" t="s">
        <v>6587</v>
      </c>
    </row>
    <row r="3829" spans="1:3" x14ac:dyDescent="0.25">
      <c r="A3829" s="211">
        <f t="shared" si="59"/>
        <v>8707702</v>
      </c>
      <c r="B3829" s="213" t="s">
        <v>6588</v>
      </c>
      <c r="C3829" s="213" t="s">
        <v>6589</v>
      </c>
    </row>
    <row r="3830" spans="1:3" x14ac:dyDescent="0.25">
      <c r="A3830" s="211">
        <f t="shared" si="59"/>
        <v>8707721</v>
      </c>
      <c r="B3830" s="213" t="s">
        <v>6590</v>
      </c>
      <c r="C3830" s="213" t="s">
        <v>6591</v>
      </c>
    </row>
    <row r="3831" spans="1:3" x14ac:dyDescent="0.25">
      <c r="A3831" s="211">
        <f t="shared" si="59"/>
        <v>8707750</v>
      </c>
      <c r="B3831" s="213" t="s">
        <v>6592</v>
      </c>
      <c r="C3831" s="213" t="s">
        <v>6593</v>
      </c>
    </row>
    <row r="3832" spans="1:3" x14ac:dyDescent="0.25">
      <c r="A3832" s="211">
        <f t="shared" si="59"/>
        <v>8707964</v>
      </c>
      <c r="B3832" s="213" t="s">
        <v>6594</v>
      </c>
      <c r="C3832" s="213" t="s">
        <v>13389</v>
      </c>
    </row>
    <row r="3833" spans="1:3" x14ac:dyDescent="0.25">
      <c r="A3833" s="211">
        <f t="shared" si="59"/>
        <v>8707965</v>
      </c>
      <c r="B3833" s="213" t="s">
        <v>6595</v>
      </c>
      <c r="C3833" s="213" t="s">
        <v>6596</v>
      </c>
    </row>
    <row r="3834" spans="1:3" x14ac:dyDescent="0.25">
      <c r="A3834" s="211">
        <f t="shared" si="59"/>
        <v>8707966</v>
      </c>
      <c r="B3834" s="213" t="s">
        <v>14135</v>
      </c>
      <c r="C3834" s="213" t="s">
        <v>14136</v>
      </c>
    </row>
    <row r="3835" spans="1:3" x14ac:dyDescent="0.25">
      <c r="A3835" s="211">
        <f t="shared" si="59"/>
        <v>8707980</v>
      </c>
      <c r="B3835" s="213" t="s">
        <v>6597</v>
      </c>
      <c r="C3835" s="213" t="s">
        <v>6598</v>
      </c>
    </row>
    <row r="3836" spans="1:3" x14ac:dyDescent="0.25">
      <c r="A3836" s="211">
        <f t="shared" si="59"/>
        <v>8707981</v>
      </c>
      <c r="B3836" s="213" t="s">
        <v>6599</v>
      </c>
      <c r="C3836" s="213" t="s">
        <v>6600</v>
      </c>
    </row>
    <row r="3837" spans="1:3" x14ac:dyDescent="0.25">
      <c r="A3837" s="211">
        <f t="shared" si="59"/>
        <v>8707982</v>
      </c>
      <c r="B3837" s="213" t="s">
        <v>6601</v>
      </c>
      <c r="C3837" s="213" t="s">
        <v>6602</v>
      </c>
    </row>
    <row r="3838" spans="1:3" x14ac:dyDescent="0.25">
      <c r="A3838" s="211">
        <f t="shared" si="59"/>
        <v>8708001</v>
      </c>
      <c r="B3838" s="213" t="s">
        <v>6603</v>
      </c>
      <c r="C3838" s="213" t="s">
        <v>6604</v>
      </c>
    </row>
    <row r="3839" spans="1:3" x14ac:dyDescent="0.25">
      <c r="A3839" s="211">
        <f t="shared" si="59"/>
        <v>8708002</v>
      </c>
      <c r="B3839" s="213" t="s">
        <v>6605</v>
      </c>
      <c r="C3839" s="213" t="s">
        <v>6606</v>
      </c>
    </row>
    <row r="3840" spans="1:3" x14ac:dyDescent="0.25">
      <c r="A3840" s="211">
        <f t="shared" si="59"/>
        <v>8708003</v>
      </c>
      <c r="B3840" s="213" t="s">
        <v>6607</v>
      </c>
      <c r="C3840" s="213" t="s">
        <v>6608</v>
      </c>
    </row>
    <row r="3841" spans="1:3" x14ac:dyDescent="0.25">
      <c r="A3841" s="211">
        <f t="shared" si="59"/>
        <v>8708004</v>
      </c>
      <c r="B3841" s="213" t="s">
        <v>6609</v>
      </c>
      <c r="C3841" s="213" t="s">
        <v>6610</v>
      </c>
    </row>
    <row r="3842" spans="1:3" x14ac:dyDescent="0.25">
      <c r="A3842" s="211">
        <f t="shared" ref="A3842:A3905" si="60">IFERROR(B3842*1,"")</f>
        <v>8708006</v>
      </c>
      <c r="B3842" s="213" t="s">
        <v>6611</v>
      </c>
      <c r="C3842" s="213" t="s">
        <v>6612</v>
      </c>
    </row>
    <row r="3843" spans="1:3" x14ac:dyDescent="0.25">
      <c r="A3843" s="211">
        <f t="shared" si="60"/>
        <v>8708007</v>
      </c>
      <c r="B3843" s="213" t="s">
        <v>6613</v>
      </c>
      <c r="C3843" s="213" t="s">
        <v>6614</v>
      </c>
    </row>
    <row r="3844" spans="1:3" x14ac:dyDescent="0.25">
      <c r="A3844" s="211">
        <f t="shared" si="60"/>
        <v>8708008</v>
      </c>
      <c r="B3844" s="213" t="s">
        <v>6615</v>
      </c>
      <c r="C3844" s="213" t="s">
        <v>6616</v>
      </c>
    </row>
    <row r="3845" spans="1:3" x14ac:dyDescent="0.25">
      <c r="A3845" s="211">
        <f t="shared" si="60"/>
        <v>8708009</v>
      </c>
      <c r="B3845" s="213" t="s">
        <v>6617</v>
      </c>
      <c r="C3845" s="213" t="s">
        <v>6618</v>
      </c>
    </row>
    <row r="3846" spans="1:3" x14ac:dyDescent="0.25">
      <c r="A3846" s="211">
        <f t="shared" si="60"/>
        <v>8708010</v>
      </c>
      <c r="B3846" s="213" t="s">
        <v>6619</v>
      </c>
      <c r="C3846" s="213" t="s">
        <v>6620</v>
      </c>
    </row>
    <row r="3847" spans="1:3" x14ac:dyDescent="0.25">
      <c r="A3847" s="211">
        <f t="shared" si="60"/>
        <v>8708011</v>
      </c>
      <c r="B3847" s="213" t="s">
        <v>6621</v>
      </c>
      <c r="C3847" s="213" t="s">
        <v>13390</v>
      </c>
    </row>
    <row r="3848" spans="1:3" x14ac:dyDescent="0.25">
      <c r="A3848" s="211">
        <f t="shared" si="60"/>
        <v>87080111</v>
      </c>
      <c r="B3848" s="213" t="s">
        <v>6622</v>
      </c>
      <c r="C3848" s="213" t="s">
        <v>6623</v>
      </c>
    </row>
    <row r="3849" spans="1:3" x14ac:dyDescent="0.25">
      <c r="A3849" s="211">
        <f t="shared" si="60"/>
        <v>8708012</v>
      </c>
      <c r="B3849" s="213" t="s">
        <v>6624</v>
      </c>
      <c r="C3849" s="213" t="s">
        <v>13391</v>
      </c>
    </row>
    <row r="3850" spans="1:3" x14ac:dyDescent="0.25">
      <c r="A3850" s="211">
        <f t="shared" si="60"/>
        <v>8708014</v>
      </c>
      <c r="B3850" s="213" t="s">
        <v>6625</v>
      </c>
      <c r="C3850" s="213" t="s">
        <v>6626</v>
      </c>
    </row>
    <row r="3851" spans="1:3" x14ac:dyDescent="0.25">
      <c r="A3851" s="211">
        <f t="shared" si="60"/>
        <v>8708015</v>
      </c>
      <c r="B3851" s="213" t="s">
        <v>6627</v>
      </c>
      <c r="C3851" s="213" t="s">
        <v>13619</v>
      </c>
    </row>
    <row r="3852" spans="1:3" x14ac:dyDescent="0.25">
      <c r="A3852" s="211">
        <f t="shared" si="60"/>
        <v>8708020</v>
      </c>
      <c r="B3852" s="213" t="s">
        <v>6628</v>
      </c>
      <c r="C3852" s="213" t="s">
        <v>6629</v>
      </c>
    </row>
    <row r="3853" spans="1:3" x14ac:dyDescent="0.25">
      <c r="A3853" s="211">
        <f t="shared" si="60"/>
        <v>8708024</v>
      </c>
      <c r="B3853" s="213" t="s">
        <v>6630</v>
      </c>
      <c r="C3853" s="213" t="s">
        <v>6631</v>
      </c>
    </row>
    <row r="3854" spans="1:3" x14ac:dyDescent="0.25">
      <c r="A3854" s="211">
        <f t="shared" si="60"/>
        <v>8708025</v>
      </c>
      <c r="B3854" s="213" t="s">
        <v>6632</v>
      </c>
      <c r="C3854" s="213" t="s">
        <v>6633</v>
      </c>
    </row>
    <row r="3855" spans="1:3" x14ac:dyDescent="0.25">
      <c r="A3855" s="211">
        <f t="shared" si="60"/>
        <v>8708030</v>
      </c>
      <c r="B3855" s="213" t="s">
        <v>6634</v>
      </c>
      <c r="C3855" s="213" t="s">
        <v>6635</v>
      </c>
    </row>
    <row r="3856" spans="1:3" x14ac:dyDescent="0.25">
      <c r="A3856" s="211">
        <f t="shared" si="60"/>
        <v>8708040</v>
      </c>
      <c r="B3856" s="213" t="s">
        <v>6636</v>
      </c>
      <c r="C3856" s="213" t="s">
        <v>6637</v>
      </c>
    </row>
    <row r="3857" spans="1:3" x14ac:dyDescent="0.25">
      <c r="A3857" s="211">
        <f t="shared" si="60"/>
        <v>8708044</v>
      </c>
      <c r="B3857" s="213" t="s">
        <v>6638</v>
      </c>
      <c r="C3857" s="213" t="s">
        <v>6639</v>
      </c>
    </row>
    <row r="3858" spans="1:3" x14ac:dyDescent="0.25">
      <c r="A3858" s="211">
        <f t="shared" si="60"/>
        <v>8708045</v>
      </c>
      <c r="B3858" s="213" t="s">
        <v>6640</v>
      </c>
      <c r="C3858" s="213" t="s">
        <v>6641</v>
      </c>
    </row>
    <row r="3859" spans="1:3" x14ac:dyDescent="0.25">
      <c r="A3859" s="211">
        <f t="shared" si="60"/>
        <v>8708046</v>
      </c>
      <c r="B3859" s="213" t="s">
        <v>6642</v>
      </c>
      <c r="C3859" s="213" t="s">
        <v>6643</v>
      </c>
    </row>
    <row r="3860" spans="1:3" x14ac:dyDescent="0.25">
      <c r="A3860" s="211">
        <f t="shared" si="60"/>
        <v>8708047</v>
      </c>
      <c r="B3860" s="213" t="s">
        <v>6644</v>
      </c>
      <c r="C3860" s="213" t="s">
        <v>6645</v>
      </c>
    </row>
    <row r="3861" spans="1:3" x14ac:dyDescent="0.25">
      <c r="A3861" s="211">
        <f t="shared" si="60"/>
        <v>8708048</v>
      </c>
      <c r="B3861" s="213" t="s">
        <v>6646</v>
      </c>
      <c r="C3861" s="213" t="s">
        <v>6647</v>
      </c>
    </row>
    <row r="3862" spans="1:3" x14ac:dyDescent="0.25">
      <c r="A3862" s="211">
        <f t="shared" si="60"/>
        <v>8708049</v>
      </c>
      <c r="B3862" s="213" t="s">
        <v>6648</v>
      </c>
      <c r="C3862" s="213" t="s">
        <v>6649</v>
      </c>
    </row>
    <row r="3863" spans="1:3" x14ac:dyDescent="0.25">
      <c r="A3863" s="211">
        <f t="shared" si="60"/>
        <v>8708052</v>
      </c>
      <c r="B3863" s="213" t="s">
        <v>6650</v>
      </c>
      <c r="C3863" s="213" t="s">
        <v>6651</v>
      </c>
    </row>
    <row r="3864" spans="1:3" x14ac:dyDescent="0.25">
      <c r="A3864" s="211">
        <f t="shared" si="60"/>
        <v>8708053</v>
      </c>
      <c r="B3864" s="213" t="s">
        <v>6652</v>
      </c>
      <c r="C3864" s="213" t="s">
        <v>6653</v>
      </c>
    </row>
    <row r="3865" spans="1:3" x14ac:dyDescent="0.25">
      <c r="A3865" s="211">
        <f t="shared" si="60"/>
        <v>8708054</v>
      </c>
      <c r="B3865" s="213" t="s">
        <v>6654</v>
      </c>
      <c r="C3865" s="213" t="s">
        <v>6655</v>
      </c>
    </row>
    <row r="3866" spans="1:3" x14ac:dyDescent="0.25">
      <c r="A3866" s="211">
        <f t="shared" si="60"/>
        <v>8708055</v>
      </c>
      <c r="B3866" s="213" t="s">
        <v>6656</v>
      </c>
      <c r="C3866" s="213" t="s">
        <v>6657</v>
      </c>
    </row>
    <row r="3867" spans="1:3" x14ac:dyDescent="0.25">
      <c r="A3867" s="211">
        <f t="shared" si="60"/>
        <v>8708056</v>
      </c>
      <c r="B3867" s="213" t="s">
        <v>6658</v>
      </c>
      <c r="C3867" s="213" t="s">
        <v>6659</v>
      </c>
    </row>
    <row r="3868" spans="1:3" x14ac:dyDescent="0.25">
      <c r="A3868" s="211">
        <f t="shared" si="60"/>
        <v>8708057</v>
      </c>
      <c r="B3868" s="213" t="s">
        <v>6660</v>
      </c>
      <c r="C3868" s="213" t="s">
        <v>6661</v>
      </c>
    </row>
    <row r="3869" spans="1:3" x14ac:dyDescent="0.25">
      <c r="A3869" s="211">
        <f t="shared" si="60"/>
        <v>8708058</v>
      </c>
      <c r="B3869" s="213" t="s">
        <v>6662</v>
      </c>
      <c r="C3869" s="213" t="s">
        <v>6663</v>
      </c>
    </row>
    <row r="3870" spans="1:3" x14ac:dyDescent="0.25">
      <c r="A3870" s="211">
        <f t="shared" si="60"/>
        <v>8708070</v>
      </c>
      <c r="B3870" s="213" t="s">
        <v>6664</v>
      </c>
      <c r="C3870" s="213" t="s">
        <v>6665</v>
      </c>
    </row>
    <row r="3871" spans="1:3" x14ac:dyDescent="0.25">
      <c r="A3871" s="211">
        <f t="shared" si="60"/>
        <v>8708071</v>
      </c>
      <c r="B3871" s="213" t="s">
        <v>6666</v>
      </c>
      <c r="C3871" s="213" t="s">
        <v>6667</v>
      </c>
    </row>
    <row r="3872" spans="1:3" x14ac:dyDescent="0.25">
      <c r="A3872" s="211">
        <f t="shared" si="60"/>
        <v>8708090</v>
      </c>
      <c r="B3872" s="213" t="s">
        <v>6668</v>
      </c>
      <c r="C3872" s="213" t="s">
        <v>6669</v>
      </c>
    </row>
    <row r="3873" spans="1:3" x14ac:dyDescent="0.25">
      <c r="A3873" s="211">
        <f t="shared" si="60"/>
        <v>8708091</v>
      </c>
      <c r="B3873" s="213" t="s">
        <v>6670</v>
      </c>
      <c r="C3873" s="213" t="s">
        <v>6671</v>
      </c>
    </row>
    <row r="3874" spans="1:3" x14ac:dyDescent="0.25">
      <c r="A3874" s="211">
        <f t="shared" si="60"/>
        <v>8708092</v>
      </c>
      <c r="B3874" s="213" t="s">
        <v>6672</v>
      </c>
      <c r="C3874" s="213" t="s">
        <v>6673</v>
      </c>
    </row>
    <row r="3875" spans="1:3" x14ac:dyDescent="0.25">
      <c r="A3875" s="211">
        <f t="shared" si="60"/>
        <v>8708093</v>
      </c>
      <c r="B3875" s="213" t="s">
        <v>6674</v>
      </c>
      <c r="C3875" s="213" t="s">
        <v>6675</v>
      </c>
    </row>
    <row r="3876" spans="1:3" x14ac:dyDescent="0.25">
      <c r="A3876" s="211">
        <f t="shared" si="60"/>
        <v>8708099</v>
      </c>
      <c r="B3876" s="213" t="s">
        <v>6676</v>
      </c>
      <c r="C3876" s="213" t="s">
        <v>6677</v>
      </c>
    </row>
    <row r="3877" spans="1:3" x14ac:dyDescent="0.25">
      <c r="A3877" s="211">
        <f t="shared" si="60"/>
        <v>8708100</v>
      </c>
      <c r="B3877" s="213" t="s">
        <v>6678</v>
      </c>
      <c r="C3877" s="213" t="s">
        <v>6679</v>
      </c>
    </row>
    <row r="3878" spans="1:3" x14ac:dyDescent="0.25">
      <c r="A3878" s="211">
        <f t="shared" si="60"/>
        <v>8708101</v>
      </c>
      <c r="B3878" s="213" t="s">
        <v>6680</v>
      </c>
      <c r="C3878" s="213" t="s">
        <v>6681</v>
      </c>
    </row>
    <row r="3879" spans="1:3" x14ac:dyDescent="0.25">
      <c r="A3879" s="211">
        <f t="shared" si="60"/>
        <v>8708102</v>
      </c>
      <c r="B3879" s="213" t="s">
        <v>6682</v>
      </c>
      <c r="C3879" s="213" t="s">
        <v>6683</v>
      </c>
    </row>
    <row r="3880" spans="1:3" x14ac:dyDescent="0.25">
      <c r="A3880" s="211">
        <f t="shared" si="60"/>
        <v>8708103</v>
      </c>
      <c r="B3880" s="213" t="s">
        <v>6684</v>
      </c>
      <c r="C3880" s="213" t="s">
        <v>6685</v>
      </c>
    </row>
    <row r="3881" spans="1:3" x14ac:dyDescent="0.25">
      <c r="A3881" s="211">
        <f t="shared" si="60"/>
        <v>8708104</v>
      </c>
      <c r="B3881" s="213" t="s">
        <v>6686</v>
      </c>
      <c r="C3881" s="213" t="s">
        <v>6687</v>
      </c>
    </row>
    <row r="3882" spans="1:3" x14ac:dyDescent="0.25">
      <c r="A3882" s="211">
        <f t="shared" si="60"/>
        <v>8708105</v>
      </c>
      <c r="B3882" s="213" t="s">
        <v>6688</v>
      </c>
      <c r="C3882" s="213" t="s">
        <v>6689</v>
      </c>
    </row>
    <row r="3883" spans="1:3" x14ac:dyDescent="0.25">
      <c r="A3883" s="211">
        <f t="shared" si="60"/>
        <v>8708106</v>
      </c>
      <c r="B3883" s="213" t="s">
        <v>6690</v>
      </c>
      <c r="C3883" s="213" t="s">
        <v>6691</v>
      </c>
    </row>
    <row r="3884" spans="1:3" x14ac:dyDescent="0.25">
      <c r="A3884" s="211">
        <f t="shared" si="60"/>
        <v>8708107</v>
      </c>
      <c r="B3884" s="213" t="s">
        <v>6692</v>
      </c>
      <c r="C3884" s="213" t="s">
        <v>6693</v>
      </c>
    </row>
    <row r="3885" spans="1:3" x14ac:dyDescent="0.25">
      <c r="A3885" s="211">
        <f t="shared" si="60"/>
        <v>8708108</v>
      </c>
      <c r="B3885" s="213" t="s">
        <v>6694</v>
      </c>
      <c r="C3885" s="213" t="s">
        <v>6695</v>
      </c>
    </row>
    <row r="3886" spans="1:3" x14ac:dyDescent="0.25">
      <c r="A3886" s="211">
        <f t="shared" si="60"/>
        <v>8708109</v>
      </c>
      <c r="B3886" s="213" t="s">
        <v>6696</v>
      </c>
      <c r="C3886" s="213" t="s">
        <v>6697</v>
      </c>
    </row>
    <row r="3887" spans="1:3" x14ac:dyDescent="0.25">
      <c r="A3887" s="211">
        <f t="shared" si="60"/>
        <v>8708110</v>
      </c>
      <c r="B3887" s="213" t="s">
        <v>6698</v>
      </c>
      <c r="C3887" s="213" t="s">
        <v>6699</v>
      </c>
    </row>
    <row r="3888" spans="1:3" x14ac:dyDescent="0.25">
      <c r="A3888" s="211">
        <f t="shared" si="60"/>
        <v>8708111</v>
      </c>
      <c r="B3888" s="213" t="s">
        <v>6700</v>
      </c>
      <c r="C3888" s="213" t="s">
        <v>6701</v>
      </c>
    </row>
    <row r="3889" spans="1:3" x14ac:dyDescent="0.25">
      <c r="A3889" s="211">
        <f t="shared" si="60"/>
        <v>8708112</v>
      </c>
      <c r="B3889" s="213" t="s">
        <v>6702</v>
      </c>
      <c r="C3889" s="213" t="s">
        <v>6703</v>
      </c>
    </row>
    <row r="3890" spans="1:3" x14ac:dyDescent="0.25">
      <c r="A3890" s="211">
        <f t="shared" si="60"/>
        <v>8708113</v>
      </c>
      <c r="B3890" s="213" t="s">
        <v>6704</v>
      </c>
      <c r="C3890" s="213" t="s">
        <v>6705</v>
      </c>
    </row>
    <row r="3891" spans="1:3" x14ac:dyDescent="0.25">
      <c r="A3891" s="211">
        <f t="shared" si="60"/>
        <v>8708114</v>
      </c>
      <c r="B3891" s="213" t="s">
        <v>6706</v>
      </c>
      <c r="C3891" s="213" t="s">
        <v>6707</v>
      </c>
    </row>
    <row r="3892" spans="1:3" x14ac:dyDescent="0.25">
      <c r="A3892" s="211">
        <f t="shared" si="60"/>
        <v>8708115</v>
      </c>
      <c r="B3892" s="213" t="s">
        <v>6708</v>
      </c>
      <c r="C3892" s="213" t="s">
        <v>6709</v>
      </c>
    </row>
    <row r="3893" spans="1:3" x14ac:dyDescent="0.25">
      <c r="A3893" s="211">
        <f t="shared" si="60"/>
        <v>8708116</v>
      </c>
      <c r="B3893" s="213" t="s">
        <v>6710</v>
      </c>
      <c r="C3893" s="213" t="s">
        <v>6711</v>
      </c>
    </row>
    <row r="3894" spans="1:3" x14ac:dyDescent="0.25">
      <c r="A3894" s="211">
        <f t="shared" si="60"/>
        <v>8708117</v>
      </c>
      <c r="B3894" s="213" t="s">
        <v>6712</v>
      </c>
      <c r="C3894" s="213" t="s">
        <v>6713</v>
      </c>
    </row>
    <row r="3895" spans="1:3" x14ac:dyDescent="0.25">
      <c r="A3895" s="211">
        <f t="shared" si="60"/>
        <v>8708118</v>
      </c>
      <c r="B3895" s="213" t="s">
        <v>6714</v>
      </c>
      <c r="C3895" s="213" t="s">
        <v>6715</v>
      </c>
    </row>
    <row r="3896" spans="1:3" x14ac:dyDescent="0.25">
      <c r="A3896" s="211">
        <f t="shared" si="60"/>
        <v>8708119</v>
      </c>
      <c r="B3896" s="213" t="s">
        <v>6716</v>
      </c>
      <c r="C3896" s="213" t="s">
        <v>6717</v>
      </c>
    </row>
    <row r="3897" spans="1:3" x14ac:dyDescent="0.25">
      <c r="A3897" s="211">
        <f t="shared" si="60"/>
        <v>8708120</v>
      </c>
      <c r="B3897" s="213" t="s">
        <v>6718</v>
      </c>
      <c r="C3897" s="213" t="s">
        <v>6719</v>
      </c>
    </row>
    <row r="3898" spans="1:3" x14ac:dyDescent="0.25">
      <c r="A3898" s="211">
        <f t="shared" si="60"/>
        <v>8708121</v>
      </c>
      <c r="B3898" s="213" t="s">
        <v>6720</v>
      </c>
      <c r="C3898" s="213" t="s">
        <v>6721</v>
      </c>
    </row>
    <row r="3899" spans="1:3" x14ac:dyDescent="0.25">
      <c r="A3899" s="211">
        <f t="shared" si="60"/>
        <v>8708122</v>
      </c>
      <c r="B3899" s="213" t="s">
        <v>6722</v>
      </c>
      <c r="C3899" s="213" t="s">
        <v>6723</v>
      </c>
    </row>
    <row r="3900" spans="1:3" x14ac:dyDescent="0.25">
      <c r="A3900" s="211">
        <f t="shared" si="60"/>
        <v>8708123</v>
      </c>
      <c r="B3900" s="213" t="s">
        <v>6724</v>
      </c>
      <c r="C3900" s="213" t="s">
        <v>6725</v>
      </c>
    </row>
    <row r="3901" spans="1:3" x14ac:dyDescent="0.25">
      <c r="A3901" s="211">
        <f t="shared" si="60"/>
        <v>8708124</v>
      </c>
      <c r="B3901" s="213" t="s">
        <v>6726</v>
      </c>
      <c r="C3901" s="213" t="s">
        <v>6727</v>
      </c>
    </row>
    <row r="3902" spans="1:3" x14ac:dyDescent="0.25">
      <c r="A3902" s="211">
        <f t="shared" si="60"/>
        <v>8708125</v>
      </c>
      <c r="B3902" s="213" t="s">
        <v>6728</v>
      </c>
      <c r="C3902" s="213" t="s">
        <v>6729</v>
      </c>
    </row>
    <row r="3903" spans="1:3" x14ac:dyDescent="0.25">
      <c r="A3903" s="211">
        <f t="shared" si="60"/>
        <v>8708126</v>
      </c>
      <c r="B3903" s="213" t="s">
        <v>6730</v>
      </c>
      <c r="C3903" s="213" t="s">
        <v>6731</v>
      </c>
    </row>
    <row r="3904" spans="1:3" x14ac:dyDescent="0.25">
      <c r="A3904" s="211">
        <f t="shared" si="60"/>
        <v>8708127</v>
      </c>
      <c r="B3904" s="213" t="s">
        <v>6732</v>
      </c>
      <c r="C3904" s="213" t="s">
        <v>6733</v>
      </c>
    </row>
    <row r="3905" spans="1:3" x14ac:dyDescent="0.25">
      <c r="A3905" s="211">
        <f t="shared" si="60"/>
        <v>8708128</v>
      </c>
      <c r="B3905" s="213" t="s">
        <v>6734</v>
      </c>
      <c r="C3905" s="213" t="s">
        <v>6735</v>
      </c>
    </row>
    <row r="3906" spans="1:3" x14ac:dyDescent="0.25">
      <c r="A3906" s="211">
        <f t="shared" ref="A3906:A3969" si="61">IFERROR(B3906*1,"")</f>
        <v>8708129</v>
      </c>
      <c r="B3906" s="213" t="s">
        <v>6736</v>
      </c>
      <c r="C3906" s="213" t="s">
        <v>6737</v>
      </c>
    </row>
    <row r="3907" spans="1:3" x14ac:dyDescent="0.25">
      <c r="A3907" s="211">
        <f t="shared" si="61"/>
        <v>8708130</v>
      </c>
      <c r="B3907" s="213" t="s">
        <v>6738</v>
      </c>
      <c r="C3907" s="213" t="s">
        <v>6739</v>
      </c>
    </row>
    <row r="3908" spans="1:3" x14ac:dyDescent="0.25">
      <c r="A3908" s="211">
        <f t="shared" si="61"/>
        <v>8708140</v>
      </c>
      <c r="B3908" s="213" t="s">
        <v>14137</v>
      </c>
      <c r="C3908" s="213" t="s">
        <v>14138</v>
      </c>
    </row>
    <row r="3909" spans="1:3" x14ac:dyDescent="0.25">
      <c r="A3909" s="211">
        <f t="shared" si="61"/>
        <v>8708196</v>
      </c>
      <c r="B3909" s="213" t="s">
        <v>6740</v>
      </c>
      <c r="C3909" s="213" t="s">
        <v>6741</v>
      </c>
    </row>
    <row r="3910" spans="1:3" x14ac:dyDescent="0.25">
      <c r="A3910" s="211">
        <f t="shared" si="61"/>
        <v>8708198</v>
      </c>
      <c r="B3910" s="213" t="s">
        <v>6742</v>
      </c>
      <c r="C3910" s="213" t="s">
        <v>6743</v>
      </c>
    </row>
    <row r="3911" spans="1:3" x14ac:dyDescent="0.25">
      <c r="A3911" s="211">
        <f t="shared" si="61"/>
        <v>8708200</v>
      </c>
      <c r="B3911" s="213" t="s">
        <v>6744</v>
      </c>
      <c r="C3911" s="213" t="s">
        <v>6745</v>
      </c>
    </row>
    <row r="3912" spans="1:3" x14ac:dyDescent="0.25">
      <c r="A3912" s="211">
        <f t="shared" si="61"/>
        <v>8708202</v>
      </c>
      <c r="B3912" s="213" t="s">
        <v>6746</v>
      </c>
      <c r="C3912" s="213" t="s">
        <v>6747</v>
      </c>
    </row>
    <row r="3913" spans="1:3" x14ac:dyDescent="0.25">
      <c r="A3913" s="211">
        <f t="shared" si="61"/>
        <v>8708203</v>
      </c>
      <c r="B3913" s="213" t="s">
        <v>6748</v>
      </c>
      <c r="C3913" s="213" t="s">
        <v>6749</v>
      </c>
    </row>
    <row r="3914" spans="1:3" x14ac:dyDescent="0.25">
      <c r="A3914" s="211">
        <f t="shared" si="61"/>
        <v>8708204</v>
      </c>
      <c r="B3914" s="213" t="s">
        <v>6750</v>
      </c>
      <c r="C3914" s="213" t="s">
        <v>6751</v>
      </c>
    </row>
    <row r="3915" spans="1:3" x14ac:dyDescent="0.25">
      <c r="A3915" s="211">
        <f t="shared" si="61"/>
        <v>8708205</v>
      </c>
      <c r="B3915" s="213" t="s">
        <v>6752</v>
      </c>
      <c r="C3915" s="213" t="s">
        <v>6753</v>
      </c>
    </row>
    <row r="3916" spans="1:3" x14ac:dyDescent="0.25">
      <c r="A3916" s="211">
        <f t="shared" si="61"/>
        <v>8708206</v>
      </c>
      <c r="B3916" s="213" t="s">
        <v>6754</v>
      </c>
      <c r="C3916" s="213" t="s">
        <v>6755</v>
      </c>
    </row>
    <row r="3917" spans="1:3" x14ac:dyDescent="0.25">
      <c r="A3917" s="211">
        <f t="shared" si="61"/>
        <v>8708207</v>
      </c>
      <c r="B3917" s="213" t="s">
        <v>6756</v>
      </c>
      <c r="C3917" s="213" t="s">
        <v>6757</v>
      </c>
    </row>
    <row r="3918" spans="1:3" x14ac:dyDescent="0.25">
      <c r="A3918" s="211">
        <f t="shared" si="61"/>
        <v>8708209</v>
      </c>
      <c r="B3918" s="213" t="s">
        <v>6758</v>
      </c>
      <c r="C3918" s="213" t="s">
        <v>6759</v>
      </c>
    </row>
    <row r="3919" spans="1:3" x14ac:dyDescent="0.25">
      <c r="A3919" s="211">
        <f t="shared" si="61"/>
        <v>8708210</v>
      </c>
      <c r="B3919" s="213" t="s">
        <v>6760</v>
      </c>
      <c r="C3919" s="213" t="s">
        <v>6761</v>
      </c>
    </row>
    <row r="3920" spans="1:3" x14ac:dyDescent="0.25">
      <c r="A3920" s="211">
        <f t="shared" si="61"/>
        <v>8708211</v>
      </c>
      <c r="B3920" s="213" t="s">
        <v>6762</v>
      </c>
      <c r="C3920" s="213" t="s">
        <v>6763</v>
      </c>
    </row>
    <row r="3921" spans="1:3" x14ac:dyDescent="0.25">
      <c r="A3921" s="211">
        <f t="shared" si="61"/>
        <v>8708213</v>
      </c>
      <c r="B3921" s="213" t="s">
        <v>6764</v>
      </c>
      <c r="C3921" s="213" t="s">
        <v>6765</v>
      </c>
    </row>
    <row r="3922" spans="1:3" x14ac:dyDescent="0.25">
      <c r="A3922" s="211">
        <f t="shared" si="61"/>
        <v>8708214</v>
      </c>
      <c r="B3922" s="213" t="s">
        <v>6766</v>
      </c>
      <c r="C3922" s="213" t="s">
        <v>6767</v>
      </c>
    </row>
    <row r="3923" spans="1:3" x14ac:dyDescent="0.25">
      <c r="A3923" s="211">
        <f t="shared" si="61"/>
        <v>8708215</v>
      </c>
      <c r="B3923" s="213" t="s">
        <v>6768</v>
      </c>
      <c r="C3923" s="213" t="s">
        <v>6769</v>
      </c>
    </row>
    <row r="3924" spans="1:3" x14ac:dyDescent="0.25">
      <c r="A3924" s="211">
        <f t="shared" si="61"/>
        <v>8708216</v>
      </c>
      <c r="B3924" s="213" t="s">
        <v>6770</v>
      </c>
      <c r="C3924" s="213" t="s">
        <v>6771</v>
      </c>
    </row>
    <row r="3925" spans="1:3" x14ac:dyDescent="0.25">
      <c r="A3925" s="211">
        <f t="shared" si="61"/>
        <v>8708226</v>
      </c>
      <c r="B3925" s="213" t="s">
        <v>6772</v>
      </c>
      <c r="C3925" s="213" t="s">
        <v>6773</v>
      </c>
    </row>
    <row r="3926" spans="1:3" x14ac:dyDescent="0.25">
      <c r="A3926" s="211">
        <f t="shared" si="61"/>
        <v>8708227</v>
      </c>
      <c r="B3926" s="213" t="s">
        <v>6774</v>
      </c>
      <c r="C3926" s="213" t="s">
        <v>6775</v>
      </c>
    </row>
    <row r="3927" spans="1:3" x14ac:dyDescent="0.25">
      <c r="A3927" s="211">
        <f t="shared" si="61"/>
        <v>8708228</v>
      </c>
      <c r="B3927" s="213" t="s">
        <v>6776</v>
      </c>
      <c r="C3927" s="213" t="s">
        <v>14139</v>
      </c>
    </row>
    <row r="3928" spans="1:3" x14ac:dyDescent="0.25">
      <c r="A3928" s="211">
        <f t="shared" si="61"/>
        <v>8708249</v>
      </c>
      <c r="B3928" s="213" t="s">
        <v>6777</v>
      </c>
      <c r="C3928" s="213" t="s">
        <v>6778</v>
      </c>
    </row>
    <row r="3929" spans="1:3" x14ac:dyDescent="0.25">
      <c r="A3929" s="211">
        <f t="shared" si="61"/>
        <v>8708254</v>
      </c>
      <c r="B3929" s="213" t="s">
        <v>6779</v>
      </c>
      <c r="C3929" s="213" t="s">
        <v>6780</v>
      </c>
    </row>
    <row r="3930" spans="1:3" x14ac:dyDescent="0.25">
      <c r="A3930" s="211">
        <f t="shared" si="61"/>
        <v>8708255</v>
      </c>
      <c r="B3930" s="213" t="s">
        <v>6781</v>
      </c>
      <c r="C3930" s="213" t="s">
        <v>6782</v>
      </c>
    </row>
    <row r="3931" spans="1:3" x14ac:dyDescent="0.25">
      <c r="A3931" s="211">
        <f t="shared" si="61"/>
        <v>8708272</v>
      </c>
      <c r="B3931" s="213" t="s">
        <v>6783</v>
      </c>
      <c r="C3931" s="213" t="s">
        <v>6784</v>
      </c>
    </row>
    <row r="3932" spans="1:3" x14ac:dyDescent="0.25">
      <c r="A3932" s="211">
        <f t="shared" si="61"/>
        <v>8708273</v>
      </c>
      <c r="B3932" s="213" t="s">
        <v>6785</v>
      </c>
      <c r="C3932" s="213" t="s">
        <v>6786</v>
      </c>
    </row>
    <row r="3933" spans="1:3" x14ac:dyDescent="0.25">
      <c r="A3933" s="211">
        <f t="shared" si="61"/>
        <v>8708299</v>
      </c>
      <c r="B3933" s="213" t="s">
        <v>13620</v>
      </c>
      <c r="C3933" s="213" t="s">
        <v>13621</v>
      </c>
    </row>
    <row r="3934" spans="1:3" x14ac:dyDescent="0.25">
      <c r="A3934" s="211">
        <f t="shared" si="61"/>
        <v>8708300</v>
      </c>
      <c r="B3934" s="213" t="s">
        <v>6787</v>
      </c>
      <c r="C3934" s="213" t="s">
        <v>6870</v>
      </c>
    </row>
    <row r="3935" spans="1:3" x14ac:dyDescent="0.25">
      <c r="A3935" s="211">
        <f t="shared" si="61"/>
        <v>8708301</v>
      </c>
      <c r="B3935" s="213" t="s">
        <v>6788</v>
      </c>
      <c r="C3935" s="213" t="s">
        <v>6789</v>
      </c>
    </row>
    <row r="3936" spans="1:3" x14ac:dyDescent="0.25">
      <c r="A3936" s="211">
        <f t="shared" si="61"/>
        <v>8708304</v>
      </c>
      <c r="B3936" s="213" t="s">
        <v>13392</v>
      </c>
      <c r="C3936" s="213" t="s">
        <v>13393</v>
      </c>
    </row>
    <row r="3937" spans="1:3" x14ac:dyDescent="0.25">
      <c r="A3937" s="211">
        <f t="shared" si="61"/>
        <v>8708310</v>
      </c>
      <c r="B3937" s="213" t="s">
        <v>13394</v>
      </c>
      <c r="C3937" s="213" t="s">
        <v>13395</v>
      </c>
    </row>
    <row r="3938" spans="1:3" x14ac:dyDescent="0.25">
      <c r="A3938" s="211">
        <f t="shared" si="61"/>
        <v>8708311</v>
      </c>
      <c r="B3938" s="213" t="s">
        <v>6790</v>
      </c>
      <c r="C3938" s="213" t="s">
        <v>6791</v>
      </c>
    </row>
    <row r="3939" spans="1:3" x14ac:dyDescent="0.25">
      <c r="A3939" s="211">
        <f t="shared" si="61"/>
        <v>8708312</v>
      </c>
      <c r="B3939" s="213" t="s">
        <v>6792</v>
      </c>
      <c r="C3939" s="213" t="s">
        <v>6793</v>
      </c>
    </row>
    <row r="3940" spans="1:3" x14ac:dyDescent="0.25">
      <c r="A3940" s="211">
        <f t="shared" si="61"/>
        <v>8708313</v>
      </c>
      <c r="B3940" s="213" t="s">
        <v>6794</v>
      </c>
      <c r="C3940" s="213" t="s">
        <v>6795</v>
      </c>
    </row>
    <row r="3941" spans="1:3" x14ac:dyDescent="0.25">
      <c r="A3941" s="211">
        <f t="shared" si="61"/>
        <v>8708314</v>
      </c>
      <c r="B3941" s="213" t="s">
        <v>6796</v>
      </c>
      <c r="C3941" s="213" t="s">
        <v>6797</v>
      </c>
    </row>
    <row r="3942" spans="1:3" x14ac:dyDescent="0.25">
      <c r="A3942" s="211">
        <f t="shared" si="61"/>
        <v>8708315</v>
      </c>
      <c r="B3942" s="213" t="s">
        <v>6798</v>
      </c>
      <c r="C3942" s="213" t="s">
        <v>6799</v>
      </c>
    </row>
    <row r="3943" spans="1:3" x14ac:dyDescent="0.25">
      <c r="A3943" s="211">
        <f t="shared" si="61"/>
        <v>8708323</v>
      </c>
      <c r="B3943" s="213" t="s">
        <v>13396</v>
      </c>
      <c r="C3943" s="213" t="s">
        <v>13397</v>
      </c>
    </row>
    <row r="3944" spans="1:3" x14ac:dyDescent="0.25">
      <c r="A3944" s="211">
        <f t="shared" si="61"/>
        <v>8708402</v>
      </c>
      <c r="B3944" s="213" t="s">
        <v>6800</v>
      </c>
      <c r="C3944" s="213" t="s">
        <v>6801</v>
      </c>
    </row>
    <row r="3945" spans="1:3" x14ac:dyDescent="0.25">
      <c r="A3945" s="211">
        <f t="shared" si="61"/>
        <v>8708536</v>
      </c>
      <c r="B3945" s="213" t="s">
        <v>13622</v>
      </c>
      <c r="C3945" s="213" t="s">
        <v>13623</v>
      </c>
    </row>
    <row r="3946" spans="1:3" x14ac:dyDescent="0.25">
      <c r="A3946" s="211">
        <f t="shared" si="61"/>
        <v>8708550</v>
      </c>
      <c r="B3946" s="213" t="s">
        <v>6802</v>
      </c>
      <c r="C3946" s="213" t="s">
        <v>6803</v>
      </c>
    </row>
    <row r="3947" spans="1:3" x14ac:dyDescent="0.25">
      <c r="A3947" s="211">
        <f t="shared" si="61"/>
        <v>8708551</v>
      </c>
      <c r="B3947" s="213" t="s">
        <v>6804</v>
      </c>
      <c r="C3947" s="213" t="s">
        <v>6805</v>
      </c>
    </row>
    <row r="3948" spans="1:3" x14ac:dyDescent="0.25">
      <c r="A3948" s="211">
        <f t="shared" si="61"/>
        <v>8708552</v>
      </c>
      <c r="B3948" s="213" t="s">
        <v>6806</v>
      </c>
      <c r="C3948" s="213" t="s">
        <v>6807</v>
      </c>
    </row>
    <row r="3949" spans="1:3" x14ac:dyDescent="0.25">
      <c r="A3949" s="211">
        <f t="shared" si="61"/>
        <v>8708553</v>
      </c>
      <c r="B3949" s="213" t="s">
        <v>13842</v>
      </c>
      <c r="C3949" s="213" t="s">
        <v>13843</v>
      </c>
    </row>
    <row r="3950" spans="1:3" x14ac:dyDescent="0.25">
      <c r="A3950" s="211">
        <f t="shared" si="61"/>
        <v>8708601</v>
      </c>
      <c r="B3950" s="213" t="s">
        <v>6808</v>
      </c>
      <c r="C3950" s="213" t="s">
        <v>6809</v>
      </c>
    </row>
    <row r="3951" spans="1:3" x14ac:dyDescent="0.25">
      <c r="A3951" s="211">
        <f t="shared" si="61"/>
        <v>8708602</v>
      </c>
      <c r="B3951" s="213" t="s">
        <v>6810</v>
      </c>
      <c r="C3951" s="213" t="s">
        <v>6811</v>
      </c>
    </row>
    <row r="3952" spans="1:3" x14ac:dyDescent="0.25">
      <c r="A3952" s="211">
        <f t="shared" si="61"/>
        <v>8708603</v>
      </c>
      <c r="B3952" s="213" t="s">
        <v>6812</v>
      </c>
      <c r="C3952" s="213" t="s">
        <v>6813</v>
      </c>
    </row>
    <row r="3953" spans="1:3" x14ac:dyDescent="0.25">
      <c r="A3953" s="211">
        <f t="shared" si="61"/>
        <v>8708604</v>
      </c>
      <c r="B3953" s="213" t="s">
        <v>6814</v>
      </c>
      <c r="C3953" s="213" t="s">
        <v>13624</v>
      </c>
    </row>
    <row r="3954" spans="1:3" x14ac:dyDescent="0.25">
      <c r="A3954" s="211">
        <f t="shared" si="61"/>
        <v>8708607</v>
      </c>
      <c r="B3954" s="213" t="s">
        <v>6815</v>
      </c>
      <c r="C3954" s="213" t="s">
        <v>6816</v>
      </c>
    </row>
    <row r="3955" spans="1:3" x14ac:dyDescent="0.25">
      <c r="A3955" s="211">
        <f t="shared" si="61"/>
        <v>8708608</v>
      </c>
      <c r="B3955" s="213" t="s">
        <v>6817</v>
      </c>
      <c r="C3955" s="213" t="s">
        <v>6818</v>
      </c>
    </row>
    <row r="3956" spans="1:3" x14ac:dyDescent="0.25">
      <c r="A3956" s="211">
        <f t="shared" si="61"/>
        <v>8708609</v>
      </c>
      <c r="B3956" s="213" t="s">
        <v>6819</v>
      </c>
      <c r="C3956" s="213" t="s">
        <v>6820</v>
      </c>
    </row>
    <row r="3957" spans="1:3" x14ac:dyDescent="0.25">
      <c r="A3957" s="211">
        <f t="shared" si="61"/>
        <v>8708610</v>
      </c>
      <c r="B3957" s="213" t="s">
        <v>6821</v>
      </c>
      <c r="C3957" s="213" t="s">
        <v>6822</v>
      </c>
    </row>
    <row r="3958" spans="1:3" x14ac:dyDescent="0.25">
      <c r="A3958" s="211">
        <f t="shared" si="61"/>
        <v>8708615</v>
      </c>
      <c r="B3958" s="213" t="s">
        <v>6823</v>
      </c>
      <c r="C3958" s="213" t="s">
        <v>6824</v>
      </c>
    </row>
    <row r="3959" spans="1:3" x14ac:dyDescent="0.25">
      <c r="A3959" s="211">
        <f t="shared" si="61"/>
        <v>8708617</v>
      </c>
      <c r="B3959" s="213" t="s">
        <v>6825</v>
      </c>
      <c r="C3959" s="213" t="s">
        <v>6159</v>
      </c>
    </row>
    <row r="3960" spans="1:3" x14ac:dyDescent="0.25">
      <c r="A3960" s="211">
        <f t="shared" si="61"/>
        <v>8708618</v>
      </c>
      <c r="B3960" s="213" t="s">
        <v>6826</v>
      </c>
      <c r="C3960" s="213" t="s">
        <v>6827</v>
      </c>
    </row>
    <row r="3961" spans="1:3" x14ac:dyDescent="0.25">
      <c r="A3961" s="211">
        <f t="shared" si="61"/>
        <v>8708620</v>
      </c>
      <c r="B3961" s="213" t="s">
        <v>6828</v>
      </c>
      <c r="C3961" s="213" t="s">
        <v>6829</v>
      </c>
    </row>
    <row r="3962" spans="1:3" x14ac:dyDescent="0.25">
      <c r="A3962" s="211">
        <f t="shared" si="61"/>
        <v>8708625</v>
      </c>
      <c r="B3962" s="213" t="s">
        <v>6830</v>
      </c>
      <c r="C3962" s="213" t="s">
        <v>6831</v>
      </c>
    </row>
    <row r="3963" spans="1:3" x14ac:dyDescent="0.25">
      <c r="A3963" s="211">
        <f t="shared" si="61"/>
        <v>8708628</v>
      </c>
      <c r="B3963" s="213" t="s">
        <v>6832</v>
      </c>
      <c r="C3963" s="213" t="s">
        <v>6833</v>
      </c>
    </row>
    <row r="3964" spans="1:3" x14ac:dyDescent="0.25">
      <c r="A3964" s="211">
        <f t="shared" si="61"/>
        <v>8708629</v>
      </c>
      <c r="B3964" s="213" t="s">
        <v>6834</v>
      </c>
      <c r="C3964" s="213" t="s">
        <v>6835</v>
      </c>
    </row>
    <row r="3965" spans="1:3" x14ac:dyDescent="0.25">
      <c r="A3965" s="211">
        <f t="shared" si="61"/>
        <v>8708630</v>
      </c>
      <c r="B3965" s="213" t="s">
        <v>6836</v>
      </c>
      <c r="C3965" s="213" t="s">
        <v>6837</v>
      </c>
    </row>
    <row r="3966" spans="1:3" x14ac:dyDescent="0.25">
      <c r="A3966" s="211">
        <f t="shared" si="61"/>
        <v>8708631</v>
      </c>
      <c r="B3966" s="213" t="s">
        <v>6838</v>
      </c>
      <c r="C3966" s="213" t="s">
        <v>6839</v>
      </c>
    </row>
    <row r="3967" spans="1:3" x14ac:dyDescent="0.25">
      <c r="A3967" s="211">
        <f t="shared" si="61"/>
        <v>8708634</v>
      </c>
      <c r="B3967" s="213" t="s">
        <v>6840</v>
      </c>
      <c r="C3967" s="213" t="s">
        <v>6841</v>
      </c>
    </row>
    <row r="3968" spans="1:3" x14ac:dyDescent="0.25">
      <c r="A3968" s="211">
        <f t="shared" si="61"/>
        <v>8708635</v>
      </c>
      <c r="B3968" s="213" t="s">
        <v>6842</v>
      </c>
      <c r="C3968" s="213" t="s">
        <v>6843</v>
      </c>
    </row>
    <row r="3969" spans="1:3" x14ac:dyDescent="0.25">
      <c r="A3969" s="211">
        <f t="shared" si="61"/>
        <v>8708637</v>
      </c>
      <c r="B3969" s="213" t="s">
        <v>6844</v>
      </c>
      <c r="C3969" s="213" t="s">
        <v>6845</v>
      </c>
    </row>
    <row r="3970" spans="1:3" x14ac:dyDescent="0.25">
      <c r="A3970" s="211">
        <f t="shared" ref="A3970:A4033" si="62">IFERROR(B3970*1,"")</f>
        <v>8708638</v>
      </c>
      <c r="B3970" s="213" t="s">
        <v>6846</v>
      </c>
      <c r="C3970" s="213" t="s">
        <v>6847</v>
      </c>
    </row>
    <row r="3971" spans="1:3" x14ac:dyDescent="0.25">
      <c r="A3971" s="211">
        <f t="shared" si="62"/>
        <v>8708639</v>
      </c>
      <c r="B3971" s="213" t="s">
        <v>6848</v>
      </c>
      <c r="C3971" s="213" t="s">
        <v>6849</v>
      </c>
    </row>
    <row r="3972" spans="1:3" x14ac:dyDescent="0.25">
      <c r="A3972" s="211">
        <f t="shared" si="62"/>
        <v>8708640</v>
      </c>
      <c r="B3972" s="213" t="s">
        <v>6850</v>
      </c>
      <c r="C3972" s="213" t="s">
        <v>6851</v>
      </c>
    </row>
    <row r="3973" spans="1:3" x14ac:dyDescent="0.25">
      <c r="A3973" s="211">
        <f t="shared" si="62"/>
        <v>8708643</v>
      </c>
      <c r="B3973" s="213" t="s">
        <v>6852</v>
      </c>
      <c r="C3973" s="213" t="s">
        <v>6853</v>
      </c>
    </row>
    <row r="3974" spans="1:3" x14ac:dyDescent="0.25">
      <c r="A3974" s="211">
        <f t="shared" si="62"/>
        <v>8708644</v>
      </c>
      <c r="B3974" s="213" t="s">
        <v>6854</v>
      </c>
      <c r="C3974" s="213" t="s">
        <v>6855</v>
      </c>
    </row>
    <row r="3975" spans="1:3" x14ac:dyDescent="0.25">
      <c r="A3975" s="211">
        <f t="shared" si="62"/>
        <v>8708657</v>
      </c>
      <c r="B3975" s="213" t="s">
        <v>6856</v>
      </c>
      <c r="C3975" s="213" t="s">
        <v>6857</v>
      </c>
    </row>
    <row r="3976" spans="1:3" x14ac:dyDescent="0.25">
      <c r="A3976" s="211">
        <f t="shared" si="62"/>
        <v>8708774</v>
      </c>
      <c r="B3976" s="213" t="s">
        <v>13398</v>
      </c>
      <c r="C3976" s="213" t="s">
        <v>13399</v>
      </c>
    </row>
    <row r="3977" spans="1:3" x14ac:dyDescent="0.25">
      <c r="A3977" s="211">
        <f t="shared" si="62"/>
        <v>8708815</v>
      </c>
      <c r="B3977" s="213" t="s">
        <v>6858</v>
      </c>
      <c r="C3977" s="213" t="s">
        <v>6859</v>
      </c>
    </row>
    <row r="3978" spans="1:3" x14ac:dyDescent="0.25">
      <c r="A3978" s="211">
        <f t="shared" si="62"/>
        <v>8708888</v>
      </c>
      <c r="B3978" s="213" t="s">
        <v>6860</v>
      </c>
      <c r="C3978" s="213" t="s">
        <v>6861</v>
      </c>
    </row>
    <row r="3979" spans="1:3" x14ac:dyDescent="0.25">
      <c r="A3979" s="211">
        <f t="shared" si="62"/>
        <v>8708899</v>
      </c>
      <c r="B3979" s="213" t="s">
        <v>6862</v>
      </c>
      <c r="C3979" s="213" t="s">
        <v>6863</v>
      </c>
    </row>
    <row r="3980" spans="1:3" x14ac:dyDescent="0.25">
      <c r="A3980" s="211">
        <f t="shared" si="62"/>
        <v>8708900</v>
      </c>
      <c r="B3980" s="213" t="s">
        <v>6864</v>
      </c>
      <c r="C3980" s="213" t="s">
        <v>6865</v>
      </c>
    </row>
    <row r="3981" spans="1:3" x14ac:dyDescent="0.25">
      <c r="A3981" s="211">
        <f t="shared" si="62"/>
        <v>8708901</v>
      </c>
      <c r="B3981" s="213" t="s">
        <v>6866</v>
      </c>
      <c r="C3981" s="213" t="s">
        <v>6867</v>
      </c>
    </row>
    <row r="3982" spans="1:3" x14ac:dyDescent="0.25">
      <c r="A3982" s="211">
        <f t="shared" si="62"/>
        <v>8708907</v>
      </c>
      <c r="B3982" s="213" t="s">
        <v>6868</v>
      </c>
      <c r="C3982" s="213" t="s">
        <v>6869</v>
      </c>
    </row>
    <row r="3983" spans="1:3" x14ac:dyDescent="0.25">
      <c r="A3983" s="211">
        <f t="shared" si="62"/>
        <v>8708996</v>
      </c>
      <c r="B3983" s="213" t="s">
        <v>13625</v>
      </c>
      <c r="C3983" s="213" t="s">
        <v>13626</v>
      </c>
    </row>
    <row r="3984" spans="1:3" x14ac:dyDescent="0.25">
      <c r="A3984" s="211">
        <f t="shared" si="62"/>
        <v>8708997</v>
      </c>
      <c r="B3984" s="213" t="s">
        <v>13627</v>
      </c>
      <c r="C3984" s="213" t="s">
        <v>13628</v>
      </c>
    </row>
    <row r="3985" spans="1:3" x14ac:dyDescent="0.25">
      <c r="A3985" s="211">
        <f t="shared" si="62"/>
        <v>8708998</v>
      </c>
      <c r="B3985" s="213" t="s">
        <v>13629</v>
      </c>
      <c r="C3985" s="213" t="s">
        <v>13630</v>
      </c>
    </row>
    <row r="3986" spans="1:3" x14ac:dyDescent="0.25">
      <c r="A3986" s="211">
        <f t="shared" si="62"/>
        <v>8708999</v>
      </c>
      <c r="B3986" s="213" t="s">
        <v>6871</v>
      </c>
      <c r="C3986" s="213" t="s">
        <v>6872</v>
      </c>
    </row>
    <row r="3987" spans="1:3" x14ac:dyDescent="0.25">
      <c r="A3987" s="211">
        <f t="shared" si="62"/>
        <v>8709697</v>
      </c>
      <c r="B3987" s="213" t="s">
        <v>13631</v>
      </c>
      <c r="C3987" s="213" t="s">
        <v>13632</v>
      </c>
    </row>
    <row r="3988" spans="1:3" x14ac:dyDescent="0.25">
      <c r="A3988" s="211">
        <f t="shared" si="62"/>
        <v>8709698</v>
      </c>
      <c r="B3988" s="213" t="s">
        <v>6873</v>
      </c>
      <c r="C3988" s="213" t="s">
        <v>6874</v>
      </c>
    </row>
    <row r="3989" spans="1:3" x14ac:dyDescent="0.25">
      <c r="A3989" s="211">
        <f t="shared" si="62"/>
        <v>8709699</v>
      </c>
      <c r="B3989" s="213" t="s">
        <v>6875</v>
      </c>
      <c r="C3989" s="213" t="s">
        <v>6876</v>
      </c>
    </row>
    <row r="3990" spans="1:3" x14ac:dyDescent="0.25">
      <c r="A3990" s="211">
        <f t="shared" si="62"/>
        <v>8711047</v>
      </c>
      <c r="B3990" s="213" t="s">
        <v>6877</v>
      </c>
      <c r="C3990" s="213" t="s">
        <v>6878</v>
      </c>
    </row>
    <row r="3991" spans="1:3" x14ac:dyDescent="0.25">
      <c r="A3991" s="211">
        <f t="shared" si="62"/>
        <v>8711048</v>
      </c>
      <c r="B3991" s="213" t="s">
        <v>6879</v>
      </c>
      <c r="C3991" s="213" t="s">
        <v>6880</v>
      </c>
    </row>
    <row r="3992" spans="1:3" x14ac:dyDescent="0.25">
      <c r="A3992" s="211">
        <f t="shared" si="62"/>
        <v>8711049</v>
      </c>
      <c r="B3992" s="213" t="s">
        <v>6881</v>
      </c>
      <c r="C3992" s="213" t="s">
        <v>6882</v>
      </c>
    </row>
    <row r="3993" spans="1:3" x14ac:dyDescent="0.25">
      <c r="A3993" s="211">
        <f t="shared" si="62"/>
        <v>8711105</v>
      </c>
      <c r="B3993" s="213" t="s">
        <v>6883</v>
      </c>
      <c r="C3993" s="213" t="s">
        <v>6884</v>
      </c>
    </row>
    <row r="3994" spans="1:3" x14ac:dyDescent="0.25">
      <c r="A3994" s="211">
        <f t="shared" si="62"/>
        <v>8711700</v>
      </c>
      <c r="B3994" s="213" t="s">
        <v>6885</v>
      </c>
      <c r="C3994" s="213" t="s">
        <v>6886</v>
      </c>
    </row>
    <row r="3995" spans="1:3" x14ac:dyDescent="0.25">
      <c r="A3995" s="211">
        <f t="shared" si="62"/>
        <v>8711701</v>
      </c>
      <c r="B3995" s="213" t="s">
        <v>6887</v>
      </c>
      <c r="C3995" s="213" t="s">
        <v>6888</v>
      </c>
    </row>
    <row r="3996" spans="1:3" x14ac:dyDescent="0.25">
      <c r="A3996" s="211">
        <f t="shared" si="62"/>
        <v>8711702</v>
      </c>
      <c r="B3996" s="213" t="s">
        <v>6889</v>
      </c>
      <c r="C3996" s="213" t="s">
        <v>6890</v>
      </c>
    </row>
    <row r="3997" spans="1:3" x14ac:dyDescent="0.25">
      <c r="A3997" s="211">
        <f t="shared" si="62"/>
        <v>8711704</v>
      </c>
      <c r="B3997" s="213" t="s">
        <v>6891</v>
      </c>
      <c r="C3997" s="213" t="s">
        <v>6892</v>
      </c>
    </row>
    <row r="3998" spans="1:3" x14ac:dyDescent="0.25">
      <c r="A3998" s="211">
        <f t="shared" si="62"/>
        <v>8711706</v>
      </c>
      <c r="B3998" s="213" t="s">
        <v>6893</v>
      </c>
      <c r="C3998" s="213" t="s">
        <v>6894</v>
      </c>
    </row>
    <row r="3999" spans="1:3" x14ac:dyDescent="0.25">
      <c r="A3999" s="211">
        <f t="shared" si="62"/>
        <v>8711707</v>
      </c>
      <c r="B3999" s="213" t="s">
        <v>6895</v>
      </c>
      <c r="C3999" s="213" t="s">
        <v>6896</v>
      </c>
    </row>
    <row r="4000" spans="1:3" x14ac:dyDescent="0.25">
      <c r="A4000" s="211">
        <f t="shared" si="62"/>
        <v>8715004</v>
      </c>
      <c r="B4000" s="213" t="s">
        <v>6897</v>
      </c>
      <c r="C4000" s="213" t="s">
        <v>6898</v>
      </c>
    </row>
    <row r="4001" spans="1:3" x14ac:dyDescent="0.25">
      <c r="A4001" s="211">
        <f t="shared" si="62"/>
        <v>8715803</v>
      </c>
      <c r="B4001" s="213" t="s">
        <v>6899</v>
      </c>
      <c r="C4001" s="213" t="s">
        <v>6900</v>
      </c>
    </row>
    <row r="4002" spans="1:3" x14ac:dyDescent="0.25">
      <c r="A4002" s="211">
        <f t="shared" si="62"/>
        <v>8717033</v>
      </c>
      <c r="B4002" s="213" t="s">
        <v>6901</v>
      </c>
      <c r="C4002" s="213" t="s">
        <v>6902</v>
      </c>
    </row>
    <row r="4003" spans="1:3" x14ac:dyDescent="0.25">
      <c r="A4003" s="211">
        <f t="shared" si="62"/>
        <v>8800000</v>
      </c>
      <c r="B4003" s="213" t="s">
        <v>6903</v>
      </c>
      <c r="C4003" s="213" t="s">
        <v>6904</v>
      </c>
    </row>
    <row r="4004" spans="1:3" x14ac:dyDescent="0.25">
      <c r="A4004" s="211">
        <f t="shared" si="62"/>
        <v>8800001</v>
      </c>
      <c r="B4004" s="213" t="s">
        <v>6905</v>
      </c>
      <c r="C4004" s="213" t="s">
        <v>6906</v>
      </c>
    </row>
    <row r="4005" spans="1:3" x14ac:dyDescent="0.25">
      <c r="A4005" s="211" t="str">
        <f t="shared" si="62"/>
        <v/>
      </c>
      <c r="B4005" s="213" t="s">
        <v>13844</v>
      </c>
      <c r="C4005" s="212"/>
    </row>
    <row r="4006" spans="1:3" x14ac:dyDescent="0.25">
      <c r="A4006" s="211">
        <f t="shared" si="62"/>
        <v>8800002</v>
      </c>
      <c r="B4006" s="213" t="s">
        <v>6907</v>
      </c>
      <c r="C4006" s="213" t="s">
        <v>6908</v>
      </c>
    </row>
    <row r="4007" spans="1:3" x14ac:dyDescent="0.25">
      <c r="A4007" s="211">
        <f t="shared" si="62"/>
        <v>8800003</v>
      </c>
      <c r="B4007" s="213" t="s">
        <v>6909</v>
      </c>
      <c r="C4007" s="213" t="s">
        <v>6910</v>
      </c>
    </row>
    <row r="4008" spans="1:3" x14ac:dyDescent="0.25">
      <c r="A4008" s="211">
        <f t="shared" si="62"/>
        <v>8815007</v>
      </c>
      <c r="B4008" s="213" t="s">
        <v>6911</v>
      </c>
      <c r="C4008" s="213" t="s">
        <v>5502</v>
      </c>
    </row>
    <row r="4009" spans="1:3" x14ac:dyDescent="0.25">
      <c r="A4009" s="211">
        <f t="shared" si="62"/>
        <v>8857004</v>
      </c>
      <c r="B4009" s="213" t="s">
        <v>13400</v>
      </c>
      <c r="C4009" s="213" t="s">
        <v>13401</v>
      </c>
    </row>
    <row r="4010" spans="1:3" x14ac:dyDescent="0.25">
      <c r="A4010" s="211">
        <f t="shared" si="62"/>
        <v>8857005</v>
      </c>
      <c r="B4010" s="213" t="s">
        <v>6912</v>
      </c>
      <c r="C4010" s="213" t="s">
        <v>6913</v>
      </c>
    </row>
    <row r="4011" spans="1:3" x14ac:dyDescent="0.25">
      <c r="A4011" s="211">
        <f t="shared" si="62"/>
        <v>8857829</v>
      </c>
      <c r="B4011" s="213" t="s">
        <v>6914</v>
      </c>
      <c r="C4011" s="213" t="s">
        <v>6915</v>
      </c>
    </row>
    <row r="4012" spans="1:3" x14ac:dyDescent="0.25">
      <c r="A4012" s="211">
        <f t="shared" si="62"/>
        <v>8858005</v>
      </c>
      <c r="B4012" s="213" t="s">
        <v>6916</v>
      </c>
      <c r="C4012" s="213" t="s">
        <v>5502</v>
      </c>
    </row>
    <row r="4013" spans="1:3" x14ac:dyDescent="0.25">
      <c r="A4013" s="211">
        <f t="shared" si="62"/>
        <v>8888001</v>
      </c>
      <c r="B4013" s="213" t="s">
        <v>6917</v>
      </c>
      <c r="C4013" s="213" t="s">
        <v>6918</v>
      </c>
    </row>
    <row r="4014" spans="1:3" x14ac:dyDescent="0.25">
      <c r="A4014" s="211">
        <f t="shared" si="62"/>
        <v>8888002</v>
      </c>
      <c r="B4014" s="213" t="s">
        <v>6919</v>
      </c>
      <c r="C4014" s="213" t="s">
        <v>6920</v>
      </c>
    </row>
    <row r="4015" spans="1:3" x14ac:dyDescent="0.25">
      <c r="A4015" s="211">
        <f t="shared" si="62"/>
        <v>8888003</v>
      </c>
      <c r="B4015" s="213" t="s">
        <v>6921</v>
      </c>
      <c r="C4015" s="213" t="s">
        <v>6922</v>
      </c>
    </row>
    <row r="4016" spans="1:3" x14ac:dyDescent="0.25">
      <c r="A4016" s="211">
        <f t="shared" si="62"/>
        <v>8888004</v>
      </c>
      <c r="B4016" s="213" t="s">
        <v>6923</v>
      </c>
      <c r="C4016" s="213" t="s">
        <v>6924</v>
      </c>
    </row>
    <row r="4017" spans="1:3" x14ac:dyDescent="0.25">
      <c r="A4017" s="211">
        <f t="shared" si="62"/>
        <v>8888005</v>
      </c>
      <c r="B4017" s="213" t="s">
        <v>6925</v>
      </c>
      <c r="C4017" s="213" t="s">
        <v>6926</v>
      </c>
    </row>
    <row r="4018" spans="1:3" x14ac:dyDescent="0.25">
      <c r="A4018" s="211">
        <f t="shared" si="62"/>
        <v>8888006</v>
      </c>
      <c r="B4018" s="213" t="s">
        <v>6927</v>
      </c>
      <c r="C4018" s="213" t="s">
        <v>6928</v>
      </c>
    </row>
    <row r="4019" spans="1:3" x14ac:dyDescent="0.25">
      <c r="A4019" s="211">
        <f t="shared" si="62"/>
        <v>8888007</v>
      </c>
      <c r="B4019" s="213" t="s">
        <v>6929</v>
      </c>
      <c r="C4019" s="213" t="s">
        <v>6930</v>
      </c>
    </row>
    <row r="4020" spans="1:3" x14ac:dyDescent="0.25">
      <c r="A4020" s="211">
        <f t="shared" si="62"/>
        <v>8888008</v>
      </c>
      <c r="B4020" s="213" t="s">
        <v>6931</v>
      </c>
      <c r="C4020" s="213" t="s">
        <v>6932</v>
      </c>
    </row>
    <row r="4021" spans="1:3" x14ac:dyDescent="0.25">
      <c r="A4021" s="211">
        <f t="shared" si="62"/>
        <v>8888009</v>
      </c>
      <c r="B4021" s="213" t="s">
        <v>6933</v>
      </c>
      <c r="C4021" s="213" t="s">
        <v>6934</v>
      </c>
    </row>
    <row r="4022" spans="1:3" x14ac:dyDescent="0.25">
      <c r="A4022" s="211">
        <f t="shared" si="62"/>
        <v>8888010</v>
      </c>
      <c r="B4022" s="213" t="s">
        <v>6935</v>
      </c>
      <c r="C4022" s="213" t="s">
        <v>6936</v>
      </c>
    </row>
    <row r="4023" spans="1:3" x14ac:dyDescent="0.25">
      <c r="A4023" s="211">
        <f t="shared" si="62"/>
        <v>8888011</v>
      </c>
      <c r="B4023" s="213" t="s">
        <v>6937</v>
      </c>
      <c r="C4023" s="213" t="s">
        <v>6938</v>
      </c>
    </row>
    <row r="4024" spans="1:3" x14ac:dyDescent="0.25">
      <c r="A4024" s="211">
        <f t="shared" si="62"/>
        <v>8888012</v>
      </c>
      <c r="B4024" s="213" t="s">
        <v>6939</v>
      </c>
      <c r="C4024" s="213" t="s">
        <v>6940</v>
      </c>
    </row>
    <row r="4025" spans="1:3" x14ac:dyDescent="0.25">
      <c r="A4025" s="211">
        <f t="shared" si="62"/>
        <v>8888013</v>
      </c>
      <c r="B4025" s="213" t="s">
        <v>6941</v>
      </c>
      <c r="C4025" s="213" t="s">
        <v>6942</v>
      </c>
    </row>
    <row r="4026" spans="1:3" x14ac:dyDescent="0.25">
      <c r="A4026" s="211">
        <f t="shared" si="62"/>
        <v>8888014</v>
      </c>
      <c r="B4026" s="213" t="s">
        <v>6943</v>
      </c>
      <c r="C4026" s="213" t="s">
        <v>6944</v>
      </c>
    </row>
    <row r="4027" spans="1:3" x14ac:dyDescent="0.25">
      <c r="A4027" s="211">
        <f t="shared" si="62"/>
        <v>8888015</v>
      </c>
      <c r="B4027" s="213" t="s">
        <v>6945</v>
      </c>
      <c r="C4027" s="213" t="s">
        <v>6946</v>
      </c>
    </row>
    <row r="4028" spans="1:3" x14ac:dyDescent="0.25">
      <c r="A4028" s="211">
        <f t="shared" si="62"/>
        <v>8888016</v>
      </c>
      <c r="B4028" s="213" t="s">
        <v>6947</v>
      </c>
      <c r="C4028" s="213" t="s">
        <v>6948</v>
      </c>
    </row>
    <row r="4029" spans="1:3" x14ac:dyDescent="0.25">
      <c r="A4029" s="211">
        <f t="shared" si="62"/>
        <v>8888017</v>
      </c>
      <c r="B4029" s="213" t="s">
        <v>6949</v>
      </c>
      <c r="C4029" s="213" t="s">
        <v>6950</v>
      </c>
    </row>
    <row r="4030" spans="1:3" x14ac:dyDescent="0.25">
      <c r="A4030" s="211">
        <f t="shared" si="62"/>
        <v>8888018</v>
      </c>
      <c r="B4030" s="213" t="s">
        <v>6951</v>
      </c>
      <c r="C4030" s="213" t="s">
        <v>6952</v>
      </c>
    </row>
    <row r="4031" spans="1:3" x14ac:dyDescent="0.25">
      <c r="A4031" s="211">
        <f t="shared" si="62"/>
        <v>8888019</v>
      </c>
      <c r="B4031" s="213" t="s">
        <v>6953</v>
      </c>
      <c r="C4031" s="213" t="s">
        <v>6954</v>
      </c>
    </row>
    <row r="4032" spans="1:3" x14ac:dyDescent="0.25">
      <c r="A4032" s="211">
        <f t="shared" si="62"/>
        <v>8888020</v>
      </c>
      <c r="B4032" s="213" t="s">
        <v>6955</v>
      </c>
      <c r="C4032" s="213" t="s">
        <v>6956</v>
      </c>
    </row>
    <row r="4033" spans="1:3" x14ac:dyDescent="0.25">
      <c r="A4033" s="211">
        <f t="shared" si="62"/>
        <v>8888021</v>
      </c>
      <c r="B4033" s="213" t="s">
        <v>6957</v>
      </c>
      <c r="C4033" s="213" t="s">
        <v>6958</v>
      </c>
    </row>
    <row r="4034" spans="1:3" x14ac:dyDescent="0.25">
      <c r="A4034" s="211">
        <f t="shared" ref="A4034:A4097" si="63">IFERROR(B4034*1,"")</f>
        <v>8888022</v>
      </c>
      <c r="B4034" s="213" t="s">
        <v>6959</v>
      </c>
      <c r="C4034" s="213" t="s">
        <v>6960</v>
      </c>
    </row>
    <row r="4035" spans="1:3" x14ac:dyDescent="0.25">
      <c r="A4035" s="211">
        <f t="shared" si="63"/>
        <v>8888023</v>
      </c>
      <c r="B4035" s="213" t="s">
        <v>6961</v>
      </c>
      <c r="C4035" s="213" t="s">
        <v>6962</v>
      </c>
    </row>
    <row r="4036" spans="1:3" x14ac:dyDescent="0.25">
      <c r="A4036" s="211">
        <f t="shared" si="63"/>
        <v>8888024</v>
      </c>
      <c r="B4036" s="213" t="s">
        <v>6963</v>
      </c>
      <c r="C4036" s="213" t="s">
        <v>6964</v>
      </c>
    </row>
    <row r="4037" spans="1:3" x14ac:dyDescent="0.25">
      <c r="A4037" s="211">
        <f t="shared" si="63"/>
        <v>8888025</v>
      </c>
      <c r="B4037" s="213" t="s">
        <v>6965</v>
      </c>
      <c r="C4037" s="213" t="s">
        <v>6966</v>
      </c>
    </row>
    <row r="4038" spans="1:3" x14ac:dyDescent="0.25">
      <c r="A4038" s="211">
        <f t="shared" si="63"/>
        <v>8888026</v>
      </c>
      <c r="B4038" s="213" t="s">
        <v>6967</v>
      </c>
      <c r="C4038" s="213" t="s">
        <v>6968</v>
      </c>
    </row>
    <row r="4039" spans="1:3" x14ac:dyDescent="0.25">
      <c r="A4039" s="211">
        <f t="shared" si="63"/>
        <v>8888027</v>
      </c>
      <c r="B4039" s="213" t="s">
        <v>6969</v>
      </c>
      <c r="C4039" s="213" t="s">
        <v>6970</v>
      </c>
    </row>
    <row r="4040" spans="1:3" x14ac:dyDescent="0.25">
      <c r="A4040" s="211">
        <f t="shared" si="63"/>
        <v>8888028</v>
      </c>
      <c r="B4040" s="213" t="s">
        <v>6971</v>
      </c>
      <c r="C4040" s="213" t="s">
        <v>6972</v>
      </c>
    </row>
    <row r="4041" spans="1:3" x14ac:dyDescent="0.25">
      <c r="A4041" s="211">
        <f t="shared" si="63"/>
        <v>8888029</v>
      </c>
      <c r="B4041" s="213" t="s">
        <v>6973</v>
      </c>
      <c r="C4041" s="213" t="s">
        <v>6974</v>
      </c>
    </row>
    <row r="4042" spans="1:3" x14ac:dyDescent="0.25">
      <c r="A4042" s="211">
        <f t="shared" si="63"/>
        <v>8888030</v>
      </c>
      <c r="B4042" s="213" t="s">
        <v>6975</v>
      </c>
      <c r="C4042" s="213" t="s">
        <v>6976</v>
      </c>
    </row>
    <row r="4043" spans="1:3" x14ac:dyDescent="0.25">
      <c r="A4043" s="211">
        <f t="shared" si="63"/>
        <v>8888031</v>
      </c>
      <c r="B4043" s="213" t="s">
        <v>6977</v>
      </c>
      <c r="C4043" s="213" t="s">
        <v>6978</v>
      </c>
    </row>
    <row r="4044" spans="1:3" x14ac:dyDescent="0.25">
      <c r="A4044" s="211">
        <f t="shared" si="63"/>
        <v>8888032</v>
      </c>
      <c r="B4044" s="213" t="s">
        <v>6979</v>
      </c>
      <c r="C4044" s="213" t="s">
        <v>6980</v>
      </c>
    </row>
    <row r="4045" spans="1:3" x14ac:dyDescent="0.25">
      <c r="A4045" s="211">
        <f t="shared" si="63"/>
        <v>8888034</v>
      </c>
      <c r="B4045" s="213" t="s">
        <v>7690</v>
      </c>
      <c r="C4045" s="213" t="s">
        <v>7691</v>
      </c>
    </row>
    <row r="4046" spans="1:3" x14ac:dyDescent="0.25">
      <c r="A4046" s="211">
        <f t="shared" si="63"/>
        <v>8888035</v>
      </c>
      <c r="B4046" s="213" t="s">
        <v>14140</v>
      </c>
      <c r="C4046" s="213" t="s">
        <v>14141</v>
      </c>
    </row>
    <row r="4047" spans="1:3" x14ac:dyDescent="0.25">
      <c r="A4047" s="211">
        <f t="shared" si="63"/>
        <v>8888036</v>
      </c>
      <c r="B4047" s="213" t="s">
        <v>14142</v>
      </c>
      <c r="C4047" s="213" t="s">
        <v>14143</v>
      </c>
    </row>
    <row r="4048" spans="1:3" x14ac:dyDescent="0.25">
      <c r="A4048" s="211">
        <f t="shared" si="63"/>
        <v>8899006</v>
      </c>
      <c r="B4048" s="213" t="s">
        <v>6981</v>
      </c>
      <c r="C4048" s="213" t="s">
        <v>5502</v>
      </c>
    </row>
    <row r="4049" spans="1:3" x14ac:dyDescent="0.25">
      <c r="A4049" s="211">
        <f t="shared" si="63"/>
        <v>9000001</v>
      </c>
      <c r="B4049" s="213" t="s">
        <v>6982</v>
      </c>
      <c r="C4049" s="213" t="s">
        <v>6983</v>
      </c>
    </row>
    <row r="4050" spans="1:3" x14ac:dyDescent="0.25">
      <c r="A4050" s="211">
        <f t="shared" si="63"/>
        <v>9000002</v>
      </c>
      <c r="B4050" s="213" t="s">
        <v>6984</v>
      </c>
      <c r="C4050" s="213" t="s">
        <v>6985</v>
      </c>
    </row>
    <row r="4051" spans="1:3" x14ac:dyDescent="0.25">
      <c r="A4051" s="211">
        <f t="shared" si="63"/>
        <v>9000003</v>
      </c>
      <c r="B4051" s="213" t="s">
        <v>6986</v>
      </c>
      <c r="C4051" s="213" t="s">
        <v>6987</v>
      </c>
    </row>
    <row r="4052" spans="1:3" x14ac:dyDescent="0.25">
      <c r="A4052" s="211">
        <f t="shared" si="63"/>
        <v>9000004</v>
      </c>
      <c r="B4052" s="213" t="s">
        <v>6988</v>
      </c>
      <c r="C4052" s="213" t="s">
        <v>6989</v>
      </c>
    </row>
    <row r="4053" spans="1:3" x14ac:dyDescent="0.25">
      <c r="A4053" s="211">
        <f t="shared" si="63"/>
        <v>9000005</v>
      </c>
      <c r="B4053" s="213" t="s">
        <v>6990</v>
      </c>
      <c r="C4053" s="213" t="s">
        <v>6991</v>
      </c>
    </row>
    <row r="4054" spans="1:3" x14ac:dyDescent="0.25">
      <c r="A4054" s="211">
        <f t="shared" si="63"/>
        <v>9000006</v>
      </c>
      <c r="B4054" s="213" t="s">
        <v>6992</v>
      </c>
      <c r="C4054" s="213" t="s">
        <v>6993</v>
      </c>
    </row>
    <row r="4055" spans="1:3" x14ac:dyDescent="0.25">
      <c r="A4055" s="211">
        <f t="shared" si="63"/>
        <v>9003001</v>
      </c>
      <c r="B4055" s="213" t="s">
        <v>6994</v>
      </c>
      <c r="C4055" s="213" t="s">
        <v>6995</v>
      </c>
    </row>
    <row r="4056" spans="1:3" x14ac:dyDescent="0.25">
      <c r="A4056" s="211">
        <f t="shared" si="63"/>
        <v>9003002</v>
      </c>
      <c r="B4056" s="213" t="s">
        <v>6996</v>
      </c>
      <c r="C4056" s="213" t="s">
        <v>6997</v>
      </c>
    </row>
    <row r="4057" spans="1:3" x14ac:dyDescent="0.25">
      <c r="A4057" s="211">
        <f t="shared" si="63"/>
        <v>9003003</v>
      </c>
      <c r="B4057" s="213" t="s">
        <v>6998</v>
      </c>
      <c r="C4057" s="213" t="s">
        <v>6999</v>
      </c>
    </row>
    <row r="4058" spans="1:3" x14ac:dyDescent="0.25">
      <c r="A4058" s="211">
        <f t="shared" si="63"/>
        <v>9003004</v>
      </c>
      <c r="B4058" s="213" t="s">
        <v>7000</v>
      </c>
      <c r="C4058" s="213" t="s">
        <v>7001</v>
      </c>
    </row>
    <row r="4059" spans="1:3" x14ac:dyDescent="0.25">
      <c r="A4059" s="211">
        <f t="shared" si="63"/>
        <v>9003005</v>
      </c>
      <c r="B4059" s="213" t="s">
        <v>7002</v>
      </c>
      <c r="C4059" s="213" t="s">
        <v>7003</v>
      </c>
    </row>
    <row r="4060" spans="1:3" x14ac:dyDescent="0.25">
      <c r="A4060" s="211">
        <f t="shared" si="63"/>
        <v>9003006</v>
      </c>
      <c r="B4060" s="213" t="s">
        <v>7004</v>
      </c>
      <c r="C4060" s="213" t="s">
        <v>7005</v>
      </c>
    </row>
    <row r="4061" spans="1:3" x14ac:dyDescent="0.25">
      <c r="A4061" s="211">
        <f t="shared" si="63"/>
        <v>9003007</v>
      </c>
      <c r="B4061" s="213" t="s">
        <v>7006</v>
      </c>
      <c r="C4061" s="213" t="s">
        <v>7007</v>
      </c>
    </row>
    <row r="4062" spans="1:3" x14ac:dyDescent="0.25">
      <c r="A4062" s="211">
        <f t="shared" si="63"/>
        <v>9003008</v>
      </c>
      <c r="B4062" s="213" t="s">
        <v>7008</v>
      </c>
      <c r="C4062" s="213" t="s">
        <v>7009</v>
      </c>
    </row>
    <row r="4063" spans="1:3" x14ac:dyDescent="0.25">
      <c r="A4063" s="211">
        <f t="shared" si="63"/>
        <v>9003009</v>
      </c>
      <c r="B4063" s="213" t="s">
        <v>7010</v>
      </c>
      <c r="C4063" s="213" t="s">
        <v>7011</v>
      </c>
    </row>
    <row r="4064" spans="1:3" x14ac:dyDescent="0.25">
      <c r="A4064" s="211">
        <f t="shared" si="63"/>
        <v>9003010</v>
      </c>
      <c r="B4064" s="213" t="s">
        <v>7012</v>
      </c>
      <c r="C4064" s="213" t="s">
        <v>7013</v>
      </c>
    </row>
    <row r="4065" spans="1:3" x14ac:dyDescent="0.25">
      <c r="A4065" s="211">
        <f t="shared" si="63"/>
        <v>9003011</v>
      </c>
      <c r="B4065" s="213" t="s">
        <v>7014</v>
      </c>
      <c r="C4065" s="213" t="s">
        <v>7015</v>
      </c>
    </row>
    <row r="4066" spans="1:3" x14ac:dyDescent="0.25">
      <c r="A4066" s="211">
        <f t="shared" si="63"/>
        <v>9003012</v>
      </c>
      <c r="B4066" s="213" t="s">
        <v>7016</v>
      </c>
      <c r="C4066" s="213" t="s">
        <v>7017</v>
      </c>
    </row>
    <row r="4067" spans="1:3" x14ac:dyDescent="0.25">
      <c r="A4067" s="211">
        <f t="shared" si="63"/>
        <v>9003013</v>
      </c>
      <c r="B4067" s="213" t="s">
        <v>7018</v>
      </c>
      <c r="C4067" s="213" t="s">
        <v>7019</v>
      </c>
    </row>
    <row r="4068" spans="1:3" x14ac:dyDescent="0.25">
      <c r="A4068" s="211">
        <f t="shared" si="63"/>
        <v>9003014</v>
      </c>
      <c r="B4068" s="213" t="s">
        <v>7020</v>
      </c>
      <c r="C4068" s="213" t="s">
        <v>7021</v>
      </c>
    </row>
    <row r="4069" spans="1:3" x14ac:dyDescent="0.25">
      <c r="A4069" s="211">
        <f t="shared" si="63"/>
        <v>9003015</v>
      </c>
      <c r="B4069" s="213" t="s">
        <v>7022</v>
      </c>
      <c r="C4069" s="213" t="s">
        <v>7023</v>
      </c>
    </row>
    <row r="4070" spans="1:3" x14ac:dyDescent="0.25">
      <c r="A4070" s="211">
        <f t="shared" si="63"/>
        <v>9003016</v>
      </c>
      <c r="B4070" s="213" t="s">
        <v>7024</v>
      </c>
      <c r="C4070" s="213" t="s">
        <v>7025</v>
      </c>
    </row>
    <row r="4071" spans="1:3" x14ac:dyDescent="0.25">
      <c r="A4071" s="211">
        <f t="shared" si="63"/>
        <v>9003017</v>
      </c>
      <c r="B4071" s="213" t="s">
        <v>7026</v>
      </c>
      <c r="C4071" s="213" t="s">
        <v>7027</v>
      </c>
    </row>
    <row r="4072" spans="1:3" x14ac:dyDescent="0.25">
      <c r="A4072" s="211">
        <f t="shared" si="63"/>
        <v>9003018</v>
      </c>
      <c r="B4072" s="213" t="s">
        <v>7028</v>
      </c>
      <c r="C4072" s="213" t="s">
        <v>7029</v>
      </c>
    </row>
    <row r="4073" spans="1:3" x14ac:dyDescent="0.25">
      <c r="A4073" s="211">
        <f t="shared" si="63"/>
        <v>9003019</v>
      </c>
      <c r="B4073" s="213" t="s">
        <v>7030</v>
      </c>
      <c r="C4073" s="213" t="s">
        <v>7031</v>
      </c>
    </row>
    <row r="4074" spans="1:3" x14ac:dyDescent="0.25">
      <c r="A4074" s="211">
        <f t="shared" si="63"/>
        <v>9003020</v>
      </c>
      <c r="B4074" s="213" t="s">
        <v>7032</v>
      </c>
      <c r="C4074" s="213" t="s">
        <v>7033</v>
      </c>
    </row>
    <row r="4075" spans="1:3" x14ac:dyDescent="0.25">
      <c r="A4075" s="211">
        <f t="shared" si="63"/>
        <v>9003021</v>
      </c>
      <c r="B4075" s="213" t="s">
        <v>7034</v>
      </c>
      <c r="C4075" s="213" t="s">
        <v>7035</v>
      </c>
    </row>
    <row r="4076" spans="1:3" x14ac:dyDescent="0.25">
      <c r="A4076" s="211">
        <f t="shared" si="63"/>
        <v>9003022</v>
      </c>
      <c r="B4076" s="213" t="s">
        <v>7036</v>
      </c>
      <c r="C4076" s="213" t="s">
        <v>7037</v>
      </c>
    </row>
    <row r="4077" spans="1:3" x14ac:dyDescent="0.25">
      <c r="A4077" s="211">
        <f t="shared" si="63"/>
        <v>9003023</v>
      </c>
      <c r="B4077" s="213" t="s">
        <v>7038</v>
      </c>
      <c r="C4077" s="213" t="s">
        <v>7039</v>
      </c>
    </row>
    <row r="4078" spans="1:3" x14ac:dyDescent="0.25">
      <c r="A4078" s="211">
        <f t="shared" si="63"/>
        <v>9003024</v>
      </c>
      <c r="B4078" s="213" t="s">
        <v>7040</v>
      </c>
      <c r="C4078" s="213" t="s">
        <v>7023</v>
      </c>
    </row>
    <row r="4079" spans="1:3" x14ac:dyDescent="0.25">
      <c r="A4079" s="211">
        <f t="shared" si="63"/>
        <v>9003025</v>
      </c>
      <c r="B4079" s="213" t="s">
        <v>7041</v>
      </c>
      <c r="C4079" s="213" t="s">
        <v>7042</v>
      </c>
    </row>
    <row r="4080" spans="1:3" x14ac:dyDescent="0.25">
      <c r="A4080" s="211">
        <f t="shared" si="63"/>
        <v>9003026</v>
      </c>
      <c r="B4080" s="213" t="s">
        <v>7043</v>
      </c>
      <c r="C4080" s="213" t="s">
        <v>7044</v>
      </c>
    </row>
    <row r="4081" spans="1:3" x14ac:dyDescent="0.25">
      <c r="A4081" s="211">
        <f t="shared" si="63"/>
        <v>9003090</v>
      </c>
      <c r="B4081" s="213" t="s">
        <v>7045</v>
      </c>
      <c r="C4081" s="213" t="s">
        <v>7046</v>
      </c>
    </row>
    <row r="4082" spans="1:3" x14ac:dyDescent="0.25">
      <c r="A4082" s="211">
        <f t="shared" si="63"/>
        <v>9003100</v>
      </c>
      <c r="B4082" s="213" t="s">
        <v>7047</v>
      </c>
      <c r="C4082" s="213" t="s">
        <v>7048</v>
      </c>
    </row>
    <row r="4083" spans="1:3" x14ac:dyDescent="0.25">
      <c r="A4083" s="211">
        <f t="shared" si="63"/>
        <v>9003101</v>
      </c>
      <c r="B4083" s="213" t="s">
        <v>7049</v>
      </c>
      <c r="C4083" s="213" t="s">
        <v>7050</v>
      </c>
    </row>
    <row r="4084" spans="1:3" x14ac:dyDescent="0.25">
      <c r="A4084" s="211">
        <f t="shared" si="63"/>
        <v>9003417</v>
      </c>
      <c r="B4084" s="213" t="s">
        <v>7051</v>
      </c>
      <c r="C4084" s="213" t="s">
        <v>7052</v>
      </c>
    </row>
    <row r="4085" spans="1:3" x14ac:dyDescent="0.25">
      <c r="A4085" s="211">
        <f t="shared" si="63"/>
        <v>9003710</v>
      </c>
      <c r="B4085" s="213" t="s">
        <v>7053</v>
      </c>
      <c r="C4085" s="213" t="s">
        <v>7054</v>
      </c>
    </row>
    <row r="4086" spans="1:3" x14ac:dyDescent="0.25">
      <c r="A4086" s="211" t="str">
        <f t="shared" si="63"/>
        <v/>
      </c>
      <c r="B4086" s="213" t="s">
        <v>13845</v>
      </c>
      <c r="C4086" s="212"/>
    </row>
    <row r="4087" spans="1:3" x14ac:dyDescent="0.25">
      <c r="A4087" s="211">
        <f t="shared" si="63"/>
        <v>9003976</v>
      </c>
      <c r="B4087" s="213" t="s">
        <v>7055</v>
      </c>
      <c r="C4087" s="213" t="s">
        <v>7056</v>
      </c>
    </row>
    <row r="4088" spans="1:3" x14ac:dyDescent="0.25">
      <c r="A4088" s="211">
        <f t="shared" si="63"/>
        <v>900397601</v>
      </c>
      <c r="B4088" s="213" t="s">
        <v>7057</v>
      </c>
      <c r="C4088" s="213" t="s">
        <v>7058</v>
      </c>
    </row>
    <row r="4089" spans="1:3" x14ac:dyDescent="0.25">
      <c r="A4089" s="211" t="str">
        <f t="shared" si="63"/>
        <v/>
      </c>
      <c r="B4089" s="213" t="s">
        <v>13846</v>
      </c>
      <c r="C4089" s="212"/>
    </row>
    <row r="4090" spans="1:3" x14ac:dyDescent="0.25">
      <c r="A4090" s="211">
        <f t="shared" si="63"/>
        <v>900397602</v>
      </c>
      <c r="B4090" s="213" t="s">
        <v>7059</v>
      </c>
      <c r="C4090" s="213" t="s">
        <v>7060</v>
      </c>
    </row>
    <row r="4091" spans="1:3" x14ac:dyDescent="0.25">
      <c r="A4091" s="211" t="str">
        <f t="shared" si="63"/>
        <v/>
      </c>
      <c r="B4091" s="213" t="s">
        <v>13847</v>
      </c>
      <c r="C4091" s="212"/>
    </row>
    <row r="4092" spans="1:3" x14ac:dyDescent="0.25">
      <c r="A4092" s="211">
        <f t="shared" si="63"/>
        <v>9003978</v>
      </c>
      <c r="B4092" s="213" t="s">
        <v>7061</v>
      </c>
      <c r="C4092" s="213" t="s">
        <v>7062</v>
      </c>
    </row>
    <row r="4093" spans="1:3" x14ac:dyDescent="0.25">
      <c r="A4093" s="211">
        <f t="shared" si="63"/>
        <v>900397801</v>
      </c>
      <c r="B4093" s="213" t="s">
        <v>7063</v>
      </c>
      <c r="C4093" s="213" t="s">
        <v>7064</v>
      </c>
    </row>
    <row r="4094" spans="1:3" x14ac:dyDescent="0.25">
      <c r="A4094" s="211" t="str">
        <f t="shared" si="63"/>
        <v/>
      </c>
      <c r="B4094" s="213" t="s">
        <v>13848</v>
      </c>
      <c r="C4094" s="212"/>
    </row>
    <row r="4095" spans="1:3" x14ac:dyDescent="0.25">
      <c r="A4095" s="211">
        <f t="shared" si="63"/>
        <v>900397802</v>
      </c>
      <c r="B4095" s="213" t="s">
        <v>7065</v>
      </c>
      <c r="C4095" s="213" t="s">
        <v>7066</v>
      </c>
    </row>
    <row r="4096" spans="1:3" x14ac:dyDescent="0.25">
      <c r="A4096" s="211" t="str">
        <f t="shared" si="63"/>
        <v/>
      </c>
      <c r="B4096" s="213" t="s">
        <v>13849</v>
      </c>
      <c r="C4096" s="212"/>
    </row>
    <row r="4097" spans="1:3" x14ac:dyDescent="0.25">
      <c r="A4097" s="211">
        <f t="shared" si="63"/>
        <v>9003981</v>
      </c>
      <c r="B4097" s="213" t="s">
        <v>7067</v>
      </c>
      <c r="C4097" s="213" t="s">
        <v>7068</v>
      </c>
    </row>
    <row r="4098" spans="1:3" x14ac:dyDescent="0.25">
      <c r="A4098" s="211">
        <f t="shared" ref="A4098:A4161" si="64">IFERROR(B4098*1,"")</f>
        <v>9003985</v>
      </c>
      <c r="B4098" s="213" t="s">
        <v>7069</v>
      </c>
      <c r="C4098" s="213" t="s">
        <v>7070</v>
      </c>
    </row>
    <row r="4099" spans="1:3" x14ac:dyDescent="0.25">
      <c r="A4099" s="211">
        <f t="shared" si="64"/>
        <v>900398501</v>
      </c>
      <c r="B4099" s="213" t="s">
        <v>7071</v>
      </c>
      <c r="C4099" s="213" t="s">
        <v>7072</v>
      </c>
    </row>
    <row r="4100" spans="1:3" x14ac:dyDescent="0.25">
      <c r="A4100" s="211" t="str">
        <f t="shared" si="64"/>
        <v/>
      </c>
      <c r="B4100" s="213" t="s">
        <v>13850</v>
      </c>
      <c r="C4100" s="212"/>
    </row>
    <row r="4101" spans="1:3" x14ac:dyDescent="0.25">
      <c r="A4101" s="211">
        <f t="shared" si="64"/>
        <v>900398502</v>
      </c>
      <c r="B4101" s="213" t="s">
        <v>7073</v>
      </c>
      <c r="C4101" s="213" t="s">
        <v>7074</v>
      </c>
    </row>
    <row r="4102" spans="1:3" x14ac:dyDescent="0.25">
      <c r="A4102" s="211" t="str">
        <f t="shared" si="64"/>
        <v/>
      </c>
      <c r="B4102" s="213" t="s">
        <v>13851</v>
      </c>
      <c r="C4102" s="212"/>
    </row>
    <row r="4103" spans="1:3" x14ac:dyDescent="0.25">
      <c r="A4103" s="211" t="str">
        <f t="shared" si="64"/>
        <v/>
      </c>
      <c r="B4103" s="213" t="s">
        <v>13852</v>
      </c>
      <c r="C4103" s="212"/>
    </row>
    <row r="4104" spans="1:3" x14ac:dyDescent="0.25">
      <c r="A4104" s="211">
        <f t="shared" si="64"/>
        <v>9003986</v>
      </c>
      <c r="B4104" s="213" t="s">
        <v>7075</v>
      </c>
      <c r="C4104" s="213" t="s">
        <v>7076</v>
      </c>
    </row>
    <row r="4105" spans="1:3" x14ac:dyDescent="0.25">
      <c r="A4105" s="211">
        <f t="shared" si="64"/>
        <v>9003988</v>
      </c>
      <c r="B4105" s="213" t="s">
        <v>7077</v>
      </c>
      <c r="C4105" s="213" t="s">
        <v>7078</v>
      </c>
    </row>
    <row r="4106" spans="1:3" x14ac:dyDescent="0.25">
      <c r="A4106" s="211">
        <f t="shared" si="64"/>
        <v>9003993</v>
      </c>
      <c r="B4106" s="213" t="s">
        <v>7079</v>
      </c>
      <c r="C4106" s="213" t="s">
        <v>7080</v>
      </c>
    </row>
    <row r="4107" spans="1:3" x14ac:dyDescent="0.25">
      <c r="A4107" s="211">
        <f t="shared" si="64"/>
        <v>900399301</v>
      </c>
      <c r="B4107" s="213" t="s">
        <v>7081</v>
      </c>
      <c r="C4107" s="213" t="s">
        <v>7082</v>
      </c>
    </row>
    <row r="4108" spans="1:3" x14ac:dyDescent="0.25">
      <c r="A4108" s="211">
        <f t="shared" si="64"/>
        <v>900399302</v>
      </c>
      <c r="B4108" s="213" t="s">
        <v>7083</v>
      </c>
      <c r="C4108" s="213" t="s">
        <v>7084</v>
      </c>
    </row>
    <row r="4109" spans="1:3" x14ac:dyDescent="0.25">
      <c r="A4109" s="211">
        <f t="shared" si="64"/>
        <v>900697601</v>
      </c>
      <c r="B4109" s="213" t="s">
        <v>7085</v>
      </c>
      <c r="C4109" s="213" t="s">
        <v>7058</v>
      </c>
    </row>
    <row r="4110" spans="1:3" x14ac:dyDescent="0.25">
      <c r="A4110" s="211" t="str">
        <f t="shared" si="64"/>
        <v/>
      </c>
      <c r="B4110" s="213" t="s">
        <v>13853</v>
      </c>
      <c r="C4110" s="212"/>
    </row>
    <row r="4111" spans="1:3" x14ac:dyDescent="0.25">
      <c r="A4111" s="211">
        <f t="shared" si="64"/>
        <v>9010000</v>
      </c>
      <c r="B4111" s="213" t="s">
        <v>7086</v>
      </c>
      <c r="C4111" s="213" t="s">
        <v>7087</v>
      </c>
    </row>
    <row r="4112" spans="1:3" x14ac:dyDescent="0.25">
      <c r="A4112" s="211" t="str">
        <f t="shared" si="64"/>
        <v/>
      </c>
      <c r="B4112" s="213" t="s">
        <v>13854</v>
      </c>
      <c r="C4112" s="212"/>
    </row>
    <row r="4113" spans="1:3" x14ac:dyDescent="0.25">
      <c r="A4113" s="211">
        <f t="shared" si="64"/>
        <v>9010001</v>
      </c>
      <c r="B4113" s="213" t="s">
        <v>7088</v>
      </c>
      <c r="C4113" s="213" t="s">
        <v>7089</v>
      </c>
    </row>
    <row r="4114" spans="1:3" x14ac:dyDescent="0.25">
      <c r="A4114" s="211" t="str">
        <f t="shared" si="64"/>
        <v/>
      </c>
      <c r="B4114" s="213" t="s">
        <v>13855</v>
      </c>
      <c r="C4114" s="212"/>
    </row>
    <row r="4115" spans="1:3" x14ac:dyDescent="0.25">
      <c r="A4115" s="211">
        <f t="shared" si="64"/>
        <v>9010002</v>
      </c>
      <c r="B4115" s="213" t="s">
        <v>7090</v>
      </c>
      <c r="C4115" s="213" t="s">
        <v>7091</v>
      </c>
    </row>
    <row r="4116" spans="1:3" x14ac:dyDescent="0.25">
      <c r="A4116" s="211" t="str">
        <f t="shared" si="64"/>
        <v/>
      </c>
      <c r="B4116" s="213" t="s">
        <v>13856</v>
      </c>
      <c r="C4116" s="212"/>
    </row>
    <row r="4117" spans="1:3" x14ac:dyDescent="0.25">
      <c r="A4117" s="211">
        <f t="shared" si="64"/>
        <v>9010003</v>
      </c>
      <c r="B4117" s="213" t="s">
        <v>7092</v>
      </c>
      <c r="C4117" s="213" t="s">
        <v>7093</v>
      </c>
    </row>
    <row r="4118" spans="1:3" x14ac:dyDescent="0.25">
      <c r="A4118" s="211" t="str">
        <f t="shared" si="64"/>
        <v/>
      </c>
      <c r="B4118" s="213" t="s">
        <v>13857</v>
      </c>
      <c r="C4118" s="212"/>
    </row>
    <row r="4119" spans="1:3" x14ac:dyDescent="0.25">
      <c r="A4119" s="211">
        <f t="shared" si="64"/>
        <v>9010004</v>
      </c>
      <c r="B4119" s="213" t="s">
        <v>7094</v>
      </c>
      <c r="C4119" s="213" t="s">
        <v>7095</v>
      </c>
    </row>
    <row r="4120" spans="1:3" x14ac:dyDescent="0.25">
      <c r="A4120" s="211" t="str">
        <f t="shared" si="64"/>
        <v/>
      </c>
      <c r="B4120" s="213" t="s">
        <v>13858</v>
      </c>
      <c r="C4120" s="212"/>
    </row>
    <row r="4121" spans="1:3" x14ac:dyDescent="0.25">
      <c r="A4121" s="211">
        <f t="shared" si="64"/>
        <v>9010005</v>
      </c>
      <c r="B4121" s="213" t="s">
        <v>7096</v>
      </c>
      <c r="C4121" s="213" t="s">
        <v>7097</v>
      </c>
    </row>
    <row r="4122" spans="1:3" x14ac:dyDescent="0.25">
      <c r="A4122" s="211" t="str">
        <f t="shared" si="64"/>
        <v/>
      </c>
      <c r="B4122" s="213" t="s">
        <v>13859</v>
      </c>
      <c r="C4122" s="212"/>
    </row>
    <row r="4123" spans="1:3" x14ac:dyDescent="0.25">
      <c r="A4123" s="211">
        <f t="shared" si="64"/>
        <v>9010840</v>
      </c>
      <c r="B4123" s="213" t="s">
        <v>7098</v>
      </c>
      <c r="C4123" s="213" t="s">
        <v>7099</v>
      </c>
    </row>
    <row r="4124" spans="1:3" x14ac:dyDescent="0.25">
      <c r="A4124" s="211" t="str">
        <f t="shared" si="64"/>
        <v/>
      </c>
      <c r="B4124" s="213" t="s">
        <v>13860</v>
      </c>
      <c r="C4124" s="212"/>
    </row>
    <row r="4125" spans="1:3" x14ac:dyDescent="0.25">
      <c r="A4125" s="211">
        <f t="shared" si="64"/>
        <v>9010841</v>
      </c>
      <c r="B4125" s="213" t="s">
        <v>7100</v>
      </c>
      <c r="C4125" s="213" t="s">
        <v>7101</v>
      </c>
    </row>
    <row r="4126" spans="1:3" x14ac:dyDescent="0.25">
      <c r="A4126" s="211" t="str">
        <f t="shared" si="64"/>
        <v/>
      </c>
      <c r="B4126" s="213" t="s">
        <v>13861</v>
      </c>
      <c r="C4126" s="212"/>
    </row>
    <row r="4127" spans="1:3" x14ac:dyDescent="0.25">
      <c r="A4127" s="211">
        <f t="shared" si="64"/>
        <v>9709018</v>
      </c>
      <c r="B4127" s="213" t="s">
        <v>7102</v>
      </c>
      <c r="C4127" s="213" t="s">
        <v>5502</v>
      </c>
    </row>
    <row r="4128" spans="1:3" x14ac:dyDescent="0.25">
      <c r="A4128" s="211" t="str">
        <f t="shared" si="64"/>
        <v/>
      </c>
      <c r="B4128" s="213" t="s">
        <v>13862</v>
      </c>
      <c r="C4128" s="212"/>
    </row>
    <row r="4129" spans="1:3" x14ac:dyDescent="0.25">
      <c r="A4129" s="211">
        <f t="shared" si="64"/>
        <v>9716020</v>
      </c>
      <c r="B4129" s="213" t="s">
        <v>7103</v>
      </c>
      <c r="C4129" s="213" t="s">
        <v>5883</v>
      </c>
    </row>
    <row r="4130" spans="1:3" x14ac:dyDescent="0.25">
      <c r="A4130" s="211" t="str">
        <f t="shared" si="64"/>
        <v/>
      </c>
      <c r="B4130" s="213" t="s">
        <v>13863</v>
      </c>
      <c r="C4130" s="212"/>
    </row>
    <row r="4131" spans="1:3" x14ac:dyDescent="0.25">
      <c r="A4131" s="211">
        <f t="shared" si="64"/>
        <v>9716021</v>
      </c>
      <c r="B4131" s="213" t="s">
        <v>7104</v>
      </c>
      <c r="C4131" s="213" t="s">
        <v>5885</v>
      </c>
    </row>
    <row r="4132" spans="1:3" x14ac:dyDescent="0.25">
      <c r="A4132" s="211" t="str">
        <f t="shared" si="64"/>
        <v/>
      </c>
      <c r="B4132" s="213" t="s">
        <v>13864</v>
      </c>
      <c r="C4132" s="212"/>
    </row>
    <row r="4133" spans="1:3" x14ac:dyDescent="0.25">
      <c r="A4133" s="211">
        <f t="shared" si="64"/>
        <v>9859017</v>
      </c>
      <c r="B4133" s="213" t="s">
        <v>7105</v>
      </c>
      <c r="C4133" s="213" t="s">
        <v>7106</v>
      </c>
    </row>
    <row r="4134" spans="1:3" x14ac:dyDescent="0.25">
      <c r="A4134" s="211" t="str">
        <f t="shared" si="64"/>
        <v/>
      </c>
      <c r="B4134" s="213" t="s">
        <v>13865</v>
      </c>
      <c r="C4134" s="212"/>
    </row>
    <row r="4135" spans="1:3" x14ac:dyDescent="0.25">
      <c r="A4135" s="211">
        <f t="shared" si="64"/>
        <v>999</v>
      </c>
      <c r="B4135" s="213" t="s">
        <v>7107</v>
      </c>
      <c r="C4135" s="213" t="s">
        <v>7108</v>
      </c>
    </row>
    <row r="4136" spans="1:3" x14ac:dyDescent="0.25">
      <c r="A4136" s="211">
        <f t="shared" si="64"/>
        <v>9999000</v>
      </c>
      <c r="B4136" s="213" t="s">
        <v>13633</v>
      </c>
      <c r="C4136" s="213" t="s">
        <v>13634</v>
      </c>
    </row>
    <row r="4137" spans="1:3" x14ac:dyDescent="0.25">
      <c r="A4137" s="211">
        <f t="shared" si="64"/>
        <v>9999022</v>
      </c>
      <c r="B4137" s="213" t="s">
        <v>7109</v>
      </c>
      <c r="C4137" s="213" t="s">
        <v>7110</v>
      </c>
    </row>
    <row r="4138" spans="1:3" x14ac:dyDescent="0.25">
      <c r="A4138" s="211" t="str">
        <f t="shared" si="64"/>
        <v/>
      </c>
      <c r="B4138" s="213" t="s">
        <v>13866</v>
      </c>
      <c r="C4138" s="212"/>
    </row>
    <row r="4139" spans="1:3" x14ac:dyDescent="0.25">
      <c r="A4139" s="211">
        <f t="shared" si="64"/>
        <v>9999025</v>
      </c>
      <c r="B4139" s="213" t="s">
        <v>7111</v>
      </c>
      <c r="C4139" s="213" t="s">
        <v>7112</v>
      </c>
    </row>
    <row r="4140" spans="1:3" x14ac:dyDescent="0.25">
      <c r="A4140" s="211">
        <f t="shared" si="64"/>
        <v>9999026</v>
      </c>
      <c r="B4140" s="213" t="s">
        <v>7113</v>
      </c>
      <c r="C4140" s="213" t="s">
        <v>7114</v>
      </c>
    </row>
    <row r="4141" spans="1:3" x14ac:dyDescent="0.25">
      <c r="A4141" s="211" t="str">
        <f t="shared" si="64"/>
        <v/>
      </c>
      <c r="B4141" s="213" t="s">
        <v>13867</v>
      </c>
      <c r="C4141" s="212"/>
    </row>
    <row r="4142" spans="1:3" x14ac:dyDescent="0.25">
      <c r="A4142" s="211">
        <f t="shared" si="64"/>
        <v>9999050</v>
      </c>
      <c r="B4142" s="213" t="s">
        <v>7115</v>
      </c>
      <c r="C4142" s="213" t="s">
        <v>7116</v>
      </c>
    </row>
    <row r="4143" spans="1:3" x14ac:dyDescent="0.25">
      <c r="A4143" s="211" t="str">
        <f t="shared" si="64"/>
        <v/>
      </c>
      <c r="B4143" s="213" t="s">
        <v>13868</v>
      </c>
      <c r="C4143" s="212"/>
    </row>
    <row r="4144" spans="1:3" x14ac:dyDescent="0.25">
      <c r="A4144" s="211">
        <f t="shared" si="64"/>
        <v>9999075</v>
      </c>
      <c r="B4144" s="213" t="s">
        <v>7117</v>
      </c>
      <c r="C4144" s="213" t="s">
        <v>7118</v>
      </c>
    </row>
    <row r="4145" spans="1:3" x14ac:dyDescent="0.25">
      <c r="A4145" s="211" t="str">
        <f t="shared" si="64"/>
        <v/>
      </c>
      <c r="B4145" s="213" t="s">
        <v>13869</v>
      </c>
      <c r="C4145" s="212"/>
    </row>
    <row r="4146" spans="1:3" x14ac:dyDescent="0.25">
      <c r="A4146" s="211" t="str">
        <f t="shared" si="64"/>
        <v/>
      </c>
      <c r="B4146" s="213" t="s">
        <v>7119</v>
      </c>
      <c r="C4146" s="213" t="s">
        <v>7120</v>
      </c>
    </row>
    <row r="4147" spans="1:3" x14ac:dyDescent="0.25">
      <c r="A4147" s="211" t="str">
        <f t="shared" si="64"/>
        <v/>
      </c>
      <c r="B4147" s="213" t="s">
        <v>7121</v>
      </c>
      <c r="C4147" s="213" t="s">
        <v>7122</v>
      </c>
    </row>
    <row r="4148" spans="1:3" x14ac:dyDescent="0.25">
      <c r="A4148" s="211" t="str">
        <f t="shared" si="64"/>
        <v/>
      </c>
      <c r="B4148" s="213" t="s">
        <v>7123</v>
      </c>
      <c r="C4148" s="213" t="s">
        <v>7124</v>
      </c>
    </row>
    <row r="4149" spans="1:3" x14ac:dyDescent="0.25">
      <c r="A4149" s="211" t="str">
        <f t="shared" si="64"/>
        <v/>
      </c>
      <c r="B4149" s="213" t="s">
        <v>7125</v>
      </c>
      <c r="C4149" s="213" t="s">
        <v>7126</v>
      </c>
    </row>
    <row r="4150" spans="1:3" x14ac:dyDescent="0.25">
      <c r="A4150" s="211" t="str">
        <f t="shared" si="64"/>
        <v/>
      </c>
      <c r="B4150" s="213" t="s">
        <v>7127</v>
      </c>
      <c r="C4150" s="213" t="s">
        <v>7128</v>
      </c>
    </row>
    <row r="4151" spans="1:3" x14ac:dyDescent="0.25">
      <c r="A4151" s="211" t="str">
        <f t="shared" si="64"/>
        <v/>
      </c>
      <c r="B4151" s="213" t="s">
        <v>7129</v>
      </c>
      <c r="C4151" s="213" t="s">
        <v>7130</v>
      </c>
    </row>
    <row r="4152" spans="1:3" x14ac:dyDescent="0.25">
      <c r="A4152" s="211" t="str">
        <f t="shared" si="64"/>
        <v/>
      </c>
      <c r="B4152" s="213" t="s">
        <v>7131</v>
      </c>
      <c r="C4152" s="213" t="s">
        <v>7132</v>
      </c>
    </row>
    <row r="4153" spans="1:3" x14ac:dyDescent="0.25">
      <c r="A4153" s="211" t="str">
        <f t="shared" si="64"/>
        <v/>
      </c>
      <c r="B4153" s="213" t="s">
        <v>7133</v>
      </c>
      <c r="C4153" s="213" t="s">
        <v>7134</v>
      </c>
    </row>
    <row r="4154" spans="1:3" x14ac:dyDescent="0.25">
      <c r="A4154" s="211" t="str">
        <f t="shared" si="64"/>
        <v/>
      </c>
      <c r="B4154" s="213" t="s">
        <v>7135</v>
      </c>
      <c r="C4154" s="213" t="s">
        <v>7136</v>
      </c>
    </row>
    <row r="4155" spans="1:3" x14ac:dyDescent="0.25">
      <c r="A4155" s="211" t="str">
        <f t="shared" si="64"/>
        <v/>
      </c>
      <c r="B4155" s="213" t="s">
        <v>7137</v>
      </c>
      <c r="C4155" s="213" t="s">
        <v>7138</v>
      </c>
    </row>
    <row r="4156" spans="1:3" x14ac:dyDescent="0.25">
      <c r="A4156" s="211" t="str">
        <f t="shared" si="64"/>
        <v/>
      </c>
      <c r="B4156" s="213" t="s">
        <v>7139</v>
      </c>
      <c r="C4156" s="213" t="s">
        <v>7140</v>
      </c>
    </row>
    <row r="4157" spans="1:3" x14ac:dyDescent="0.25">
      <c r="A4157" s="211" t="str">
        <f t="shared" si="64"/>
        <v/>
      </c>
      <c r="B4157" s="213" t="s">
        <v>7141</v>
      </c>
      <c r="C4157" s="213" t="s">
        <v>7142</v>
      </c>
    </row>
    <row r="4158" spans="1:3" x14ac:dyDescent="0.25">
      <c r="A4158" s="211" t="str">
        <f t="shared" si="64"/>
        <v/>
      </c>
      <c r="B4158" s="213" t="s">
        <v>7143</v>
      </c>
      <c r="C4158" s="213" t="s">
        <v>7144</v>
      </c>
    </row>
    <row r="4159" spans="1:3" x14ac:dyDescent="0.25">
      <c r="A4159" s="211" t="str">
        <f t="shared" si="64"/>
        <v/>
      </c>
      <c r="B4159" s="213" t="s">
        <v>7145</v>
      </c>
      <c r="C4159" s="213" t="s">
        <v>7146</v>
      </c>
    </row>
    <row r="4160" spans="1:3" x14ac:dyDescent="0.25">
      <c r="A4160" s="211" t="str">
        <f t="shared" si="64"/>
        <v/>
      </c>
      <c r="B4160" s="213" t="s">
        <v>7147</v>
      </c>
      <c r="C4160" s="213" t="s">
        <v>7148</v>
      </c>
    </row>
    <row r="4161" spans="1:3" x14ac:dyDescent="0.25">
      <c r="A4161" s="211" t="str">
        <f t="shared" si="64"/>
        <v/>
      </c>
      <c r="B4161" s="213" t="s">
        <v>7149</v>
      </c>
      <c r="C4161" s="213" t="s">
        <v>7150</v>
      </c>
    </row>
    <row r="4162" spans="1:3" x14ac:dyDescent="0.25">
      <c r="A4162" s="211" t="str">
        <f t="shared" ref="A4162:A4225" si="65">IFERROR(B4162*1,"")</f>
        <v/>
      </c>
      <c r="B4162" s="213" t="s">
        <v>7151</v>
      </c>
      <c r="C4162" s="213" t="s">
        <v>7152</v>
      </c>
    </row>
    <row r="4163" spans="1:3" x14ac:dyDescent="0.25">
      <c r="A4163" s="211" t="str">
        <f t="shared" si="65"/>
        <v/>
      </c>
      <c r="B4163" s="213" t="s">
        <v>7153</v>
      </c>
      <c r="C4163" s="213" t="s">
        <v>7154</v>
      </c>
    </row>
    <row r="4164" spans="1:3" x14ac:dyDescent="0.25">
      <c r="A4164" s="211" t="str">
        <f t="shared" si="65"/>
        <v/>
      </c>
      <c r="B4164" s="213" t="s">
        <v>7155</v>
      </c>
      <c r="C4164" s="213" t="s">
        <v>7156</v>
      </c>
    </row>
    <row r="4165" spans="1:3" x14ac:dyDescent="0.25">
      <c r="A4165" s="211" t="str">
        <f t="shared" si="65"/>
        <v/>
      </c>
      <c r="B4165" s="213" t="s">
        <v>7157</v>
      </c>
      <c r="C4165" s="213" t="s">
        <v>7158</v>
      </c>
    </row>
    <row r="4166" spans="1:3" x14ac:dyDescent="0.25">
      <c r="A4166" s="211" t="str">
        <f t="shared" si="65"/>
        <v/>
      </c>
      <c r="B4166" s="213" t="s">
        <v>7159</v>
      </c>
      <c r="C4166" s="213" t="s">
        <v>7160</v>
      </c>
    </row>
    <row r="4167" spans="1:3" x14ac:dyDescent="0.25">
      <c r="A4167" s="211" t="str">
        <f t="shared" si="65"/>
        <v/>
      </c>
      <c r="B4167" s="213" t="s">
        <v>7161</v>
      </c>
      <c r="C4167" s="213" t="s">
        <v>7162</v>
      </c>
    </row>
    <row r="4168" spans="1:3" x14ac:dyDescent="0.25">
      <c r="A4168" s="211" t="str">
        <f t="shared" si="65"/>
        <v/>
      </c>
      <c r="B4168" s="213" t="s">
        <v>7163</v>
      </c>
      <c r="C4168" s="213" t="s">
        <v>7164</v>
      </c>
    </row>
    <row r="4169" spans="1:3" x14ac:dyDescent="0.25">
      <c r="A4169" s="211" t="str">
        <f t="shared" si="65"/>
        <v/>
      </c>
      <c r="B4169" s="213" t="s">
        <v>7165</v>
      </c>
      <c r="C4169" s="213" t="s">
        <v>7166</v>
      </c>
    </row>
    <row r="4170" spans="1:3" x14ac:dyDescent="0.25">
      <c r="A4170" s="211" t="str">
        <f t="shared" si="65"/>
        <v/>
      </c>
      <c r="B4170" s="213" t="s">
        <v>7167</v>
      </c>
      <c r="C4170" s="213" t="s">
        <v>7168</v>
      </c>
    </row>
    <row r="4171" spans="1:3" x14ac:dyDescent="0.25">
      <c r="A4171" s="211" t="str">
        <f t="shared" si="65"/>
        <v/>
      </c>
      <c r="B4171" s="213" t="s">
        <v>7169</v>
      </c>
      <c r="C4171" s="213" t="s">
        <v>7170</v>
      </c>
    </row>
    <row r="4172" spans="1:3" x14ac:dyDescent="0.25">
      <c r="A4172" s="211" t="str">
        <f t="shared" si="65"/>
        <v/>
      </c>
      <c r="B4172" s="213" t="s">
        <v>7171</v>
      </c>
      <c r="C4172" s="213" t="s">
        <v>7172</v>
      </c>
    </row>
    <row r="4173" spans="1:3" x14ac:dyDescent="0.25">
      <c r="A4173" s="211" t="str">
        <f t="shared" si="65"/>
        <v/>
      </c>
      <c r="B4173" s="213" t="s">
        <v>7173</v>
      </c>
      <c r="C4173" s="213" t="s">
        <v>7174</v>
      </c>
    </row>
    <row r="4174" spans="1:3" x14ac:dyDescent="0.25">
      <c r="A4174" s="211" t="str">
        <f t="shared" si="65"/>
        <v/>
      </c>
      <c r="B4174" s="213" t="s">
        <v>7175</v>
      </c>
      <c r="C4174" s="213" t="s">
        <v>7176</v>
      </c>
    </row>
    <row r="4175" spans="1:3" x14ac:dyDescent="0.25">
      <c r="A4175" s="211" t="str">
        <f t="shared" si="65"/>
        <v/>
      </c>
      <c r="B4175" s="213" t="s">
        <v>7177</v>
      </c>
      <c r="C4175" s="213" t="s">
        <v>7178</v>
      </c>
    </row>
    <row r="4176" spans="1:3" x14ac:dyDescent="0.25">
      <c r="A4176" s="211" t="str">
        <f t="shared" si="65"/>
        <v/>
      </c>
      <c r="B4176" s="213" t="s">
        <v>7179</v>
      </c>
      <c r="C4176" s="213" t="s">
        <v>7180</v>
      </c>
    </row>
    <row r="4177" spans="1:3" x14ac:dyDescent="0.25">
      <c r="A4177" s="211" t="str">
        <f t="shared" si="65"/>
        <v/>
      </c>
      <c r="B4177" s="213" t="s">
        <v>7181</v>
      </c>
      <c r="C4177" s="213" t="s">
        <v>7182</v>
      </c>
    </row>
    <row r="4178" spans="1:3" x14ac:dyDescent="0.25">
      <c r="A4178" s="211" t="str">
        <f t="shared" si="65"/>
        <v/>
      </c>
      <c r="B4178" s="213" t="s">
        <v>7183</v>
      </c>
      <c r="C4178" s="213" t="s">
        <v>7184</v>
      </c>
    </row>
    <row r="4179" spans="1:3" x14ac:dyDescent="0.25">
      <c r="A4179" s="211" t="str">
        <f t="shared" si="65"/>
        <v/>
      </c>
      <c r="B4179" s="213" t="s">
        <v>7185</v>
      </c>
      <c r="C4179" s="213" t="s">
        <v>7186</v>
      </c>
    </row>
    <row r="4180" spans="1:3" x14ac:dyDescent="0.25">
      <c r="A4180" s="211" t="str">
        <f t="shared" si="65"/>
        <v/>
      </c>
      <c r="B4180" s="213" t="s">
        <v>7187</v>
      </c>
      <c r="C4180" s="212"/>
    </row>
    <row r="4181" spans="1:3" x14ac:dyDescent="0.25">
      <c r="A4181" s="211" t="str">
        <f t="shared" si="65"/>
        <v/>
      </c>
      <c r="B4181" s="213" t="s">
        <v>7188</v>
      </c>
      <c r="C4181" s="213" t="s">
        <v>7189</v>
      </c>
    </row>
    <row r="4182" spans="1:3" x14ac:dyDescent="0.25">
      <c r="A4182" s="211" t="str">
        <f t="shared" si="65"/>
        <v/>
      </c>
      <c r="B4182" s="213" t="s">
        <v>7190</v>
      </c>
      <c r="C4182" s="213" t="s">
        <v>7191</v>
      </c>
    </row>
    <row r="4183" spans="1:3" x14ac:dyDescent="0.25">
      <c r="A4183" s="211" t="str">
        <f t="shared" si="65"/>
        <v/>
      </c>
      <c r="B4183" s="213" t="s">
        <v>7192</v>
      </c>
      <c r="C4183" s="213" t="s">
        <v>7193</v>
      </c>
    </row>
    <row r="4184" spans="1:3" x14ac:dyDescent="0.25">
      <c r="A4184" s="211" t="str">
        <f t="shared" si="65"/>
        <v/>
      </c>
      <c r="B4184" s="213" t="s">
        <v>7194</v>
      </c>
      <c r="C4184" s="213" t="s">
        <v>7195</v>
      </c>
    </row>
    <row r="4185" spans="1:3" x14ac:dyDescent="0.25">
      <c r="A4185" s="211" t="str">
        <f t="shared" si="65"/>
        <v/>
      </c>
      <c r="B4185" s="213" t="s">
        <v>7196</v>
      </c>
      <c r="C4185" s="213" t="s">
        <v>7197</v>
      </c>
    </row>
    <row r="4186" spans="1:3" x14ac:dyDescent="0.25">
      <c r="A4186" s="211" t="str">
        <f t="shared" si="65"/>
        <v/>
      </c>
      <c r="B4186" s="213" t="s">
        <v>7198</v>
      </c>
      <c r="C4186" s="213" t="s">
        <v>7199</v>
      </c>
    </row>
    <row r="4187" spans="1:3" x14ac:dyDescent="0.25">
      <c r="A4187" s="211" t="str">
        <f t="shared" si="65"/>
        <v/>
      </c>
      <c r="B4187" s="213" t="s">
        <v>7200</v>
      </c>
      <c r="C4187" s="213" t="s">
        <v>7201</v>
      </c>
    </row>
    <row r="4188" spans="1:3" x14ac:dyDescent="0.25">
      <c r="A4188" s="211" t="str">
        <f t="shared" si="65"/>
        <v/>
      </c>
      <c r="B4188" s="213" t="s">
        <v>7202</v>
      </c>
      <c r="C4188" s="213" t="s">
        <v>7203</v>
      </c>
    </row>
    <row r="4189" spans="1:3" x14ac:dyDescent="0.25">
      <c r="A4189" s="211" t="str">
        <f t="shared" si="65"/>
        <v/>
      </c>
      <c r="B4189" s="213" t="s">
        <v>7204</v>
      </c>
      <c r="C4189" s="213" t="s">
        <v>7205</v>
      </c>
    </row>
    <row r="4190" spans="1:3" x14ac:dyDescent="0.25">
      <c r="A4190" s="211" t="str">
        <f t="shared" si="65"/>
        <v/>
      </c>
      <c r="B4190" s="213" t="s">
        <v>7206</v>
      </c>
      <c r="C4190" s="213" t="s">
        <v>7207</v>
      </c>
    </row>
    <row r="4191" spans="1:3" x14ac:dyDescent="0.25">
      <c r="A4191" s="211" t="str">
        <f t="shared" si="65"/>
        <v/>
      </c>
      <c r="B4191" s="213" t="s">
        <v>7208</v>
      </c>
      <c r="C4191" s="213" t="s">
        <v>7209</v>
      </c>
    </row>
    <row r="4192" spans="1:3" x14ac:dyDescent="0.25">
      <c r="A4192" s="211" t="str">
        <f t="shared" si="65"/>
        <v/>
      </c>
      <c r="B4192" s="213" t="s">
        <v>7210</v>
      </c>
      <c r="C4192" s="213" t="s">
        <v>7211</v>
      </c>
    </row>
    <row r="4193" spans="1:3" x14ac:dyDescent="0.25">
      <c r="A4193" s="211" t="str">
        <f t="shared" si="65"/>
        <v/>
      </c>
      <c r="B4193" s="213" t="s">
        <v>7212</v>
      </c>
      <c r="C4193" s="213" t="s">
        <v>7213</v>
      </c>
    </row>
    <row r="4194" spans="1:3" x14ac:dyDescent="0.25">
      <c r="A4194" s="211" t="str">
        <f t="shared" si="65"/>
        <v/>
      </c>
      <c r="B4194" s="213" t="s">
        <v>7214</v>
      </c>
      <c r="C4194" s="213" t="s">
        <v>7215</v>
      </c>
    </row>
    <row r="4195" spans="1:3" x14ac:dyDescent="0.25">
      <c r="A4195" s="211" t="str">
        <f t="shared" si="65"/>
        <v/>
      </c>
      <c r="B4195" s="213" t="s">
        <v>7216</v>
      </c>
      <c r="C4195" s="213" t="s">
        <v>7217</v>
      </c>
    </row>
    <row r="4196" spans="1:3" x14ac:dyDescent="0.25">
      <c r="A4196" s="211" t="str">
        <f t="shared" si="65"/>
        <v/>
      </c>
      <c r="B4196" s="213" t="s">
        <v>7218</v>
      </c>
      <c r="C4196" s="213" t="s">
        <v>7219</v>
      </c>
    </row>
    <row r="4197" spans="1:3" x14ac:dyDescent="0.25">
      <c r="A4197" s="211" t="str">
        <f t="shared" si="65"/>
        <v/>
      </c>
      <c r="B4197" s="213" t="s">
        <v>7220</v>
      </c>
      <c r="C4197" s="213" t="s">
        <v>7219</v>
      </c>
    </row>
    <row r="4198" spans="1:3" x14ac:dyDescent="0.25">
      <c r="A4198" s="211" t="str">
        <f t="shared" si="65"/>
        <v/>
      </c>
      <c r="B4198" s="213" t="s">
        <v>7221</v>
      </c>
      <c r="C4198" s="213" t="s">
        <v>7222</v>
      </c>
    </row>
    <row r="4199" spans="1:3" x14ac:dyDescent="0.25">
      <c r="A4199" s="211" t="str">
        <f t="shared" si="65"/>
        <v/>
      </c>
      <c r="B4199" s="213" t="s">
        <v>7223</v>
      </c>
      <c r="C4199" s="213" t="s">
        <v>7224</v>
      </c>
    </row>
    <row r="4200" spans="1:3" x14ac:dyDescent="0.25">
      <c r="A4200" s="211" t="str">
        <f t="shared" si="65"/>
        <v/>
      </c>
      <c r="B4200" s="213" t="s">
        <v>7225</v>
      </c>
      <c r="C4200" s="213" t="s">
        <v>7226</v>
      </c>
    </row>
    <row r="4201" spans="1:3" x14ac:dyDescent="0.25">
      <c r="A4201" s="211" t="str">
        <f t="shared" si="65"/>
        <v/>
      </c>
      <c r="B4201" s="213" t="s">
        <v>7227</v>
      </c>
      <c r="C4201" s="213" t="s">
        <v>7228</v>
      </c>
    </row>
    <row r="4202" spans="1:3" x14ac:dyDescent="0.25">
      <c r="A4202" s="211" t="str">
        <f t="shared" si="65"/>
        <v/>
      </c>
      <c r="B4202" s="213" t="s">
        <v>7229</v>
      </c>
      <c r="C4202" s="213" t="s">
        <v>7230</v>
      </c>
    </row>
    <row r="4203" spans="1:3" x14ac:dyDescent="0.25">
      <c r="A4203" s="211" t="str">
        <f t="shared" si="65"/>
        <v/>
      </c>
      <c r="B4203" s="213" t="s">
        <v>7231</v>
      </c>
      <c r="C4203" s="213" t="s">
        <v>7232</v>
      </c>
    </row>
    <row r="4204" spans="1:3" x14ac:dyDescent="0.25">
      <c r="A4204" s="211" t="str">
        <f t="shared" si="65"/>
        <v/>
      </c>
      <c r="B4204" s="213" t="s">
        <v>7233</v>
      </c>
      <c r="C4204" s="213" t="s">
        <v>7234</v>
      </c>
    </row>
    <row r="4205" spans="1:3" x14ac:dyDescent="0.25">
      <c r="A4205" s="211" t="str">
        <f t="shared" si="65"/>
        <v/>
      </c>
      <c r="B4205" s="213" t="s">
        <v>7235</v>
      </c>
      <c r="C4205" s="213" t="s">
        <v>7236</v>
      </c>
    </row>
    <row r="4206" spans="1:3" x14ac:dyDescent="0.25">
      <c r="A4206" s="211" t="str">
        <f t="shared" si="65"/>
        <v/>
      </c>
      <c r="B4206" s="213" t="s">
        <v>7237</v>
      </c>
      <c r="C4206" s="213" t="s">
        <v>7238</v>
      </c>
    </row>
    <row r="4207" spans="1:3" x14ac:dyDescent="0.25">
      <c r="A4207" s="211" t="str">
        <f t="shared" si="65"/>
        <v/>
      </c>
      <c r="B4207" s="213" t="s">
        <v>7239</v>
      </c>
      <c r="C4207" s="213" t="s">
        <v>7240</v>
      </c>
    </row>
    <row r="4208" spans="1:3" x14ac:dyDescent="0.25">
      <c r="A4208" s="211" t="str">
        <f t="shared" si="65"/>
        <v/>
      </c>
      <c r="B4208" s="213" t="s">
        <v>7241</v>
      </c>
      <c r="C4208" s="213" t="s">
        <v>7242</v>
      </c>
    </row>
    <row r="4209" spans="1:3" x14ac:dyDescent="0.25">
      <c r="A4209" s="211" t="str">
        <f t="shared" si="65"/>
        <v/>
      </c>
      <c r="B4209" s="213" t="s">
        <v>7243</v>
      </c>
      <c r="C4209" s="213" t="s">
        <v>7244</v>
      </c>
    </row>
    <row r="4210" spans="1:3" x14ac:dyDescent="0.25">
      <c r="A4210" s="211" t="str">
        <f t="shared" si="65"/>
        <v/>
      </c>
      <c r="B4210" s="213" t="s">
        <v>7245</v>
      </c>
      <c r="C4210" s="213" t="s">
        <v>7246</v>
      </c>
    </row>
    <row r="4211" spans="1:3" x14ac:dyDescent="0.25">
      <c r="A4211" s="211" t="str">
        <f t="shared" si="65"/>
        <v/>
      </c>
      <c r="B4211" s="213" t="s">
        <v>7247</v>
      </c>
      <c r="C4211" s="213" t="s">
        <v>7248</v>
      </c>
    </row>
    <row r="4212" spans="1:3" x14ac:dyDescent="0.25">
      <c r="A4212" s="211" t="str">
        <f t="shared" si="65"/>
        <v/>
      </c>
      <c r="B4212" s="213" t="s">
        <v>7249</v>
      </c>
      <c r="C4212" s="213" t="s">
        <v>7250</v>
      </c>
    </row>
    <row r="4213" spans="1:3" x14ac:dyDescent="0.25">
      <c r="A4213" s="211" t="str">
        <f t="shared" si="65"/>
        <v/>
      </c>
      <c r="B4213" s="213" t="s">
        <v>7251</v>
      </c>
      <c r="C4213" s="213" t="s">
        <v>7252</v>
      </c>
    </row>
    <row r="4214" spans="1:3" x14ac:dyDescent="0.25">
      <c r="A4214" s="211" t="str">
        <f t="shared" si="65"/>
        <v/>
      </c>
      <c r="B4214" s="213" t="s">
        <v>7253</v>
      </c>
      <c r="C4214" s="213" t="s">
        <v>7254</v>
      </c>
    </row>
    <row r="4215" spans="1:3" x14ac:dyDescent="0.25">
      <c r="A4215" s="211" t="str">
        <f t="shared" si="65"/>
        <v/>
      </c>
      <c r="B4215" s="213" t="s">
        <v>7255</v>
      </c>
      <c r="C4215" s="213" t="s">
        <v>7256</v>
      </c>
    </row>
    <row r="4216" spans="1:3" x14ac:dyDescent="0.25">
      <c r="A4216" s="211" t="str">
        <f t="shared" si="65"/>
        <v/>
      </c>
      <c r="B4216" s="213" t="s">
        <v>7257</v>
      </c>
      <c r="C4216" s="213" t="s">
        <v>7256</v>
      </c>
    </row>
    <row r="4217" spans="1:3" x14ac:dyDescent="0.25">
      <c r="A4217" s="211" t="str">
        <f t="shared" si="65"/>
        <v/>
      </c>
      <c r="B4217" s="213" t="s">
        <v>7258</v>
      </c>
      <c r="C4217" s="213" t="s">
        <v>7259</v>
      </c>
    </row>
    <row r="4218" spans="1:3" x14ac:dyDescent="0.25">
      <c r="A4218" s="211" t="str">
        <f t="shared" si="65"/>
        <v/>
      </c>
      <c r="B4218" s="213" t="s">
        <v>13635</v>
      </c>
      <c r="C4218" s="213" t="s">
        <v>13636</v>
      </c>
    </row>
    <row r="4219" spans="1:3" x14ac:dyDescent="0.25">
      <c r="A4219" s="211" t="str">
        <f t="shared" si="65"/>
        <v/>
      </c>
      <c r="B4219" s="213" t="s">
        <v>7260</v>
      </c>
      <c r="C4219" s="213" t="s">
        <v>7261</v>
      </c>
    </row>
    <row r="4220" spans="1:3" x14ac:dyDescent="0.25">
      <c r="A4220" s="211" t="str">
        <f t="shared" si="65"/>
        <v/>
      </c>
      <c r="B4220" s="213" t="s">
        <v>7262</v>
      </c>
      <c r="C4220" s="213" t="s">
        <v>7263</v>
      </c>
    </row>
    <row r="4221" spans="1:3" x14ac:dyDescent="0.25">
      <c r="A4221" s="211" t="str">
        <f t="shared" si="65"/>
        <v/>
      </c>
      <c r="B4221" s="213" t="s">
        <v>7264</v>
      </c>
      <c r="C4221" s="213" t="s">
        <v>7264</v>
      </c>
    </row>
    <row r="4222" spans="1:3" x14ac:dyDescent="0.25">
      <c r="A4222" s="211" t="str">
        <f t="shared" si="65"/>
        <v/>
      </c>
      <c r="B4222" s="213" t="s">
        <v>7265</v>
      </c>
      <c r="C4222" s="213" t="s">
        <v>7266</v>
      </c>
    </row>
    <row r="4223" spans="1:3" x14ac:dyDescent="0.25">
      <c r="A4223" s="211" t="str">
        <f t="shared" si="65"/>
        <v/>
      </c>
      <c r="B4223" s="213" t="s">
        <v>7267</v>
      </c>
      <c r="C4223" s="213" t="s">
        <v>7268</v>
      </c>
    </row>
    <row r="4224" spans="1:3" x14ac:dyDescent="0.25">
      <c r="A4224" s="211" t="str">
        <f t="shared" si="65"/>
        <v/>
      </c>
      <c r="B4224" s="213" t="s">
        <v>7269</v>
      </c>
      <c r="C4224" s="213" t="s">
        <v>7270</v>
      </c>
    </row>
    <row r="4225" spans="1:3" x14ac:dyDescent="0.25">
      <c r="A4225" s="211" t="str">
        <f t="shared" si="65"/>
        <v/>
      </c>
      <c r="B4225" s="213" t="s">
        <v>13870</v>
      </c>
      <c r="C4225" s="213" t="s">
        <v>13871</v>
      </c>
    </row>
    <row r="4226" spans="1:3" x14ac:dyDescent="0.25">
      <c r="A4226" s="211" t="str">
        <f t="shared" ref="A4226:A4289" si="66">IFERROR(B4226*1,"")</f>
        <v/>
      </c>
      <c r="B4226" s="213" t="s">
        <v>7271</v>
      </c>
      <c r="C4226" s="213" t="s">
        <v>7272</v>
      </c>
    </row>
    <row r="4227" spans="1:3" x14ac:dyDescent="0.25">
      <c r="A4227" s="211" t="str">
        <f t="shared" si="66"/>
        <v/>
      </c>
      <c r="B4227" s="213" t="s">
        <v>7273</v>
      </c>
      <c r="C4227" s="213" t="s">
        <v>7274</v>
      </c>
    </row>
    <row r="4228" spans="1:3" x14ac:dyDescent="0.25">
      <c r="A4228" s="211" t="str">
        <f t="shared" si="66"/>
        <v/>
      </c>
      <c r="B4228" s="213" t="s">
        <v>7275</v>
      </c>
      <c r="C4228" s="213" t="s">
        <v>7276</v>
      </c>
    </row>
    <row r="4229" spans="1:3" x14ac:dyDescent="0.25">
      <c r="A4229" s="211" t="str">
        <f t="shared" si="66"/>
        <v/>
      </c>
      <c r="B4229" s="213" t="s">
        <v>7277</v>
      </c>
      <c r="C4229" s="213" t="s">
        <v>7278</v>
      </c>
    </row>
    <row r="4230" spans="1:3" x14ac:dyDescent="0.25">
      <c r="A4230" s="211" t="str">
        <f t="shared" si="66"/>
        <v/>
      </c>
      <c r="B4230" s="213" t="s">
        <v>7279</v>
      </c>
      <c r="C4230" s="213" t="s">
        <v>7280</v>
      </c>
    </row>
    <row r="4231" spans="1:3" x14ac:dyDescent="0.25">
      <c r="A4231" s="211" t="str">
        <f t="shared" si="66"/>
        <v/>
      </c>
      <c r="B4231" s="213" t="s">
        <v>7281</v>
      </c>
      <c r="C4231" s="213" t="s">
        <v>7282</v>
      </c>
    </row>
    <row r="4232" spans="1:3" x14ac:dyDescent="0.25">
      <c r="A4232" s="211" t="str">
        <f t="shared" si="66"/>
        <v/>
      </c>
      <c r="B4232" s="213" t="s">
        <v>7283</v>
      </c>
      <c r="C4232" s="213" t="s">
        <v>7284</v>
      </c>
    </row>
    <row r="4233" spans="1:3" x14ac:dyDescent="0.25">
      <c r="A4233" s="211" t="str">
        <f t="shared" si="66"/>
        <v/>
      </c>
      <c r="B4233" s="213" t="s">
        <v>7285</v>
      </c>
      <c r="C4233" s="213" t="s">
        <v>7286</v>
      </c>
    </row>
    <row r="4234" spans="1:3" x14ac:dyDescent="0.25">
      <c r="A4234" s="211" t="str">
        <f t="shared" si="66"/>
        <v/>
      </c>
      <c r="B4234" s="213" t="s">
        <v>7287</v>
      </c>
      <c r="C4234" s="213" t="s">
        <v>7288</v>
      </c>
    </row>
    <row r="4235" spans="1:3" x14ac:dyDescent="0.25">
      <c r="A4235" s="211" t="str">
        <f t="shared" si="66"/>
        <v/>
      </c>
      <c r="B4235" s="213" t="s">
        <v>7289</v>
      </c>
      <c r="C4235" s="213" t="s">
        <v>7290</v>
      </c>
    </row>
    <row r="4236" spans="1:3" x14ac:dyDescent="0.25">
      <c r="A4236" s="211" t="str">
        <f t="shared" si="66"/>
        <v/>
      </c>
      <c r="B4236" s="213" t="s">
        <v>7291</v>
      </c>
      <c r="C4236" s="213" t="s">
        <v>7292</v>
      </c>
    </row>
    <row r="4237" spans="1:3" x14ac:dyDescent="0.25">
      <c r="A4237" s="211" t="str">
        <f t="shared" si="66"/>
        <v/>
      </c>
      <c r="B4237" s="213" t="s">
        <v>7293</v>
      </c>
      <c r="C4237" s="213" t="s">
        <v>7294</v>
      </c>
    </row>
    <row r="4238" spans="1:3" x14ac:dyDescent="0.25">
      <c r="A4238" s="211" t="str">
        <f t="shared" si="66"/>
        <v/>
      </c>
      <c r="B4238" s="213" t="s">
        <v>7295</v>
      </c>
      <c r="C4238" s="213" t="s">
        <v>7296</v>
      </c>
    </row>
    <row r="4239" spans="1:3" x14ac:dyDescent="0.25">
      <c r="A4239" s="211" t="str">
        <f t="shared" si="66"/>
        <v/>
      </c>
      <c r="B4239" s="213" t="s">
        <v>7297</v>
      </c>
      <c r="C4239" s="213" t="s">
        <v>7298</v>
      </c>
    </row>
    <row r="4240" spans="1:3" x14ac:dyDescent="0.25">
      <c r="A4240" s="211" t="str">
        <f t="shared" si="66"/>
        <v/>
      </c>
      <c r="B4240" s="213" t="s">
        <v>7299</v>
      </c>
      <c r="C4240" s="213" t="s">
        <v>7300</v>
      </c>
    </row>
    <row r="4241" spans="1:3" x14ac:dyDescent="0.25">
      <c r="A4241" s="211" t="str">
        <f t="shared" si="66"/>
        <v/>
      </c>
      <c r="B4241" s="213" t="s">
        <v>7301</v>
      </c>
      <c r="C4241" s="213" t="s">
        <v>7302</v>
      </c>
    </row>
    <row r="4242" spans="1:3" x14ac:dyDescent="0.25">
      <c r="A4242" s="211" t="str">
        <f t="shared" si="66"/>
        <v/>
      </c>
      <c r="B4242" s="213" t="s">
        <v>7303</v>
      </c>
      <c r="C4242" s="213" t="s">
        <v>7302</v>
      </c>
    </row>
    <row r="4243" spans="1:3" x14ac:dyDescent="0.25">
      <c r="A4243" s="211" t="str">
        <f t="shared" si="66"/>
        <v/>
      </c>
      <c r="B4243" s="213" t="s">
        <v>7304</v>
      </c>
      <c r="C4243" s="213" t="s">
        <v>7305</v>
      </c>
    </row>
    <row r="4244" spans="1:3" x14ac:dyDescent="0.25">
      <c r="A4244" s="211" t="str">
        <f t="shared" si="66"/>
        <v/>
      </c>
      <c r="B4244" s="213" t="s">
        <v>7306</v>
      </c>
      <c r="C4244" s="213" t="s">
        <v>7307</v>
      </c>
    </row>
    <row r="4245" spans="1:3" x14ac:dyDescent="0.25">
      <c r="A4245" s="211" t="str">
        <f t="shared" si="66"/>
        <v/>
      </c>
      <c r="B4245" s="213" t="s">
        <v>7308</v>
      </c>
      <c r="C4245" s="213" t="s">
        <v>7309</v>
      </c>
    </row>
    <row r="4246" spans="1:3" x14ac:dyDescent="0.25">
      <c r="A4246" s="211" t="str">
        <f t="shared" si="66"/>
        <v/>
      </c>
      <c r="B4246" s="213" t="s">
        <v>13872</v>
      </c>
      <c r="C4246" s="213" t="s">
        <v>13873</v>
      </c>
    </row>
    <row r="4247" spans="1:3" x14ac:dyDescent="0.25">
      <c r="A4247" s="211" t="str">
        <f t="shared" si="66"/>
        <v/>
      </c>
      <c r="B4247" s="213" t="s">
        <v>13874</v>
      </c>
      <c r="C4247" s="213" t="s">
        <v>13875</v>
      </c>
    </row>
    <row r="4248" spans="1:3" x14ac:dyDescent="0.25">
      <c r="A4248" s="211" t="str">
        <f t="shared" si="66"/>
        <v/>
      </c>
      <c r="B4248" s="213" t="s">
        <v>7310</v>
      </c>
      <c r="C4248" s="213" t="s">
        <v>7311</v>
      </c>
    </row>
    <row r="4249" spans="1:3" x14ac:dyDescent="0.25">
      <c r="A4249" s="211" t="str">
        <f t="shared" si="66"/>
        <v/>
      </c>
      <c r="B4249" s="213" t="s">
        <v>7312</v>
      </c>
      <c r="C4249" s="213" t="s">
        <v>7313</v>
      </c>
    </row>
    <row r="4250" spans="1:3" x14ac:dyDescent="0.25">
      <c r="A4250" s="211" t="str">
        <f t="shared" si="66"/>
        <v/>
      </c>
      <c r="B4250" s="213" t="s">
        <v>7314</v>
      </c>
      <c r="C4250" s="213" t="s">
        <v>7315</v>
      </c>
    </row>
    <row r="4251" spans="1:3" x14ac:dyDescent="0.25">
      <c r="A4251" s="211" t="str">
        <f t="shared" si="66"/>
        <v/>
      </c>
      <c r="B4251" s="213" t="s">
        <v>13876</v>
      </c>
      <c r="C4251" s="213" t="s">
        <v>13877</v>
      </c>
    </row>
    <row r="4252" spans="1:3" x14ac:dyDescent="0.25">
      <c r="A4252" s="211" t="str">
        <f t="shared" si="66"/>
        <v/>
      </c>
      <c r="B4252" s="213" t="s">
        <v>13878</v>
      </c>
      <c r="C4252" s="213" t="s">
        <v>13879</v>
      </c>
    </row>
    <row r="4253" spans="1:3" x14ac:dyDescent="0.25">
      <c r="A4253" s="211" t="str">
        <f t="shared" si="66"/>
        <v/>
      </c>
      <c r="B4253" s="213" t="s">
        <v>13880</v>
      </c>
      <c r="C4253" s="213" t="s">
        <v>13881</v>
      </c>
    </row>
    <row r="4254" spans="1:3" x14ac:dyDescent="0.25">
      <c r="A4254" s="211" t="str">
        <f t="shared" si="66"/>
        <v/>
      </c>
      <c r="B4254" s="213" t="s">
        <v>7316</v>
      </c>
      <c r="C4254" s="213" t="s">
        <v>7317</v>
      </c>
    </row>
    <row r="4255" spans="1:3" x14ac:dyDescent="0.25">
      <c r="A4255" s="211" t="str">
        <f t="shared" si="66"/>
        <v/>
      </c>
      <c r="B4255" s="213" t="s">
        <v>7318</v>
      </c>
      <c r="C4255" s="213" t="s">
        <v>7189</v>
      </c>
    </row>
    <row r="4256" spans="1:3" x14ac:dyDescent="0.25">
      <c r="A4256" s="211" t="str">
        <f t="shared" si="66"/>
        <v/>
      </c>
      <c r="B4256" s="213" t="s">
        <v>7319</v>
      </c>
      <c r="C4256" s="213" t="s">
        <v>7320</v>
      </c>
    </row>
    <row r="4257" spans="1:3" x14ac:dyDescent="0.25">
      <c r="A4257" s="211" t="str">
        <f t="shared" si="66"/>
        <v/>
      </c>
      <c r="B4257" s="213" t="s">
        <v>7321</v>
      </c>
      <c r="C4257" s="213" t="s">
        <v>7322</v>
      </c>
    </row>
    <row r="4258" spans="1:3" x14ac:dyDescent="0.25">
      <c r="A4258" s="211" t="str">
        <f t="shared" si="66"/>
        <v/>
      </c>
      <c r="B4258" s="213" t="s">
        <v>7323</v>
      </c>
      <c r="C4258" s="213" t="s">
        <v>7324</v>
      </c>
    </row>
    <row r="4259" spans="1:3" x14ac:dyDescent="0.25">
      <c r="A4259" s="211" t="str">
        <f t="shared" si="66"/>
        <v/>
      </c>
      <c r="B4259" s="213" t="s">
        <v>7325</v>
      </c>
      <c r="C4259" s="213" t="s">
        <v>7326</v>
      </c>
    </row>
    <row r="4260" spans="1:3" x14ac:dyDescent="0.25">
      <c r="A4260" s="211" t="str">
        <f t="shared" si="66"/>
        <v/>
      </c>
      <c r="B4260" s="213" t="s">
        <v>7327</v>
      </c>
      <c r="C4260" s="213" t="s">
        <v>7328</v>
      </c>
    </row>
    <row r="4261" spans="1:3" x14ac:dyDescent="0.25">
      <c r="A4261" s="211" t="str">
        <f t="shared" si="66"/>
        <v/>
      </c>
      <c r="B4261" s="213" t="s">
        <v>7329</v>
      </c>
      <c r="C4261" s="213" t="s">
        <v>13637</v>
      </c>
    </row>
    <row r="4262" spans="1:3" x14ac:dyDescent="0.25">
      <c r="A4262" s="211" t="str">
        <f t="shared" si="66"/>
        <v/>
      </c>
      <c r="B4262" s="213" t="s">
        <v>13638</v>
      </c>
      <c r="C4262" s="213" t="s">
        <v>13639</v>
      </c>
    </row>
    <row r="4263" spans="1:3" x14ac:dyDescent="0.25">
      <c r="A4263" s="211" t="str">
        <f t="shared" si="66"/>
        <v/>
      </c>
      <c r="B4263" s="213" t="s">
        <v>7330</v>
      </c>
      <c r="C4263" s="213" t="s">
        <v>7331</v>
      </c>
    </row>
    <row r="4264" spans="1:3" x14ac:dyDescent="0.25">
      <c r="A4264" s="211" t="str">
        <f t="shared" si="66"/>
        <v/>
      </c>
      <c r="B4264" s="213" t="s">
        <v>7332</v>
      </c>
      <c r="C4264" s="212"/>
    </row>
    <row r="4265" spans="1:3" x14ac:dyDescent="0.25">
      <c r="A4265" s="211" t="str">
        <f t="shared" si="66"/>
        <v/>
      </c>
      <c r="B4265" s="213" t="s">
        <v>7333</v>
      </c>
      <c r="C4265" s="213" t="s">
        <v>7334</v>
      </c>
    </row>
    <row r="4266" spans="1:3" x14ac:dyDescent="0.25">
      <c r="A4266" s="211" t="str">
        <f t="shared" si="66"/>
        <v/>
      </c>
      <c r="B4266" s="213" t="s">
        <v>7335</v>
      </c>
      <c r="C4266" s="213" t="s">
        <v>7207</v>
      </c>
    </row>
    <row r="4267" spans="1:3" x14ac:dyDescent="0.25">
      <c r="A4267" s="211" t="str">
        <f t="shared" si="66"/>
        <v/>
      </c>
      <c r="B4267" s="213" t="s">
        <v>7336</v>
      </c>
      <c r="C4267" s="213" t="s">
        <v>7336</v>
      </c>
    </row>
    <row r="4268" spans="1:3" x14ac:dyDescent="0.25">
      <c r="A4268" s="211" t="str">
        <f t="shared" si="66"/>
        <v/>
      </c>
      <c r="B4268" s="213" t="s">
        <v>85</v>
      </c>
      <c r="C4268" s="213" t="s">
        <v>7337</v>
      </c>
    </row>
    <row r="4269" spans="1:3" x14ac:dyDescent="0.25">
      <c r="A4269" s="211" t="str">
        <f t="shared" si="66"/>
        <v/>
      </c>
      <c r="B4269" s="213" t="s">
        <v>7338</v>
      </c>
      <c r="C4269" s="213" t="s">
        <v>7339</v>
      </c>
    </row>
    <row r="4270" spans="1:3" x14ac:dyDescent="0.25">
      <c r="A4270" s="211" t="str">
        <f t="shared" si="66"/>
        <v/>
      </c>
      <c r="B4270" s="213" t="s">
        <v>13640</v>
      </c>
      <c r="C4270" s="213" t="s">
        <v>13641</v>
      </c>
    </row>
    <row r="4271" spans="1:3" x14ac:dyDescent="0.25">
      <c r="A4271" s="211" t="str">
        <f t="shared" si="66"/>
        <v/>
      </c>
      <c r="B4271" s="213" t="s">
        <v>7340</v>
      </c>
      <c r="C4271" s="213" t="s">
        <v>7341</v>
      </c>
    </row>
    <row r="4272" spans="1:3" x14ac:dyDescent="0.25">
      <c r="A4272" s="211" t="str">
        <f t="shared" si="66"/>
        <v/>
      </c>
      <c r="B4272" s="213" t="s">
        <v>7342</v>
      </c>
      <c r="C4272" s="213" t="s">
        <v>7343</v>
      </c>
    </row>
    <row r="4273" spans="1:3" x14ac:dyDescent="0.25">
      <c r="A4273" s="211" t="str">
        <f t="shared" si="66"/>
        <v/>
      </c>
      <c r="B4273" s="213" t="s">
        <v>7344</v>
      </c>
      <c r="C4273" s="213" t="s">
        <v>7345</v>
      </c>
    </row>
    <row r="4274" spans="1:3" x14ac:dyDescent="0.25">
      <c r="A4274" s="211" t="str">
        <f t="shared" si="66"/>
        <v/>
      </c>
      <c r="B4274" s="213" t="s">
        <v>7346</v>
      </c>
      <c r="C4274" s="213" t="s">
        <v>7346</v>
      </c>
    </row>
    <row r="4275" spans="1:3" x14ac:dyDescent="0.25">
      <c r="A4275" s="211" t="str">
        <f t="shared" si="66"/>
        <v/>
      </c>
      <c r="B4275" s="213" t="s">
        <v>7347</v>
      </c>
      <c r="C4275" s="213" t="s">
        <v>7348</v>
      </c>
    </row>
    <row r="4276" spans="1:3" x14ac:dyDescent="0.25">
      <c r="A4276" s="211" t="str">
        <f t="shared" si="66"/>
        <v/>
      </c>
      <c r="B4276" s="213" t="s">
        <v>7349</v>
      </c>
      <c r="C4276" s="213" t="s">
        <v>7350</v>
      </c>
    </row>
    <row r="4277" spans="1:3" x14ac:dyDescent="0.25">
      <c r="A4277" s="211" t="str">
        <f t="shared" si="66"/>
        <v/>
      </c>
      <c r="B4277" s="213" t="s">
        <v>7351</v>
      </c>
      <c r="C4277" s="213" t="s">
        <v>7352</v>
      </c>
    </row>
    <row r="4278" spans="1:3" x14ac:dyDescent="0.25">
      <c r="A4278" s="211" t="str">
        <f t="shared" si="66"/>
        <v/>
      </c>
      <c r="B4278" s="213" t="s">
        <v>7353</v>
      </c>
      <c r="C4278" s="213" t="s">
        <v>7354</v>
      </c>
    </row>
    <row r="4279" spans="1:3" x14ac:dyDescent="0.25">
      <c r="A4279" s="211" t="str">
        <f t="shared" si="66"/>
        <v/>
      </c>
      <c r="B4279" s="213" t="s">
        <v>7355</v>
      </c>
      <c r="C4279" s="213" t="s">
        <v>7356</v>
      </c>
    </row>
    <row r="4280" spans="1:3" x14ac:dyDescent="0.25">
      <c r="A4280" s="211" t="str">
        <f t="shared" si="66"/>
        <v/>
      </c>
      <c r="B4280" s="213" t="s">
        <v>7357</v>
      </c>
      <c r="C4280" s="213" t="s">
        <v>7358</v>
      </c>
    </row>
    <row r="4281" spans="1:3" x14ac:dyDescent="0.25">
      <c r="A4281" s="211" t="str">
        <f t="shared" si="66"/>
        <v/>
      </c>
      <c r="B4281" s="213" t="s">
        <v>7359</v>
      </c>
      <c r="C4281" s="213" t="s">
        <v>85</v>
      </c>
    </row>
    <row r="4282" spans="1:3" x14ac:dyDescent="0.25">
      <c r="A4282" s="211" t="str">
        <f t="shared" si="66"/>
        <v/>
      </c>
      <c r="B4282" s="213" t="s">
        <v>7360</v>
      </c>
      <c r="C4282" s="213" t="s">
        <v>7361</v>
      </c>
    </row>
    <row r="4283" spans="1:3" x14ac:dyDescent="0.25">
      <c r="A4283" s="211" t="str">
        <f t="shared" si="66"/>
        <v/>
      </c>
      <c r="B4283" s="213" t="s">
        <v>919</v>
      </c>
      <c r="C4283" s="213" t="s">
        <v>13882</v>
      </c>
    </row>
    <row r="4284" spans="1:3" x14ac:dyDescent="0.25">
      <c r="A4284" s="211" t="str">
        <f t="shared" si="66"/>
        <v/>
      </c>
      <c r="B4284" s="213" t="s">
        <v>7362</v>
      </c>
      <c r="C4284" s="213" t="s">
        <v>7363</v>
      </c>
    </row>
    <row r="4285" spans="1:3" x14ac:dyDescent="0.25">
      <c r="A4285" s="211" t="str">
        <f t="shared" si="66"/>
        <v/>
      </c>
      <c r="B4285" s="213" t="s">
        <v>7364</v>
      </c>
      <c r="C4285" s="213" t="s">
        <v>7365</v>
      </c>
    </row>
    <row r="4286" spans="1:3" x14ac:dyDescent="0.25">
      <c r="A4286" s="211" t="str">
        <f t="shared" si="66"/>
        <v/>
      </c>
      <c r="B4286" s="213" t="s">
        <v>13883</v>
      </c>
      <c r="C4286" s="213" t="s">
        <v>13884</v>
      </c>
    </row>
    <row r="4287" spans="1:3" x14ac:dyDescent="0.25">
      <c r="A4287" s="211" t="str">
        <f t="shared" si="66"/>
        <v/>
      </c>
      <c r="B4287" s="213" t="s">
        <v>13885</v>
      </c>
      <c r="C4287" s="213" t="s">
        <v>13886</v>
      </c>
    </row>
    <row r="4288" spans="1:3" x14ac:dyDescent="0.25">
      <c r="A4288" s="211" t="str">
        <f t="shared" si="66"/>
        <v/>
      </c>
      <c r="B4288" s="213" t="s">
        <v>7366</v>
      </c>
      <c r="C4288" s="213" t="s">
        <v>7367</v>
      </c>
    </row>
    <row r="4289" spans="1:3" x14ac:dyDescent="0.25">
      <c r="A4289" s="211" t="str">
        <f t="shared" si="66"/>
        <v/>
      </c>
      <c r="B4289" s="213" t="s">
        <v>7368</v>
      </c>
      <c r="C4289" s="213" t="s">
        <v>7369</v>
      </c>
    </row>
    <row r="4290" spans="1:3" x14ac:dyDescent="0.25">
      <c r="A4290" s="211" t="str">
        <f t="shared" ref="A4290:A4316" si="67">IFERROR(B4290*1,"")</f>
        <v/>
      </c>
      <c r="B4290" s="213" t="s">
        <v>7370</v>
      </c>
      <c r="C4290" s="213" t="s">
        <v>7371</v>
      </c>
    </row>
    <row r="4291" spans="1:3" x14ac:dyDescent="0.25">
      <c r="A4291" s="211" t="str">
        <f t="shared" si="67"/>
        <v/>
      </c>
      <c r="B4291" s="213" t="s">
        <v>7372</v>
      </c>
      <c r="C4291" s="213" t="s">
        <v>7373</v>
      </c>
    </row>
    <row r="4292" spans="1:3" x14ac:dyDescent="0.25">
      <c r="A4292" s="211" t="str">
        <f t="shared" si="67"/>
        <v/>
      </c>
      <c r="B4292" s="213" t="s">
        <v>1384</v>
      </c>
      <c r="C4292" s="213" t="s">
        <v>1384</v>
      </c>
    </row>
    <row r="4293" spans="1:3" x14ac:dyDescent="0.25">
      <c r="A4293" s="211" t="str">
        <f t="shared" si="67"/>
        <v/>
      </c>
      <c r="B4293" s="213" t="s">
        <v>7374</v>
      </c>
      <c r="C4293" s="213" t="s">
        <v>7375</v>
      </c>
    </row>
    <row r="4294" spans="1:3" x14ac:dyDescent="0.25">
      <c r="A4294" s="211" t="str">
        <f t="shared" si="67"/>
        <v/>
      </c>
      <c r="B4294" s="213" t="s">
        <v>13887</v>
      </c>
      <c r="C4294" s="213" t="s">
        <v>13888</v>
      </c>
    </row>
    <row r="4295" spans="1:3" x14ac:dyDescent="0.25">
      <c r="A4295" s="211" t="str">
        <f t="shared" si="67"/>
        <v/>
      </c>
      <c r="B4295" s="213" t="s">
        <v>13889</v>
      </c>
      <c r="C4295" s="213" t="s">
        <v>13890</v>
      </c>
    </row>
    <row r="4296" spans="1:3" x14ac:dyDescent="0.25">
      <c r="A4296" s="211" t="str">
        <f t="shared" si="67"/>
        <v/>
      </c>
      <c r="B4296" s="213" t="s">
        <v>7376</v>
      </c>
      <c r="C4296" s="213" t="s">
        <v>7377</v>
      </c>
    </row>
    <row r="4297" spans="1:3" x14ac:dyDescent="0.25">
      <c r="A4297" s="211" t="str">
        <f t="shared" si="67"/>
        <v/>
      </c>
      <c r="B4297" s="213" t="s">
        <v>7378</v>
      </c>
      <c r="C4297" s="213" t="s">
        <v>7379</v>
      </c>
    </row>
    <row r="4298" spans="1:3" x14ac:dyDescent="0.25">
      <c r="A4298" s="211" t="str">
        <f t="shared" si="67"/>
        <v/>
      </c>
      <c r="B4298" s="213" t="s">
        <v>7380</v>
      </c>
      <c r="C4298" s="213" t="s">
        <v>7380</v>
      </c>
    </row>
    <row r="4299" spans="1:3" x14ac:dyDescent="0.25">
      <c r="A4299" s="211" t="str">
        <f t="shared" si="67"/>
        <v/>
      </c>
      <c r="B4299" s="213" t="s">
        <v>13642</v>
      </c>
      <c r="C4299" s="213" t="s">
        <v>13642</v>
      </c>
    </row>
    <row r="4300" spans="1:3" x14ac:dyDescent="0.25">
      <c r="A4300" s="211" t="str">
        <f t="shared" si="67"/>
        <v/>
      </c>
      <c r="B4300" s="213" t="s">
        <v>7381</v>
      </c>
      <c r="C4300" s="213" t="s">
        <v>7381</v>
      </c>
    </row>
    <row r="4301" spans="1:3" x14ac:dyDescent="0.25">
      <c r="A4301" s="211" t="str">
        <f t="shared" si="67"/>
        <v/>
      </c>
      <c r="B4301" s="213" t="s">
        <v>7382</v>
      </c>
      <c r="C4301" s="213" t="s">
        <v>7383</v>
      </c>
    </row>
    <row r="4302" spans="1:3" x14ac:dyDescent="0.25">
      <c r="A4302" s="211" t="str">
        <f t="shared" si="67"/>
        <v/>
      </c>
      <c r="B4302" s="213" t="s">
        <v>7384</v>
      </c>
      <c r="C4302" s="213" t="s">
        <v>7385</v>
      </c>
    </row>
    <row r="4303" spans="1:3" x14ac:dyDescent="0.25">
      <c r="A4303" s="211" t="str">
        <f t="shared" si="67"/>
        <v/>
      </c>
      <c r="B4303" s="213" t="s">
        <v>13891</v>
      </c>
      <c r="C4303" s="213" t="s">
        <v>13892</v>
      </c>
    </row>
    <row r="4304" spans="1:3" x14ac:dyDescent="0.25">
      <c r="A4304" s="211" t="str">
        <f t="shared" si="67"/>
        <v/>
      </c>
      <c r="B4304" s="213" t="s">
        <v>13893</v>
      </c>
      <c r="C4304" s="213" t="s">
        <v>13894</v>
      </c>
    </row>
    <row r="4305" spans="1:3" x14ac:dyDescent="0.25">
      <c r="A4305" s="211" t="str">
        <f t="shared" si="67"/>
        <v/>
      </c>
      <c r="B4305" s="213" t="s">
        <v>13895</v>
      </c>
      <c r="C4305" s="213" t="s">
        <v>13896</v>
      </c>
    </row>
    <row r="4306" spans="1:3" x14ac:dyDescent="0.25">
      <c r="A4306" s="211" t="str">
        <f t="shared" si="67"/>
        <v/>
      </c>
      <c r="B4306" s="213" t="s">
        <v>13897</v>
      </c>
      <c r="C4306" s="213" t="s">
        <v>13898</v>
      </c>
    </row>
    <row r="4307" spans="1:3" x14ac:dyDescent="0.25">
      <c r="A4307" s="211" t="str">
        <f t="shared" si="67"/>
        <v/>
      </c>
      <c r="B4307" s="213" t="s">
        <v>13899</v>
      </c>
      <c r="C4307" s="213" t="s">
        <v>13900</v>
      </c>
    </row>
    <row r="4308" spans="1:3" x14ac:dyDescent="0.25">
      <c r="A4308" s="211" t="str">
        <f t="shared" si="67"/>
        <v/>
      </c>
      <c r="B4308" s="213" t="s">
        <v>7386</v>
      </c>
      <c r="C4308" s="212"/>
    </row>
    <row r="4309" spans="1:3" x14ac:dyDescent="0.25">
      <c r="A4309" s="211" t="str">
        <f t="shared" si="67"/>
        <v/>
      </c>
      <c r="B4309" s="213" t="s">
        <v>13901</v>
      </c>
      <c r="C4309" s="213" t="s">
        <v>13902</v>
      </c>
    </row>
    <row r="4310" spans="1:3" x14ac:dyDescent="0.25">
      <c r="A4310" s="211" t="str">
        <f t="shared" si="67"/>
        <v/>
      </c>
      <c r="B4310" s="213" t="s">
        <v>7387</v>
      </c>
      <c r="C4310" s="213" t="s">
        <v>7388</v>
      </c>
    </row>
    <row r="4311" spans="1:3" x14ac:dyDescent="0.25">
      <c r="A4311" s="211" t="str">
        <f t="shared" si="67"/>
        <v/>
      </c>
      <c r="B4311" s="213" t="s">
        <v>7389</v>
      </c>
      <c r="C4311" s="213" t="s">
        <v>7390</v>
      </c>
    </row>
    <row r="4312" spans="1:3" x14ac:dyDescent="0.25">
      <c r="A4312" s="211" t="str">
        <f t="shared" si="67"/>
        <v/>
      </c>
      <c r="B4312" s="213" t="s">
        <v>7391</v>
      </c>
      <c r="C4312" s="213" t="s">
        <v>7392</v>
      </c>
    </row>
    <row r="4313" spans="1:3" x14ac:dyDescent="0.25">
      <c r="A4313" s="211" t="str">
        <f t="shared" si="67"/>
        <v/>
      </c>
      <c r="B4313" s="213" t="s">
        <v>13903</v>
      </c>
      <c r="C4313" s="213" t="s">
        <v>13904</v>
      </c>
    </row>
    <row r="4314" spans="1:3" x14ac:dyDescent="0.25">
      <c r="A4314" s="211" t="str">
        <f t="shared" si="67"/>
        <v/>
      </c>
      <c r="B4314" s="213" t="s">
        <v>13905</v>
      </c>
      <c r="C4314" s="212"/>
    </row>
    <row r="4315" spans="1:3" x14ac:dyDescent="0.25">
      <c r="A4315" s="211" t="str">
        <f t="shared" si="67"/>
        <v/>
      </c>
      <c r="B4315" s="213" t="s">
        <v>13643</v>
      </c>
      <c r="C4315" s="213" t="s">
        <v>13644</v>
      </c>
    </row>
    <row r="4316" spans="1:3" x14ac:dyDescent="0.25">
      <c r="A4316" s="211" t="str">
        <f t="shared" si="67"/>
        <v/>
      </c>
      <c r="B4316" s="213" t="s">
        <v>13906</v>
      </c>
      <c r="C4316" s="212"/>
    </row>
  </sheetData>
  <sheetProtection password="C68E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13</vt:i4>
      </vt:variant>
      <vt:variant>
        <vt:lpstr>Rangos con nombre</vt:lpstr>
      </vt:variant>
      <vt:variant>
        <vt:i4>3</vt:i4>
      </vt:variant>
    </vt:vector>
  </HeadingPairs>
  <TitlesOfParts>
    <vt:vector size="16" baseType="lpstr">
      <vt:lpstr>Planilla</vt:lpstr>
      <vt:lpstr>Depósito</vt:lpstr>
      <vt:lpstr>Proforma</vt:lpstr>
      <vt:lpstr>A Domicilio</vt:lpstr>
      <vt:lpstr>A Sucursal</vt:lpstr>
      <vt:lpstr>Pago en Destino</vt:lpstr>
      <vt:lpstr>Retiro en Local</vt:lpstr>
      <vt:lpstr>Sucursales</vt:lpstr>
      <vt:lpstr>Capturas</vt:lpstr>
      <vt:lpstr>Talles y Colores</vt:lpstr>
      <vt:lpstr>Opciones</vt:lpstr>
      <vt:lpstr>Datos</vt:lpstr>
      <vt:lpstr>LINCE</vt:lpstr>
      <vt:lpstr>Planilla!Área_de_extracción</vt:lpstr>
      <vt:lpstr>Depósito!Área_de_impresión</vt:lpstr>
      <vt:lpstr>Planilla!Área_de_impresión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electronica</cp:lastModifiedBy>
  <cp:lastPrinted>2023-08-25T13:27:05Z</cp:lastPrinted>
  <dcterms:created xsi:type="dcterms:W3CDTF">2020-05-12T14:02:24Z</dcterms:created>
  <dcterms:modified xsi:type="dcterms:W3CDTF">2023-09-13T16:23:05Z</dcterms:modified>
</cp:coreProperties>
</file>