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16" i="15"/>
  <c r="B16" i="15"/>
  <c r="G6" i="15"/>
  <c r="B6" i="15"/>
  <c r="G15" i="15"/>
  <c r="B15" i="15"/>
  <c r="G13" i="15"/>
  <c r="B13" i="15"/>
  <c r="G12" i="15"/>
  <c r="B12" i="15"/>
  <c r="G11" i="15"/>
  <c r="B11" i="15"/>
  <c r="G10" i="15"/>
  <c r="B10" i="15"/>
  <c r="G9" i="15"/>
  <c r="B9" i="15"/>
  <c r="G8" i="15"/>
  <c r="B8" i="15"/>
  <c r="G5" i="15"/>
  <c r="B5" i="15"/>
  <c r="G4" i="15"/>
  <c r="B4" i="15"/>
  <c r="G3" i="15"/>
  <c r="B3" i="15"/>
  <c r="G2" i="15"/>
  <c r="B2" i="15"/>
  <c r="G14" i="15"/>
  <c r="B14" i="15"/>
  <c r="G7" i="15"/>
  <c r="B7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<sst xmlns="http://schemas.openxmlformats.org/spreadsheetml/2006/main" count="22375" uniqueCount="14190">
  <si>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</si>
  <si>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</si>
  <si>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</si>
  <si>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</si>
  <si>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</si>
  <si>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</si>
  <si>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</si>
  <si>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</si>
  <si>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</si>
  <si>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</si>
  <si>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</si>
  <si>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</si>
  <si>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</si>
  <si>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</si>
  <si>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</si>
  <si>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</si>
  <si>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</si>
  <si>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</si>
  <si>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</si>
  <si>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</si>
  <si>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</si>
  <si>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</si>
  <si>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</si>
  <si>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</si>
  <si>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</si>
  <si>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</si>
  <si>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</si>
  <si>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</si>
  <si>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</si>
  <si>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</si>
  <si>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</si>
  <si>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</si>
  <si>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</si>
  <si>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</si>
  <si>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</si>
  <si>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</si>
  <si>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</si>
  <si>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</si>
  <si>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</si>
  <si>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</si>
  <si>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</si>
  <si>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</si>
  <si>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</si>
  <si>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</si>
  <si>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</si>
  <si>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</si>
  <si>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</si>
  <si>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</si>
  <si>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</si>
  <si>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</si>
  <si>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</si>
  <si>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</si>
  <si>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</si>
  <si>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</si>
  <si>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</si>
  <si>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</si>
  <si>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</si>
  <si>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</si>
  <si>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</si>
  <si>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</si>
  <si>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</si>
  <si>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</si>
  <si>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</si>
  <si>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</si>
  <si>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</si>
  <si>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</si>
  <si>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</si>
  <si>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</si>
  <si>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</si>
  <si>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</si>
  <si>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</si>
  <si>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</si>
  <si>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</si>
  <si>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</si>
  <si>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</si>
  <si>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</si>
  <si>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</si>
  <si>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</si>
  <si>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</si>
  <si>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</si>
  <si>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</si>
  <si>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</si>
  <si>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</si>
  <si>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</si>
  <si>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</si>
  <si>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</si>
  <si>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</si>
  <si>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</si>
  <si>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</si>
  <si>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</si>
  <si>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</si>
  <si>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</si>
  <si>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</si>
  <si>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</si>
  <si>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</si>
  <si>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</si>
  <si>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</si>
  <si>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</si>
  <si>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</si>
  <si>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</si>
  <si>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</si>
  <si>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</si>
  <si>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</si>
  <si>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</si>
  <si>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</si>
  <si>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</si>
  <si>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</si>
  <si>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</si>
  <si>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</si>
  <si>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</si>
  <si>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</si>
  <si>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</si>
  <si>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</si>
  <si>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</si>
  <si>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</si>
  <si>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</si>
  <si>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</si>
  <si>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</si>
  <si>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</si>
  <si>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</si>
  <si>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</si>
  <si>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</si>
  <si>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</si>
  <si>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</si>
  <si>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</si>
  <si>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</si>
  <si>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</si>
  <si>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</si>
  <si>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</si>
  <si>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</si>
  <si>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</si>
  <si>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</si>
  <si>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</si>
  <si>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</si>
  <si>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</si>
  <si>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</si>
  <si>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</si>
  <si>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</si>
  <si>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</si>
  <si>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</si>
  <si>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</si>
  <si>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</si>
  <si>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</si>
  <si>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</si>
  <si>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</si>
  <si>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</si>
  <si>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</si>
  <si>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</si>
  <si>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</si>
  <si>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</si>
  <si>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</si>
  <si>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</si>
  <si>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</si>
  <si>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</si>
  <si>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</si>
  <si>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</si>
  <si>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</si>
  <si>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</si>
  <si>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</si>
  <si>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</si>
  <si>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</si>
  <si>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</si>
  <si>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</si>
  <si>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</si>
  <si>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</si>
  <si>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</si>
  <si>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</si>
  <si>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</si>
  <si>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</si>
  <si>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</si>
  <si>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</si>
  <si>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</si>
  <si>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</si>
  <si>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</si>
  <si>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</si>
  <si>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</si>
  <si>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</si>
  <si>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</si>
  <si>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</si>
  <si>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</si>
  <si>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</si>
  <si>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</si>
  <si>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</si>
  <si>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</si>
  <si>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</si>
  <si>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</si>
  <si>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</si>
  <si>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</si>
  <si>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</si>
  <si>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</si>
  <si>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</si>
  <si>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</si>
  <si>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</si>
  <si>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</si>
  <si>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</si>
  <si>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</si>
  <si>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</si>
  <si>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</si>
  <si>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</si>
  <si>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</si>
  <si>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</si>
  <si>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</si>
  <si>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</si>
  <si>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</si>
  <si>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</si>
  <si>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</si>
  <si>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</si>
  <si>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</si>
  <si>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</si>
  <si>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</si>
  <si>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</si>
  <si>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</si>
  <si>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</si>
  <si>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</si>
  <si>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</si>
  <si>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</si>
  <si>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</si>
  <si>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</si>
  <si>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</si>
  <si>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</si>
  <si>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</si>
  <si>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</si>
  <si>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</si>
  <si>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</si>
  <si>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</si>
  <si>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</si>
  <si>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</si>
  <si>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</si>
  <si>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</si>
  <si>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</si>
  <si>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</si>
  <si>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</si>
  <si>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</si>
  <si>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</si>
  <si>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</si>
  <si>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</si>
  <si>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</si>
  <si>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</si>
  <si>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</si>
  <si>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</si>
  <si>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</si>
  <si>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</si>
  <si>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</si>
  <si>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</si>
  <si>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</si>
  <si>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</si>
  <si>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</si>
  <si>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</si>
  <si>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</si>
  <si>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</si>
  <si>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</si>
  <si>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</si>
  <si>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</si>
  <si>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</si>
  <si>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</si>
  <si>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</si>
  <si>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</si>
  <si>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</si>
  <si>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</si>
  <si>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</si>
  <si>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</si>
  <si>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</si>
  <si>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</si>
  <si>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</si>
  <si>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</si>
  <si>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</si>
  <si>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</si>
  <si>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</si>
  <si>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</si>
  <si>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</si>
  <si>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</si>
  <si>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</si>
  <si>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</si>
  <si>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</si>
  <si>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</si>
  <si>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</si>
  <si>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</si>
  <si>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</si>
  <si>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</si>
  <si>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</si>
  <si>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</si>
  <si>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</si>
  <si>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</si>
  <si>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</si>
  <si>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</si>
  <si>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</si>
  <si>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</si>
  <si>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</si>
  <si>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</si>
  <si>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</si>
  <si>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</si>
  <si>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</si>
  <si>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</si>
  <si>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</si>
  <si>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</si>
  <si>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</si>
  <si>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</si>
  <si>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</si>
  <si>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</si>
  <si>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</si>
  <si>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</si>
  <si>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</si>
  <si>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</si>
  <si>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</si>
  <si>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</si>
  <si>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</si>
  <si>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</si>
  <si>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</si>
  <si>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</si>
  <si>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</si>
  <si>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</si>
  <si>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</si>
  <si>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</si>
  <si>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</si>
  <si>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</si>
  <si>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</si>
  <si>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</si>
  <si>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</si>
  <si>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</si>
  <si>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</si>
  <si>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</si>
  <si>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</si>
  <si>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</si>
  <si>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</si>
  <si>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</si>
  <si>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</si>
  <si>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</si>
  <si>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</si>
  <si>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</si>
  <si>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</si>
  <si>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</si>
  <si>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</si>
  <si>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</si>
  <si>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</si>
  <si>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</si>
  <si>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</si>
  <si>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</si>
  <si>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</si>
  <si>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</si>
  <si>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</si>
  <si>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</si>
  <si>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</si>
  <si>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</si>
  <si>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</si>
  <si>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</si>
  <si>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</si>
  <si>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</si>
  <si>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</si>
  <si>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</si>
  <si>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</si>
  <si>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</si>
  <si>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</si>
  <si>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</si>
  <si>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</si>
  <si>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</si>
  <si>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</si>
  <si>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</si>
  <si>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</si>
  <si>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</si>
  <si>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</si>
  <si>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</si>
  <si>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</si>
  <si>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</si>
  <si>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</si>
  <si>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</si>
  <si>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</si>
  <si>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</si>
  <si>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</si>
  <si>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</si>
  <si>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</si>
  <si>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</si>
  <si>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</si>
  <si>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</si>
  <si>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</si>
  <si>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</si>
  <si>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</si>
  <si>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</si>
  <si>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</si>
  <si>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</si>
  <si>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</si>
  <si>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</si>
  <si>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</si>
  <si>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</si>
  <si>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</si>
  <si>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</si>
  <si>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</si>
  <si>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</si>
  <si>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</si>
  <si>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</si>
  <si>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</si>
  <si>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</si>
  <si>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</si>
  <si>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</si>
  <si>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</si>
  <si>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</si>
  <si>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</si>
  <si>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</si>
  <si>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</si>
  <si>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</si>
  <si>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</si>
  <si>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</si>
  <si>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</si>
  <si>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</si>
  <si>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</si>
  <si>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</si>
  <si>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</si>
  <si>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</si>
  <si>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</si>
  <si>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</si>
  <si>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</si>
  <si>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</si>
  <si>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</si>
  <si>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</si>
  <si>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</si>
  <si>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</si>
  <si>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</si>
  <si>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</si>
  <si>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</si>
  <si>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</si>
  <si>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</si>
  <si>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</si>
  <si>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</si>
  <si>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</si>
  <si>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</si>
  <si>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</si>
  <si>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</si>
  <si>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</si>
  <si>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</si>
  <si>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</si>
  <si>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</si>
  <si>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</si>
  <si>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</si>
  <si>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</si>
  <si>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</si>
  <si>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</si>
  <si>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</si>
  <si>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</si>
  <si>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</si>
  <si>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</si>
  <si>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</si>
  <si>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</si>
  <si>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</si>
  <si>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</si>
  <si>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</si>
  <si>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</si>
  <si>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</si>
  <si>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</si>
  <si>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</si>
  <si>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</si>
  <si>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</si>
  <si>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</si>
  <si>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</si>
  <si>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</si>
  <si>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</si>
  <si>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</si>
  <si>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</si>
  <si>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</si>
  <si>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</si>
  <si>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</si>
  <si>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</si>
  <si>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</si>
  <si>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</si>
  <si>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</si>
  <si>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</si>
  <si>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</si>
  <si>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</si>
  <si>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</si>
  <si>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</si>
  <si>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</si>
  <si>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</si>
  <si>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</si>
  <si>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</si>
  <si>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</si>
  <si>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</si>
  <si>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</si>
  <si>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</si>
  <si>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</si>
  <si>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</si>
  <si>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</si>
  <si>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</si>
  <si>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</si>
  <si>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</si>
  <si>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</si>
  <si>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</si>
  <si>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</si>
  <si>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</si>
  <si>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</si>
  <si>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</si>
  <si>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</si>
  <si>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</si>
  <si>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</si>
  <si>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</si>
  <si>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</si>
  <si>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</si>
  <si>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</si>
  <si>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</si>
  <si>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</si>
  <si>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</si>
  <si>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</si>
  <si>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</si>
  <si>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</si>
  <si>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</si>
  <si>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</si>
  <si>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</si>
  <si>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</si>
  <si>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</si>
  <si>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</si>
  <si>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</si>
  <si>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</si>
  <si>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</si>
  <si>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</si>
  <si>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</si>
  <si>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</si>
  <si>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</si>
  <si>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</si>
  <si>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</si>
  <si>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</si>
  <si>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</si>
  <si>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</si>
  <si>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</si>
  <si>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</si>
  <si>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</si>
  <si>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</si>
  <si>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</si>
  <si>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</si>
  <si>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</si>
  <si>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</si>
  <si>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</si>
  <si>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</si>
  <si>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</si>
  <si>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</si>
  <si>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</si>
  <si>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</si>
  <si>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</si>
  <si>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</si>
  <si>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</si>
  <si>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</si>
  <si>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</si>
  <si>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</si>
  <si>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</si>
  <si>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</si>
  <si>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</si>
  <si>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</si>
  <si>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</si>
  <si>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</si>
  <si>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</si>
  <si>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</si>
  <si>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</si>
  <si>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</si>
  <si>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</si>
  <si>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</si>
  <si>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</si>
  <si>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</si>
  <si>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</si>
  <si>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</si>
  <si>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</si>
  <si>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</si>
  <si>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</si>
  <si>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</si>
  <si>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</si>
  <si>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</si>
  <si>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</si>
  <si>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</si>
  <si>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</si>
  <si>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</si>
  <si>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</si>
  <si>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</si>
  <si>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</si>
  <si>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</si>
  <si>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</si>
  <si>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</si>
  <si>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</si>
  <si>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</si>
  <si>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</si>
  <si>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</si>
  <si>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</si>
  <si>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</si>
  <si>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</si>
  <si>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</si>
  <si>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</si>
  <si>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</si>
  <si>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</si>
  <si>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</si>
  <si>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</si>
  <si>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</si>
  <si>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</si>
  <si>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</si>
  <si>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</si>
  <si>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</si>
  <si>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</si>
  <si>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</si>
  <si>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</si>
  <si>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</si>
  <si>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</si>
  <si>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</si>
  <si>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</si>
  <si>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</si>
  <si>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</si>
  <si>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</si>
  <si>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</si>
  <si>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</si>
  <si>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</si>
  <si>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</si>
  <si>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</si>
  <si>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</si>
  <si>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</si>
  <si>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</si>
  <si>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</si>
  <si>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</si>
  <si>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</si>
  <si>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</si>
  <si>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</si>
  <si>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</si>
  <si>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</si>
  <si>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</si>
  <si>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</si>
  <si>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</si>
  <si>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</si>
  <si>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</si>
  <si>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</si>
  <si>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</si>
  <si>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</si>
  <si>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</si>
  <si>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</si>
  <si>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</si>
  <si>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</si>
  <si>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</si>
  <si>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</si>
  <si>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</si>
  <si>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</si>
  <si>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</si>
  <si>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</si>
  <si>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</si>
  <si>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</si>
  <si>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</si>
  <si>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</si>
  <si>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</si>
  <si>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</si>
  <si>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</si>
  <si>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</si>
  <si>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</si>
  <si>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</si>
  <si>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</si>
  <si>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</si>
  <si>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</si>
  <si>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</si>
  <si>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</si>
  <si>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</si>
  <si>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</si>
  <si>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</si>
  <si>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</si>
  <si>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</si>
  <si>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</si>
  <si>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</si>
  <si>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</si>
  <si>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</si>
  <si>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</si>
  <si>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</si>
  <si>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</si>
  <si>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</si>
  <si>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</si>
  <si>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</si>
  <si>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</si>
  <si>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</si>
  <si>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</si>
  <si>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</si>
  <si>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</si>
  <si>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</si>
  <si>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</si>
  <si>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</si>
  <si>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</si>
  <si>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</si>
  <si>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</si>
  <si>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</si>
  <si>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</si>
  <si>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</si>
  <si>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</si>
  <si>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</si>
  <si>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</si>
  <si>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</si>
  <si>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</si>
  <si>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</si>
  <si>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</si>
  <si>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</si>
  <si>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</si>
  <si>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</si>
  <si>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</si>
  <si>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</si>
  <si>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</si>
  <si>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</si>
  <si>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</si>
  <si>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</si>
  <si>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</si>
  <si>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</si>
  <si>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</si>
  <si>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</si>
  <si>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</si>
  <si>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</si>
  <si>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</si>
  <si>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</si>
  <si>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</si>
  <si>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</si>
  <si>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</si>
  <si>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</si>
  <si>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</si>
  <si>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</si>
  <si>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</si>
  <si>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</si>
  <si>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</si>
  <si>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</si>
  <si>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</si>
  <si>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</si>
  <si>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</si>
  <si>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</si>
  <si>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</si>
  <si>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</si>
  <si>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</si>
  <si>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</si>
  <si>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</si>
  <si>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</si>
  <si>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</si>
  <si>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</si>
  <si>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</si>
  <si>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</si>
  <si>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</si>
  <si>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</si>
  <si>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</si>
  <si>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</si>
  <si>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</si>
  <si>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</si>
  <si>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</si>
  <si>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</si>
  <si>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</si>
  <si>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</si>
  <si>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</si>
  <si>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</si>
  <si>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</si>
  <si>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</si>
  <si>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</si>
  <si>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</si>
  <si>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</si>
  <si>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</si>
  <si>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</si>
  <si>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</si>
  <si>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</si>
  <si>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</si>
  <si>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</si>
  <si>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</si>
  <si>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</si>
  <si>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</si>
  <si>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</si>
  <si>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</si>
  <si>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</si>
  <si>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</si>
  <si>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</si>
  <si>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</si>
  <si>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</si>
  <si>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</si>
  <si>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</si>
  <si>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</si>
  <si>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</si>
  <si>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</si>
  <si>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</si>
  <si>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</si>
  <si>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</si>
  <si>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</si>
  <si>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</si>
  <si>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</si>
  <si>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</si>
  <si>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</si>
  <si>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</si>
  <si>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</si>
  <si>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</si>
  <si>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</si>
  <si>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</si>
  <si>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</si>
  <si>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</si>
  <si>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</si>
  <si>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</si>
  <si>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</si>
  <si>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</si>
  <si>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</si>
  <si>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</si>
  <si>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</si>
  <si>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</si>
  <si>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</si>
  <si>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</si>
  <si>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</si>
  <si>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</si>
  <si>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</si>
  <si>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</si>
  <si>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</si>
  <si>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</si>
  <si>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</si>
  <si>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</si>
  <si>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</si>
  <si>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</si>
  <si>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</si>
  <si>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</si>
  <si>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</si>
  <si>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</si>
  <si>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</si>
  <si>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</si>
  <si>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</si>
  <si>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</si>
  <si>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</si>
  <si>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</si>
  <si>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</si>
  <si>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</si>
  <si>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</si>
  <si>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</si>
  <si>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</si>
  <si>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</si>
  <si>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</si>
  <si>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</si>
  <si>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</si>
  <si>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</si>
  <si>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</si>
  <si>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</si>
  <si>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</si>
  <si>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</si>
  <si>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</si>
  <si>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</si>
  <si>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</si>
  <si>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</si>
  <si>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</si>
  <si>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</si>
  <si>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</si>
  <si>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</si>
  <si>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</si>
  <si>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</si>
  <si>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</si>
  <si>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</si>
  <si>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</si>
  <si>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</si>
  <si>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</si>
  <si>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</si>
  <si>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</si>
  <si>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</si>
  <si>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</si>
  <si>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</si>
  <si>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</si>
  <si>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</si>
  <si>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</si>
  <si>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</si>
  <si>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</si>
  <si>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</si>
  <si>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</si>
  <si>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</si>
  <si>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</si>
  <si>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</si>
  <si>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</si>
  <si>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</si>
  <si>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</si>
  <si>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</si>
  <si>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</si>
  <si>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</si>
  <si>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</si>
  <si>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</si>
  <si>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</si>
  <si>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</si>
  <si>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</si>
  <si>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</si>
  <si>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</si>
  <si>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</si>
  <si>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</si>
  <si>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</si>
  <si>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</si>
  <si>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</si>
  <si>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</si>
  <si>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</si>
  <si>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</si>
  <si>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</si>
  <si>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</si>
  <si>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</si>
  <si>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</si>
  <si>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</si>
  <si>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</si>
  <si>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</si>
  <si>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</si>
  <si>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</si>
  <si>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</si>
  <si>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</si>
  <si>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</si>
  <si>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</si>
  <si>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</si>
  <si>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</si>
  <si>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</si>
  <si>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</si>
  <si>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</si>
  <si>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</si>
  <si>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</si>
  <si>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</si>
  <si>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</si>
  <si>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</si>
  <si>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</si>
  <si>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</si>
  <si>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</si>
  <si>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</si>
  <si>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</si>
  <si>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</si>
  <si>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</si>
  <si>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</si>
  <si>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</si>
  <si>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</si>
  <si>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</si>
  <si>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</si>
  <si>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</si>
  <si>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</si>
  <si>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</si>
  <si>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</si>
  <si>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</si>
  <si>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</si>
  <si>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</si>
  <si>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</si>
  <si>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</si>
  <si>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</si>
  <si>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</si>
  <si>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</si>
  <si>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</si>
  <si>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</si>
  <si>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</si>
  <si>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</si>
  <si>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</si>
  <si>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</si>
  <si>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</si>
  <si>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</si>
  <si>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</si>
  <si>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</si>
  <si>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</si>
  <si>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</si>
  <si>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</si>
  <si>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</si>
  <si>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</si>
  <si>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</si>
  <si>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</si>
  <si>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</si>
  <si>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</si>
  <si>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</si>
  <si>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</si>
  <si>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</si>
  <si>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</si>
  <si>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</si>
  <si>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</si>
  <si>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</si>
  <si>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</si>
  <si>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</si>
  <si>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</si>
  <si>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</si>
  <si>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</si>
  <si>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</si>
  <si>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</si>
  <si>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</si>
  <si>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</si>
  <si>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</si>
  <si>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</si>
  <si>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</si>
  <si>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</si>
  <si>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</si>
  <si>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</si>
  <si>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</si>
  <si>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</si>
  <si>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</si>
  <si>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</si>
  <si>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</si>
  <si>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</si>
  <si>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</si>
  <si>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</si>
  <si>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</si>
  <si>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</si>
  <si>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</si>
  <si>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</si>
  <si>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</si>
  <si>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</si>
  <si>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</si>
  <si>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</si>
  <si>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</si>
  <si>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</si>
  <si>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</si>
  <si>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</si>
  <si>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</si>
  <si>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</si>
  <si>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</si>
  <si>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</si>
  <si>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</si>
  <si>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</si>
  <si>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</si>
  <si>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</si>
  <si>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</si>
  <si>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</si>
  <si>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</si>
  <si>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</si>
  <si>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</si>
  <si>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</si>
  <si>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</si>
  <si>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</si>
  <si>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</si>
  <si>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</si>
  <si>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</si>
  <si>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</si>
  <si>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</si>
  <si>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</si>
  <si>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</si>
  <si>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</si>
  <si>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</si>
  <si>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</si>
  <si>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</si>
  <si>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</si>
  <si>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</si>
  <si>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</si>
  <si>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</si>
  <si>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</si>
  <si>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</si>
  <si>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</si>
  <si>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</si>
  <si>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</si>
  <si>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</si>
  <si>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</si>
  <si>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</si>
  <si>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</si>
  <si>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</si>
  <si>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</si>
  <si>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</si>
  <si>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</si>
  <si>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</si>
  <si>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</si>
  <si>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</si>
  <si>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</si>
  <si>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</si>
  <si>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</si>
  <si>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</si>
  <si>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</si>
  <si>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</si>
  <si>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</si>
  <si>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</si>
  <si>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</si>
  <si>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</si>
  <si>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</si>
  <si>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</si>
  <si>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</si>
  <si>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</si>
  <si>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</si>
  <si>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</si>
  <si>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</si>
  <si>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</si>
  <si>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</si>
  <si>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</si>
  <si>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</si>
  <si>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</si>
  <si>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</si>
  <si>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</si>
  <si>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</si>
  <si>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</si>
  <si>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</si>
  <si>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</si>
  <si>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</si>
  <si>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</si>
  <si>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</si>
  <si>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</si>
  <si>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</si>
  <si>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</si>
  <si>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</si>
  <si>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</si>
  <si>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</si>
  <si>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</si>
  <si>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</si>
  <si>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</si>
  <si>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</si>
  <si>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</si>
  <si>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</si>
  <si>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</si>
  <si>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</si>
  <si>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</si>
  <si>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</si>
  <si>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</si>
  <si>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</si>
  <si>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</si>
  <si>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</si>
  <si>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</si>
  <si>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</si>
  <si>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</si>
  <si>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</si>
  <si>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</si>
  <si>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</si>
  <si>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</si>
  <si>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</si>
  <si>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</si>
  <si>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</si>
  <si>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</si>
  <si>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</si>
  <si>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</si>
  <si>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</si>
  <si>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</si>
  <si>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</si>
  <si>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</si>
  <si>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</si>
  <si>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</si>
  <si>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</si>
  <si>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</si>
  <si>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</si>
  <si>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</si>
  <si>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</si>
  <si>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</si>
  <si>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</si>
  <si>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</si>
  <si>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</si>
  <si>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</si>
  <si>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</si>
  <si>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</si>
  <si>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</si>
  <si>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</si>
  <si>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</si>
  <si>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</si>
  <si>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</si>
  <si>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</si>
  <si>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</si>
  <si>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</si>
  <si>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</si>
  <si>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</si>
  <si>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</si>
  <si>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</si>
  <si>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</si>
  <si>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</si>
  <si>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</si>
  <si>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</si>
  <si>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</si>
  <si>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</si>
  <si>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</si>
  <si>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</si>
  <si>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</si>
  <si>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</si>
  <si>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</si>
  <si>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</si>
  <si>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</si>
  <si>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</si>
  <si>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</si>
  <si>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</si>
  <si>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</si>
  <si>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</si>
  <si>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</si>
  <si>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</si>
  <si>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</si>
  <si>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</si>
  <si>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</si>
  <si>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</si>
  <si>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</si>
  <si>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</si>
  <si>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</si>
  <si>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</si>
  <si>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</si>
  <si>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</si>
  <si>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</si>
  <si>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</si>
  <si>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</si>
  <si>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</si>
  <si>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</si>
  <si>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</si>
  <si>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</si>
  <si>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</si>
  <si>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</si>
  <si>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</si>
  <si>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</si>
  <si>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</si>
  <si>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</si>
  <si>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</si>
  <si>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</si>
  <si>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</si>
  <si>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</si>
  <si>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</si>
  <si>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</si>
  <si>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</si>
  <si>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</si>
  <si>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</si>
  <si>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</si>
  <si>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</si>
  <si>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</si>
  <si>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</si>
  <si>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</si>
  <si>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</si>
  <si>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</si>
  <si>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</si>
  <si>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</si>
  <si>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</si>
  <si>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</si>
  <si>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</si>
  <si>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</si>
  <si>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</si>
  <si>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</si>
  <si>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</si>
  <si>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</si>
  <si>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</si>
  <si>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</si>
  <si>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</si>
  <si>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</si>
  <si>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</si>
  <si>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</si>
  <si>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</si>
  <si>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</si>
  <si>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</si>
  <si>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</si>
  <si>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</si>
  <si>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</si>
  <si>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</si>
  <si>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</si>
  <si>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</si>
  <si>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</si>
  <si>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</si>
  <si>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</si>
  <si>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</si>
  <si>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</si>
  <si>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</si>
  <si>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</si>
  <si>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</si>
  <si>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</si>
  <si>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</si>
  <si>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</si>
  <si>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</si>
  <si>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</si>
  <si>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</si>
  <si>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</si>
  <si>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</si>
  <si>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</si>
  <si>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</si>
  <si>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</si>
  <si>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</si>
  <si>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</si>
  <si>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</si>
  <si>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</si>
  <si>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</si>
  <si>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</si>
  <si>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</si>
  <si>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</si>
  <si>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</si>
  <si>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</si>
  <si>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</si>
  <si>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</si>
  <si>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</si>
  <si>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</si>
  <si>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</si>
  <si>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</si>
  <si>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</si>
  <si>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</si>
  <si>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</si>
  <si>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</si>
  <si>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</si>
  <si>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</si>
  <si>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</si>
  <si>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</si>
  <si>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</si>
  <si>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</si>
  <si>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</si>
  <si>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</si>
  <si>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</si>
  <si>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</si>
  <si>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</si>
  <si>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</si>
  <si>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</si>
  <si>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</si>
  <si>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</si>
  <si>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</si>
  <si>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</si>
  <si>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</si>
  <si>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</si>
  <si>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</si>
  <si>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</si>
  <si>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</si>
  <si>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</si>
  <si>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</si>
  <si>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</si>
  <si>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</si>
  <si>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</si>
  <si>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</si>
  <si>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</si>
  <si>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</si>
  <si>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</si>
  <si>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</si>
  <si>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</si>
  <si>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</si>
  <si>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</si>
  <si>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</si>
  <si>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</si>
  <si>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</si>
  <si>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</si>
  <si>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</si>
  <si>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</si>
  <si>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</si>
  <si>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</si>
  <si>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</si>
  <si>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</si>
  <si>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</si>
  <si>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</si>
  <si>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</si>
  <si>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</si>
  <si>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</si>
  <si>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</si>
  <si>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</si>
  <si>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</si>
  <si>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</si>
  <si>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</si>
  <si>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</si>
  <si>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</si>
  <si>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</si>
  <si>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</si>
  <si>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</si>
  <si>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</si>
  <si>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</si>
  <si>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</si>
  <si>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</si>
  <si>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</si>
  <si>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</si>
  <si>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</si>
  <si>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</si>
  <si>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</si>
  <si>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</si>
  <si>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</si>
  <si>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</si>
  <si>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</si>
  <si>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</si>
  <si>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</si>
  <si>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</si>
  <si>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</si>
  <si>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</si>
  <si>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</si>
  <si>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</si>
  <si>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</si>
  <si>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</si>
  <si>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</si>
  <si>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</si>
  <si>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</si>
  <si>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</si>
  <si>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</si>
  <si>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</si>
  <si>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</si>
  <si>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</si>
  <si>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</si>
  <si>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</si>
  <si>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</si>
  <si>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</si>
  <si>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</si>
  <si>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</si>
  <si>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</si>
  <si>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</si>
  <si>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</si>
  <si>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</si>
  <si>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</si>
  <si>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</si>
  <si>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</si>
  <si>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</si>
  <si>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</si>
  <si>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</si>
  <si>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</si>
  <si>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</si>
  <si>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</si>
  <si>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</si>
  <si>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</si>
  <si>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</si>
  <si>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</si>
  <si>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</si>
  <si>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</si>
  <si>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</si>
  <si>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</si>
  <si>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</si>
  <si>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</si>
  <si>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</si>
  <si>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</si>
  <si>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</si>
  <si>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</si>
  <si>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</si>
  <si>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</si>
  <si>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</si>
  <si>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</si>
  <si>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</si>
  <si>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</si>
  <si>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</si>
  <si>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</si>
  <si>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</si>
  <si>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</si>
  <si>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</si>
  <si>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</si>
  <si>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</si>
  <si>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</si>
  <si>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</si>
  <si>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</si>
  <si>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</si>
  <si>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</si>
  <si>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</si>
  <si>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</si>
  <si>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</si>
  <si>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</si>
  <si>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</si>
  <si>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</si>
  <si>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</si>
  <si>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</si>
  <si>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</si>
  <si>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</si>
  <si>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</si>
  <si>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</si>
  <si>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</si>
  <si>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</si>
  <si>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</si>
  <si>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</si>
  <si>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</si>
  <si>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</si>
  <si>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</si>
  <si>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</si>
  <si>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</si>
  <si>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</si>
  <si>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</si>
  <si>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</si>
  <si>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</si>
  <si>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</si>
  <si>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</si>
  <si>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</si>
  <si>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</si>
  <si>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</si>
  <si>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</si>
  <si>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</si>
  <si>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</si>
  <si>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</si>
  <si>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</si>
  <si>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</si>
  <si>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</si>
  <si>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</si>
  <si>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</si>
  <si>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</si>
  <si>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</si>
  <si>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</si>
  <si>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</si>
  <si>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</si>
  <si>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</si>
  <si>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</si>
  <si>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</si>
  <si>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</si>
  <si>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</si>
  <si>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</si>
  <si>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</si>
  <si>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</si>
  <si>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</si>
  <si>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</si>
  <si>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</si>
  <si>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</si>
  <si>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</si>
  <si>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</si>
  <si>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</si>
  <si>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</si>
  <si>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</si>
  <si>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</si>
  <si>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</si>
  <si>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</si>
  <si>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</si>
  <si>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</si>
  <si>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</si>
  <si>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</si>
  <si>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</si>
  <si>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</si>
  <si>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</si>
  <si>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</si>
  <si>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</si>
  <si>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</si>
  <si>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</si>
  <si>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</si>
  <si>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</si>
  <si>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</si>
  <si>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</si>
  <si>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</si>
  <si>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</si>
  <si>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</si>
  <si>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</si>
  <si>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</si>
  <si>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</si>
  <si>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</si>
  <si>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</si>
  <si>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</si>
  <si>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</si>
  <si>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</si>
  <si>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</si>
  <si>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</si>
  <si>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</si>
  <si>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</si>
  <si>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</si>
  <si>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</si>
  <si>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</si>
  <si>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</si>
  <si>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</si>
  <si>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</si>
  <si>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</si>
  <si>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</si>
  <si>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</si>
  <si>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</si>
  <si>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</si>
  <si>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</si>
  <si>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</si>
  <si>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</si>
  <si>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</si>
  <si>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</si>
  <si>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</si>
  <si>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</si>
  <si>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</si>
  <si>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</si>
  <si>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</si>
  <si>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</si>
  <si>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</si>
  <si>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</si>
  <si>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</si>
  <si>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</si>
  <si>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</si>
  <si>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</si>
  <si>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</si>
  <si>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</si>
  <si>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</si>
  <si>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</si>
  <si>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</si>
  <si>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</si>
  <si>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</si>
  <si>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</si>
  <si>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</si>
  <si>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</si>
  <si>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</si>
  <si>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</si>
  <si>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</si>
  <si>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</si>
  <si>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</si>
  <si>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</si>
  <si>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</si>
  <si>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</si>
  <si>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</si>
  <si>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</si>
  <si>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</si>
  <si>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</si>
  <si>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</si>
  <si>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</si>
  <si>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</si>
  <si>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</si>
  <si>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</si>
  <si>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</si>
  <si>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</si>
  <si>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</si>
  <si>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</si>
  <si>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</si>
  <si>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</si>
  <si>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</si>
  <si>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</si>
  <si>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</si>
  <si>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</si>
  <si>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</si>
  <si>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</si>
  <si>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</si>
  <si>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</si>
  <si>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</si>
  <si>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</si>
  <si>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</si>
  <si>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</si>
  <si>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</si>
  <si>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</si>
  <si>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</si>
  <si>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</si>
  <si>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</si>
  <si>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</si>
  <si>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</si>
  <si>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</si>
  <si>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</si>
  <si>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</si>
  <si>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</si>
  <si>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</si>
  <si>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</si>
  <si>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</si>
  <si>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</si>
  <si>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</si>
  <si>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</si>
  <si>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</si>
  <si>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</si>
  <si>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</si>
  <si>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</si>
  <si>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</si>
  <si>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</si>
  <si>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</si>
  <si>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</si>
  <si>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</si>
  <si>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</si>
  <si>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</si>
  <si>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</si>
  <si>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</si>
  <si>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</si>
  <si>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</si>
  <si>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</si>
  <si>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</si>
  <si>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</si>
  <si>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</si>
  <si>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</si>
  <si>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</si>
  <si>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</si>
  <si>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</si>
  <si>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</si>
  <si>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</si>
  <si>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</si>
  <si>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</si>
  <si>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</si>
  <si>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</si>
  <si>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</si>
  <si>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</si>
  <si>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</si>
  <si>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</si>
  <si>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</si>
  <si>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</si>
  <si>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</si>
  <si>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</si>
  <si>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</si>
  <si>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</si>
  <si>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</si>
  <si>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</si>
  <si>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</si>
  <si>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</si>
  <si>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</si>
  <si>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</si>
  <si>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</si>
  <si>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</si>
  <si>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</si>
  <si>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</si>
  <si>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</si>
  <si>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</si>
  <si>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</si>
  <si>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</si>
  <si>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</si>
  <si>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</si>
  <si>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</si>
  <si>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</si>
  <si>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</si>
  <si>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</si>
  <si>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</si>
  <si>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</si>
  <si>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</si>
  <si>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</si>
  <si>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</si>
  <si>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</si>
  <si>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</si>
  <si>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</si>
  <si>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</si>
  <si>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</si>
  <si>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</si>
  <si>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</si>
  <si>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</si>
  <si>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</si>
  <si>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</si>
  <si>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</si>
  <si>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</si>
  <si>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</si>
  <si>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</si>
  <si>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</si>
  <si>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</si>
  <si>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</si>
  <si>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</si>
  <si>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</si>
  <si>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</si>
  <si>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</si>
  <si>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</si>
  <si>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</si>
  <si>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</si>
  <si>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</si>
  <si>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</si>
  <si>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</si>
  <si>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</si>
  <si>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</si>
  <si>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</si>
  <si>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</si>
  <si>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</si>
  <si>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</si>
  <si>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</si>
  <si>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</si>
  <si>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</si>
  <si>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</si>
  <si>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</si>
  <si>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</si>
  <si>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</si>
  <si>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</si>
  <si>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</si>
  <si>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</si>
  <si>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</si>
  <si>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</si>
  <si>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</si>
  <si>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</si>
  <si>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</si>
  <si>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</si>
  <si>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</si>
  <si>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</si>
  <si>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</si>
  <si>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</si>
  <si>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</si>
  <si>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</si>
  <si>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</si>
  <si>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</si>
  <si>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</si>
  <si>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</si>
  <si>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</si>
  <si>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</si>
  <si>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</si>
  <si>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</si>
  <si>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</si>
  <si>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</si>
  <si>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</si>
  <si>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</si>
  <si>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</si>
  <si>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</si>
  <si>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</si>
  <si>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</si>
  <si>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</si>
  <si>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</si>
  <si>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</si>
  <si>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</si>
  <si>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</si>
  <si>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</si>
  <si>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</si>
  <si>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</si>
  <si>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</si>
  <si>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</si>
  <si>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</si>
  <si>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</si>
  <si>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</si>
  <si>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</si>
  <si>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</si>
  <si>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</si>
  <si>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</si>
  <si>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</si>
  <si>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</si>
  <si>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</si>
  <si>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</si>
  <si>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</si>
  <si>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</si>
  <si>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</si>
  <si>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</si>
  <si>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</si>
  <si>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</si>
  <si>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</si>
  <si>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</si>
  <si>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</si>
  <si>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</si>
  <si>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</si>
  <si>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</si>
  <si>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</si>
  <si>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</si>
  <si>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</si>
  <si>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</si>
  <si>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</si>
  <si>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</si>
  <si>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</si>
  <si>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</si>
  <si>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</si>
  <si>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</si>
  <si>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</si>
  <si>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</si>
  <si>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</si>
  <si>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</si>
  <si>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</si>
  <si>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</si>
  <si>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</si>
  <si>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</si>
  <si>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</si>
  <si>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</si>
  <si>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</si>
  <si>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</si>
  <si>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</si>
  <si>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</si>
  <si>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</si>
  <si>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</si>
  <si>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</si>
  <si>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</si>
  <si>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</si>
  <si>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</si>
  <si>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</si>
  <si>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</si>
  <si>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</si>
  <si>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</si>
  <si>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</si>
  <si>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</si>
  <si>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</si>
  <si>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</si>
  <si>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</si>
  <si>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</si>
  <si>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</si>
  <si>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</si>
  <si>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</si>
  <si>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</si>
  <si>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</si>
  <si>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</si>
  <si>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</si>
  <si>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</si>
  <si>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</si>
  <si>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</si>
  <si>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</si>
  <si>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</si>
  <si>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</si>
  <si>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</si>
  <si>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</si>
  <si>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</si>
  <si>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</si>
  <si>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</si>
  <si>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</si>
  <si>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</si>
  <si>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</si>
  <si>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</si>
  <si>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</si>
  <si>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</si>
  <si>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</si>
  <si>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</si>
  <si>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</si>
  <si>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</si>
  <si>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</si>
  <si>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</si>
  <si>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</si>
  <si>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</si>
  <si>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</si>
  <si>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</si>
  <si>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</si>
  <si>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</si>
  <si>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</si>
  <si>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</si>
  <si>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</si>
  <si>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</si>
  <si>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</si>
  <si>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</si>
  <si>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</si>
  <si>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</si>
  <si>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</si>
  <si>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</si>
  <si>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</si>
  <si>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</si>
  <si>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</si>
  <si>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</si>
  <si>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</si>
  <si>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</si>
  <si>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</si>
  <si>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</si>
  <si>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</si>
  <si>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</si>
  <si>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</si>
  <si>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</si>
  <si>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</si>
  <si>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</si>
  <si>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</si>
  <si>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</si>
  <si>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</si>
  <si>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</si>
  <si>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</si>
  <si>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</si>
  <si>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</si>
  <si>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</si>
  <si>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</si>
  <si>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</si>
  <si>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</si>
  <si>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</si>
  <si>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</si>
  <si>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</si>
  <si>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</si>
  <si>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</si>
  <si>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</si>
  <si>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</si>
  <si>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</si>
  <si>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</si>
  <si>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</si>
  <si>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</si>
  <si>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</si>
  <si>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</si>
  <si>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</si>
  <si>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</si>
  <si>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</si>
  <si>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</si>
  <si>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</si>
  <si>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</si>
  <si>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</si>
  <si>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</si>
  <si>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</si>
  <si>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</si>
  <si>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</si>
  <si>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</si>
  <si>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</si>
  <si>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</si>
  <si>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</si>
  <si>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</si>
  <si>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</si>
  <si>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</si>
  <si>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</si>
  <si>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</si>
  <si>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</si>
  <si>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</si>
  <si>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</si>
  <si>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</si>
  <si>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</si>
  <si>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</si>
  <si>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</si>
  <si>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</si>
  <si>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</si>
  <si>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</si>
  <si>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</si>
  <si>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</si>
  <si>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</si>
  <si>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</si>
  <si>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</si>
  <si>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</si>
  <si>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</si>
  <si>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</si>
  <si>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</si>
  <si>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</si>
  <si>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</si>
  <si>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</si>
  <si>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</si>
  <si>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</si>
  <si>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</si>
  <si>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</si>
  <si>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</si>
  <si>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</si>
  <si>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</si>
  <si>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</si>
  <si>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</si>
  <si>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</si>
  <si>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</si>
  <si>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</si>
  <si>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</si>
  <si>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</si>
  <si>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</si>
  <si>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</si>
  <si>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</si>
  <si>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</si>
  <si>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</si>
  <si>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</si>
  <si>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</si>
  <si>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</si>
  <si>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</si>
  <si>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</si>
  <si>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</si>
  <si>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</si>
  <si>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</si>
  <si>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</si>
  <si>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</si>
  <si>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</si>
  <si>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</si>
  <si>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</si>
  <si>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</si>
  <si>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</si>
  <si>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</si>
  <si>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</si>
  <si>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</si>
  <si>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</si>
  <si>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</si>
  <si>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</si>
  <si>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</si>
  <si>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</si>
  <si>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</si>
  <si>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</si>
  <si>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</si>
  <si>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</si>
  <si>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</si>
  <si>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</si>
  <si>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</si>
  <si>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</si>
  <si>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</si>
  <si>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</si>
  <si>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</si>
  <si>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</si>
  <si>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</si>
  <si>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</si>
  <si>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</si>
  <si>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</si>
  <si>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</si>
  <si>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</si>
  <si>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</si>
  <si>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</si>
  <si>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</si>
  <si>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</si>
  <si>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</si>
  <si>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</si>
  <si>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</si>
  <si>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</si>
  <si>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</si>
  <si>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</si>
  <si>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</si>
  <si>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</si>
  <si>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</si>
  <si>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</si>
  <si>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</si>
  <si>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</si>
  <si>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</si>
  <si>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</si>
  <si>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</si>
  <si>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</si>
  <si>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</si>
  <si>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</si>
  <si>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</si>
  <si>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</si>
  <si>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</si>
  <si>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</si>
  <si>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</si>
  <si>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</si>
  <si>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</si>
  <si>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</si>
  <si>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</si>
  <si>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</si>
  <si>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</si>
  <si>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</si>
  <si>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</si>
  <si>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</si>
  <si>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</si>
  <si>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</si>
  <si>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</si>
  <si>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</si>
  <si>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</si>
  <si>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</si>
  <si>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</si>
  <si>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</si>
  <si>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</si>
  <si>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</si>
  <si>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</si>
  <si>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</si>
  <si>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</si>
  <si>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</si>
  <si>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</si>
  <si>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</si>
  <si>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</si>
  <si>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</si>
  <si>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</si>
  <si>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</si>
  <si>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</si>
  <si>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</si>
  <si>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</si>
  <si>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</si>
  <si>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</si>
  <si>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</si>
  <si>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</si>
  <si>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</si>
  <si>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</si>
  <si>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</si>
  <si>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</si>
  <si>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</si>
  <si>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</si>
  <si>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</si>
  <si>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</si>
  <si>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</si>
  <si>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</si>
  <si>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</si>
  <si>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</si>
  <si>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</si>
  <si>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</si>
  <si>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</si>
  <si>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</si>
  <si>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</si>
  <si>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</si>
  <si>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</si>
  <si>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</si>
  <si>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</si>
  <si>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</si>
  <si>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</si>
  <si>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</si>
  <si>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</si>
  <si>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</si>
  <si>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</si>
  <si>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</si>
  <si>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</si>
  <si>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</si>
  <si>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</si>
  <si>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</si>
  <si>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</si>
  <si>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</si>
  <si>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</si>
  <si>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</si>
  <si>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</si>
  <si>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</si>
  <si>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</si>
  <si>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</si>
  <si>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</si>
  <si>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</si>
  <si>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</si>
  <si>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</si>
  <si>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</si>
  <si>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</si>
  <si>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</si>
  <si>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</si>
  <si>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</si>
  <si>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</si>
  <si>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</si>
  <si>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</si>
  <si>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</si>
  <si>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</si>
  <si>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</si>
  <si>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</si>
  <si>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</si>
  <si>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</si>
  <si>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</si>
  <si>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</si>
  <si>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</si>
  <si>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</si>
  <si>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</si>
  <si>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</si>
  <si>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</si>
  <si>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</si>
  <si>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</si>
  <si>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</si>
  <si>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</si>
  <si>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</si>
  <si>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</si>
  <si>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</si>
  <si>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</si>
  <si>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</si>
  <si>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</si>
  <si>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</si>
  <si>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</si>
  <si>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</si>
  <si>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</si>
  <si>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</si>
  <si>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</si>
  <si>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</si>
  <si>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</si>
  <si>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</si>
  <si>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</si>
  <si>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</si>
  <si>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</si>
  <si>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</si>
  <si>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</si>
  <si>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</si>
  <si>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</si>
  <si>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</si>
  <si>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</si>
  <si>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</si>
  <si>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</si>
  <si>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</si>
  <si>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</si>
  <si>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</si>
  <si>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</si>
  <si>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</si>
  <si>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</si>
  <si>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</si>
  <si>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</si>
  <si>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</si>
  <si>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</si>
  <si>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</si>
  <si>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</si>
  <si>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</si>
  <si>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</si>
  <si>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</si>
  <si>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</si>
  <si>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</si>
  <si>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</si>
  <si>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</si>
  <si>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</si>
  <si>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</si>
  <si>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</si>
  <si>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</si>
  <si>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</si>
  <si>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</si>
  <si>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</si>
  <si>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</si>
  <si>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</si>
  <si>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</si>
  <si>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</si>
  <si>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</si>
  <si>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</si>
  <si>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</si>
  <si>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</si>
  <si>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</si>
  <si>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</si>
  <si>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</si>
  <si>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</si>
  <si>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</si>
  <si>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</si>
  <si>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</si>
  <si>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</si>
  <si>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</si>
  <si>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</si>
  <si>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</si>
  <si>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</si>
  <si>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</si>
  <si>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</si>
  <si>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</si>
  <si>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</si>
  <si>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</si>
  <si>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</si>
  <si>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</si>
  <si>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</si>
  <si>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</si>
  <si>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</si>
  <si>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</si>
  <si>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</si>
  <si>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</si>
  <si>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</si>
  <si>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</si>
  <si>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</si>
  <si>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</si>
  <si>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</si>
  <si>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</si>
  <si>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</si>
  <si>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</si>
  <si>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</si>
  <si>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</si>
  <si>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</si>
  <si>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</si>
  <si>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</si>
  <si>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</si>
  <si>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</si>
  <si>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</si>
  <si>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</si>
  <si>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</si>
  <si>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</si>
  <si>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</si>
  <si>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</si>
  <si>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</si>
  <si>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</si>
  <si>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</si>
  <si>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</si>
  <si>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</si>
  <si>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</si>
  <si>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</si>
  <si>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</si>
  <si>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</si>
  <si>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</si>
  <si>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</si>
  <si>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</si>
  <si>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</si>
  <si>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</si>
  <si>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</si>
  <si>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</si>
  <si>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</si>
  <si>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</si>
  <si>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</si>
  <si>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</si>
  <si>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</si>
  <si>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</si>
  <si>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</si>
  <si>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</si>
  <si>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</si>
  <si>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</si>
  <si>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</si>
  <si>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</si>
  <si>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</si>
  <si>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</si>
  <si>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</si>
  <si>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</si>
  <si>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</si>
  <si>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</si>
  <si>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</si>
  <si>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</si>
  <si>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</si>
  <si>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</si>
  <si>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</si>
  <si>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</si>
  <si>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</si>
  <si>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</si>
  <si>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</si>
  <si>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</si>
  <si>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</si>
  <si>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</si>
  <si>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</si>
  <si>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</si>
  <si>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</si>
  <si>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</si>
  <si>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</si>
  <si>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</si>
  <si>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</si>
  <si>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</si>
  <si>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</si>
  <si>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</si>
  <si>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</si>
  <si>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</si>
  <si>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</si>
  <si>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</si>
  <si>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</si>
  <si>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</si>
  <si>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</si>
  <si>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</si>
  <si>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</si>
  <si>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</si>
  <si>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</si>
  <si>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</si>
  <si>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</si>
  <si>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</si>
  <si>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</si>
  <si>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</si>
  <si>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</si>
  <si>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</si>
  <si>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</si>
  <si>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</si>
  <si>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</si>
  <si>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</si>
  <si>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</si>
  <si>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</si>
  <si>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</si>
  <si>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</si>
  <si>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</si>
  <si>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</si>
  <si>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</si>
  <si>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</si>
  <si>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</si>
  <si>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</si>
  <si>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</si>
  <si>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</si>
  <si>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</si>
  <si>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</si>
  <si>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</si>
  <si>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</si>
  <si>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</si>
  <si>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</si>
  <si>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</si>
  <si>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</si>
  <si>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</si>
  <si>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</si>
  <si>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</si>
  <si>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</si>
  <si>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</si>
  <si>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</si>
  <si>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</si>
  <si>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</si>
  <si>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</si>
  <si>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</si>
  <si>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</si>
  <si>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</si>
  <si>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</si>
  <si>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</si>
  <si>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</si>
  <si>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</si>
  <si>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</si>
  <si>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</si>
  <si>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</si>
  <si>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</si>
  <si>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</si>
  <si>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</si>
  <si>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</si>
  <si>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</si>
  <si>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</si>
  <si>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</si>
  <si>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</si>
  <si>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</si>
  <si>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</si>
  <si>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</si>
  <si>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</si>
  <si>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</si>
  <si>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</si>
  <si>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</si>
  <si>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</si>
  <si>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</si>
  <si>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</si>
  <si>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</si>
  <si>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</si>
  <si>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</si>
  <si>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</si>
  <si>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</si>
  <si>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</si>
  <si>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</si>
  <si>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</si>
  <si>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</si>
  <si>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</si>
  <si>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</si>
  <si>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</si>
  <si>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</si>
  <si>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</si>
  <si>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</si>
  <si>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</si>
  <si>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</si>
  <si>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</si>
  <si>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</si>
  <si>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</si>
  <si>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</si>
  <si>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</si>
  <si>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</si>
  <si>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</si>
  <si>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</si>
  <si>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</si>
  <si>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</si>
  <si>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</si>
  <si>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</si>
  <si>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</si>
  <si>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</si>
  <si>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</si>
  <si>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</si>
  <si>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</si>
  <si>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</si>
  <si>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</si>
  <si>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</si>
  <si>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</si>
  <si>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</si>
  <si>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</si>
  <si>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</si>
  <si>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</si>
  <si>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</si>
  <si>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</si>
  <si>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</si>
  <si>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</si>
  <si>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</si>
  <si>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</si>
  <si>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</si>
  <si>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</si>
  <si>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</si>
  <si>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</si>
  <si>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</si>
  <si>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</si>
  <si>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</si>
  <si>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</si>
  <si>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</si>
  <si>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</si>
  <si>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</si>
  <si>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</si>
  <si>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</si>
  <si>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</si>
  <si>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</si>
  <si>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</si>
  <si>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</si>
  <si>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</si>
  <si>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</si>
  <si>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</si>
  <si>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</si>
  <si>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</si>
  <si>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</si>
  <si>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</si>
  <si>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</si>
  <si>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</si>
  <si>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</si>
  <si>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</si>
  <si>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</si>
  <si>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</si>
  <si>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</si>
  <si>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</si>
  <si>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</si>
  <si>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</si>
  <si>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</si>
  <si>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</si>
  <si>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</si>
  <si>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</si>
  <si>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</si>
  <si>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</si>
  <si>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</si>
  <si>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</si>
  <si>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</si>
  <si>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</si>
  <si>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</si>
  <si>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</si>
  <si>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</si>
  <si>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</si>
  <si>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</si>
  <si>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</si>
  <si>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</si>
  <si>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</si>
  <si>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</si>
  <si>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</si>
  <si>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</si>
  <si>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</si>
  <si>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</si>
  <si>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</si>
  <si>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</si>
  <si>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</si>
  <si>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</si>
  <si>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</si>
  <si>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</si>
  <si>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</si>
  <si>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</si>
  <si>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</si>
  <si>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</si>
  <si>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</si>
  <si>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</si>
  <si>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</si>
  <si>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</si>
  <si>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</si>
  <si>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</si>
  <si>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</si>
  <si>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</si>
  <si>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</si>
  <si>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</si>
  <si>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</si>
  <si>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</si>
  <si>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</si>
  <si>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</si>
  <si>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</si>
  <si>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</si>
  <si>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</si>
  <si>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</si>
  <si>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</si>
  <si>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</si>
  <si>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</si>
  <si>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</si>
  <si>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</si>
  <si>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</si>
  <si>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</si>
  <si>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</si>
  <si>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</si>
  <si>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</si>
  <si>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</si>
  <si>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</si>
  <si>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</si>
  <si>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</si>
  <si>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</si>
  <si>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</si>
  <si>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</si>
  <si>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</si>
  <si>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</si>
  <si>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</si>
  <si>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</si>
  <si>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</si>
  <si>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</si>
  <si>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</si>
  <si>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</si>
  <si>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</si>
  <si>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</si>
  <si>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</si>
  <si>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</si>
  <si>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</si>
  <si>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</si>
  <si>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</si>
  <si>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</si>
  <si>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</si>
  <si>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</si>
  <si>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</si>
  <si>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</si>
  <si>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</si>
  <si>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</si>
  <si>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</si>
  <si>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</si>
  <si>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</si>
  <si>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</si>
  <si>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</si>
  <si>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</si>
  <si>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</si>
  <si>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</si>
  <si>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</si>
  <si>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</si>
  <si>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</si>
  <si>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</si>
  <si>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</si>
  <si>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</si>
  <si>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</si>
  <si>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</si>
  <si>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</si>
  <si>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</si>
  <si>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</si>
  <si>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</si>
  <si>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</si>
  <si>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</si>
  <si>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</si>
  <si>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</si>
  <si>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</si>
  <si>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</si>
  <si>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</si>
  <si>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</si>
  <si>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</si>
  <si>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</si>
  <si>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</si>
  <si>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</si>
  <si>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</si>
  <si>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</si>
  <si>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</si>
  <si>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</si>
  <si>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</si>
  <si>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</si>
  <si>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</si>
  <si>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</si>
  <si>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</si>
  <si>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</si>
  <si>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</si>
  <si>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</si>
  <si>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</si>
  <si>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</si>
  <si>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</si>
  <si>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</si>
  <si>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</si>
  <si>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</si>
  <si>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</si>
  <si>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</si>
  <si>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</si>
  <si>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</si>
  <si>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</si>
  <si>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</si>
  <si>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</si>
  <si>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</si>
  <si>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</si>
  <si>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</si>
  <si>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</si>
  <si>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</si>
  <si>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</si>
  <si>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</si>
  <si>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</si>
  <si>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</si>
  <si>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</si>
  <si>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</si>
  <si>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</si>
  <si>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</si>
  <si>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</si>
  <si>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</si>
  <si>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</si>
  <si>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</si>
  <si>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</si>
  <si>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</si>
  <si>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</si>
  <si>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</si>
  <si>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</si>
  <si>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</si>
  <si>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</si>
  <si>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</si>
  <si>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</si>
  <si>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</si>
  <si>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</si>
  <si>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</si>
  <si>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</si>
  <si>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</si>
  <si>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</si>
  <si>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</si>
  <si>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</si>
  <si>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</si>
  <si>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</si>
  <si>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</si>
  <si>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</si>
  <si>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</si>
  <si>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</si>
  <si>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</si>
  <si>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</si>
  <si>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</si>
  <si>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</si>
  <si>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</si>
  <si>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</si>
  <si>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</si>
  <si>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</si>
  <si>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</si>
  <si>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</si>
  <si>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</si>
  <si>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</si>
  <si>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</si>
  <si>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</si>
  <si>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</si>
  <si>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</si>
  <si>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</si>
  <si>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</si>
  <si>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</si>
  <si>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</si>
  <si>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</si>
  <si>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</si>
  <si>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</si>
  <si>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</si>
  <si>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</si>
  <si>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</si>
  <si>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</si>
  <si>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</si>
  <si>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</si>
  <si>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</si>
  <si>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</si>
  <si>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</si>
  <si>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</si>
  <si>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</si>
  <si>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</si>
  <si>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</si>
  <si>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</si>
  <si>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</si>
  <si>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</si>
  <si>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</si>
  <si>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</si>
  <si>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</si>
  <si>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</si>
  <si>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</si>
  <si>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</si>
  <si>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</si>
  <si>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</si>
  <si>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</si>
  <si>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</si>
  <si>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</si>
  <si>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</si>
  <si>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</si>
  <si>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</si>
  <si>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</si>
  <si>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</si>
  <si>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</si>
  <si>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</si>
  <si>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</si>
  <si>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</si>
  <si>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</si>
  <si>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</si>
  <si>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</si>
  <si>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</si>
  <si>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</si>
  <si>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</si>
  <si>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</si>
  <si>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</si>
  <si>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</si>
  <si>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</si>
  <si>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</si>
  <si>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</si>
  <si>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</si>
  <si>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</si>
  <si>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</si>
  <si>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</si>
  <si>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</si>
  <si>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</si>
  <si>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</si>
  <si>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</si>
  <si>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</si>
  <si>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</si>
  <si>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</si>
  <si>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</si>
  <si>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</si>
  <si>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</si>
  <si>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</si>
  <si>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</si>
  <si>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</si>
  <si>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</si>
  <si>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</si>
  <si>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</si>
  <si>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</si>
  <si>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</si>
  <si>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</si>
  <si>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</si>
  <si>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</si>
  <si>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</si>
  <si>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</si>
  <si>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</si>
  <si>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</si>
  <si>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</si>
  <si>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</si>
  <si>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</si>
  <si>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</si>
  <si>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</si>
  <si>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</si>
  <si>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</si>
  <si>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</si>
  <si>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</si>
  <si>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</si>
  <si>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</si>
  <si>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</si>
  <si>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</si>
  <si>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</si>
  <si>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</si>
  <si>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</si>
  <si>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</si>
  <si>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</si>
  <si>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</si>
  <si>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</si>
  <si>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</si>
  <si>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</si>
  <si>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</si>
  <si>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</si>
  <si>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</si>
  <si>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</si>
  <si>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</si>
  <si>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</si>
  <si>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</si>
  <si>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</si>
  <si>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</si>
  <si>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</si>
  <si>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</si>
  <si>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</si>
  <si>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</si>
  <si>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</si>
  <si>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</si>
  <si>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</si>
  <si>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</si>
  <si>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</si>
  <si>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</si>
  <si>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</si>
  <si>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</si>
  <si>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</si>
  <si>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</si>
  <si>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</si>
  <si>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</si>
  <si>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</si>
  <si>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</si>
  <si>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</si>
  <si>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</si>
  <si>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</si>
  <si>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</si>
  <si>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</si>
  <si>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</si>
  <si>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</si>
  <si>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</si>
  <si>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</si>
  <si>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</si>
  <si>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</si>
  <si>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</si>
  <si>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</si>
  <si>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</si>
  <si>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</si>
  <si>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</si>
  <si>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</si>
  <si>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</si>
  <si>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</si>
  <si>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</si>
  <si>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</si>
  <si>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</si>
  <si>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</si>
  <si>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</si>
  <si>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</si>
  <si>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</si>
  <si>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</si>
  <si>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</si>
  <si>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</si>
  <si>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</si>
  <si>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</si>
  <si>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</si>
  <si>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</si>
  <si>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</si>
  <si>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</si>
  <si>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</si>
  <si>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</si>
  <si>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</si>
  <si>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</si>
  <si>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</si>
  <si>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</si>
  <si>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</si>
  <si>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</si>
  <si>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</si>
  <si>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</si>
  <si>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</si>
  <si>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</si>
  <si>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</si>
  <si>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</si>
  <si>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</si>
  <si>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</si>
  <si>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</si>
  <si>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</si>
  <si>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</si>
  <si>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</si>
  <si>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</si>
  <si>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</si>
  <si>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</si>
  <si>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</si>
  <si>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</si>
  <si>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</si>
  <si>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</si>
  <si>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</si>
  <si>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</si>
  <si>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</si>
  <si>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</si>
  <si>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</si>
  <si>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</si>
  <si>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</si>
  <si>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</si>
  <si>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</si>
  <si>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</si>
  <si>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</si>
  <si>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</si>
  <si>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</si>
  <si>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</si>
  <si>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</si>
  <si>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</si>
  <si>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</si>
  <si>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</si>
  <si>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</si>
  <si>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</si>
  <si>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</si>
  <si>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</si>
  <si>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</si>
  <si>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</si>
  <si>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</si>
  <si>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</si>
  <si>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</si>
  <si>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</si>
  <si>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</si>
  <si>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</si>
  <si>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</si>
  <si>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</si>
  <si>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</si>
  <si>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</si>
  <si>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</si>
  <si>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</si>
  <si>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</si>
  <si>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</si>
  <si>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</si>
  <si>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</si>
  <si>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</si>
  <si>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</si>
  <si>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</si>
  <si>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</si>
  <si>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</si>
  <si>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</si>
  <si>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</si>
  <si>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</si>
  <si>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</si>
  <si>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</si>
  <si>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</si>
  <si>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</si>
  <si>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</si>
  <si>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</si>
  <si>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</si>
  <si>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</si>
  <si>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</si>
  <si>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</si>
  <si>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</si>
  <si>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</si>
  <si>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</si>
  <si>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</si>
  <si>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</si>
  <si>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</si>
  <si>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</si>
  <si>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</si>
  <si>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</si>
  <si>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</si>
  <si>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</si>
  <si>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</si>
  <si>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</si>
  <si>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</si>
  <si>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</si>
  <si>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</si>
  <si>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</si>
  <si>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</si>
  <si>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</si>
  <si>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</si>
  <si>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</si>
  <si>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</si>
  <si>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</si>
  <si>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</si>
  <si>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</si>
  <si>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</si>
  <si>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</si>
  <si>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</si>
  <si>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</si>
  <si>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</si>
  <si>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</si>
  <si>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</si>
  <si>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</si>
  <si>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</si>
  <si>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</si>
  <si>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</si>
  <si>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</si>
  <si>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</si>
  <si>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</si>
  <si>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</si>
  <si>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</si>
  <si>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</si>
  <si>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</si>
  <si>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</si>
  <si>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</si>
  <si>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</si>
  <si>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</si>
  <si>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</si>
  <si>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</si>
  <si>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</si>
  <si>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</si>
  <si>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</si>
  <si>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</si>
  <si>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</si>
  <si>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</si>
  <si>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</si>
  <si>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</si>
  <si>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</si>
  <si>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</si>
  <si>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</si>
  <si>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</si>
  <si>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</si>
  <si>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</si>
  <si>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</si>
  <si>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</si>
  <si>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</si>
  <si>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</si>
  <si>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</si>
  <si>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</si>
  <si>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</si>
  <si>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</si>
  <si>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</si>
  <si>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</si>
  <si>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</si>
  <si>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</si>
  <si>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</si>
  <si>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</si>
  <si>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</si>
  <si>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</si>
  <si>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</si>
  <si>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</si>
  <si>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</si>
  <si>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</si>
  <si>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</si>
  <si>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</si>
  <si>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</si>
  <si>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</si>
  <si>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</si>
  <si>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</si>
  <si>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</si>
  <si>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</si>
  <si>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</si>
  <si>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</si>
  <si>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</si>
  <si>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</si>
  <si>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</si>
  <si>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</si>
  <si>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</si>
  <si>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</si>
  <si>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</si>
  <si>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</si>
  <si>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</si>
  <si>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</si>
  <si>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</si>
  <si>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</si>
  <si>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</si>
  <si>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</si>
  <si>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</si>
  <si>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</si>
  <si>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</si>
  <si>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</si>
  <si>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</si>
  <si>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</si>
  <si>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</si>
  <si>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</si>
  <si>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</si>
  <si>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</si>
  <si>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</si>
  <si>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</si>
  <si>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</si>
  <si>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</si>
  <si>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</si>
  <si>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</si>
  <si>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</si>
  <si>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</si>
  <si>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</si>
  <si>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</si>
  <si>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</si>
  <si>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</si>
  <si>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</si>
  <si>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</si>
  <si>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</si>
  <si>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</si>
  <si>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</si>
  <si>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</si>
  <si>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</si>
  <si>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</si>
  <si>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</si>
  <si>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</si>
  <si>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</si>
  <si>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</si>
  <si>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</si>
  <si>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</si>
  <si>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</si>
  <si>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</si>
  <si>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</si>
  <si>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</si>
  <si>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</si>
  <si>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</si>
  <si>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</si>
  <si>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</si>
  <si>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</si>
  <si>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</si>
  <si>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</si>
  <si>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</si>
  <si>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</si>
  <si>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</si>
  <si>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</si>
  <si>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</si>
  <si>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</si>
  <si>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</si>
  <si>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</si>
  <si>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</si>
  <si>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</si>
  <si>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</si>
  <si>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</si>
  <si>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</si>
  <si>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</si>
  <si>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</si>
  <si>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</si>
  <si>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</si>
  <si>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</si>
  <si>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</si>
  <si>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</si>
  <si>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</si>
  <si>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</si>
  <si>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</si>
  <si>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</si>
  <si>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</si>
  <si>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</si>
  <si>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</si>
  <si>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</si>
  <si>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</si>
  <si>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</si>
  <si>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</si>
  <si>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</si>
  <si>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</si>
  <si>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</si>
  <si>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</si>
  <si>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</si>
  <si>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</si>
  <si>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</si>
  <si>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</si>
  <si>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</si>
  <si>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</si>
  <si>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</si>
  <si>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</si>
  <si>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</si>
  <si>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</si>
  <si>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</si>
  <si>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</si>
  <si>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</si>
  <si>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</si>
  <si>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</si>
  <si>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</si>
  <si>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</si>
  <si>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</si>
  <si>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</si>
  <si>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</si>
  <si>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</si>
  <si>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</si>
  <si>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</si>
  <si>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</si>
  <si>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</si>
  <si>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</si>
  <si>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</si>
  <si>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</si>
  <si>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</si>
  <si>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</si>
  <si>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</si>
  <si>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</si>
  <si>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</si>
  <si>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</si>
  <si>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</si>
  <si>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</si>
  <si>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</si>
  <si>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</si>
  <si>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</si>
  <si>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</si>
  <si>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</si>
  <si>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</si>
  <si>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</si>
  <si>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</si>
  <si>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</si>
  <si>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</si>
  <si>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</si>
  <si>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</si>
  <si>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</si>
  <si>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</si>
  <si>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</si>
  <si>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</si>
  <si>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</si>
  <si>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</si>
  <si>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</si>
  <si>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</si>
  <si>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</si>
  <si>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</si>
  <si>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</si>
  <si>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</si>
  <si>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</si>
  <si>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</si>
  <si>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</si>
  <si>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</si>
  <si>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</si>
  <si>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</si>
  <si>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</si>
  <si>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</si>
  <si>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</si>
  <si>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</si>
  <si>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</si>
  <si>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</si>
  <si>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</si>
  <si>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</si>
  <si>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</si>
  <si>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</si>
  <si>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</si>
  <si>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</si>
  <si>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</si>
  <si>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</si>
  <si>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</si>
  <si>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</si>
  <si>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</si>
  <si>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</si>
  <si>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</si>
  <si>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</si>
  <si>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</si>
  <si>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</si>
  <si>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</si>
  <si>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</si>
  <si>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</si>
  <si>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</si>
  <si>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</si>
  <si>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</si>
  <si>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</si>
  <si>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</si>
  <si>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</si>
  <si>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</si>
  <si>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</si>
  <si>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</si>
  <si>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</si>
  <si>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</si>
  <si>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</si>
  <si>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</si>
  <si>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</si>
  <si>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</si>
  <si>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</si>
  <si>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</si>
  <si>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</si>
  <si>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</si>
  <si>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</si>
  <si>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</si>
  <si>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</si>
  <si>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</si>
  <si>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</si>
  <si>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</si>
  <si>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</si>
  <si>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</si>
  <si>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</si>
  <si>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</si>
  <si>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</si>
  <si>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</si>
  <si>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</si>
  <si>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</si>
  <si>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</si>
  <si>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</si>
  <si>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</si>
  <si>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</si>
  <si>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</si>
  <si>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</si>
  <si>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</si>
  <si>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</si>
  <si>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</si>
  <si>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</si>
  <si>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</si>
  <si>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</si>
  <si>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</si>
  <si>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</si>
  <si>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</si>
  <si>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</si>
  <si>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</si>
  <si>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</si>
  <si>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</si>
  <si>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</si>
  <si>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</si>
  <si>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</si>
  <si>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</si>
  <si>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</si>
  <si>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</si>
  <si>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</si>
  <si>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</si>
  <si>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</si>
  <si>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</si>
  <si>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</si>
  <si>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</si>
  <si>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</si>
  <si>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</si>
  <si>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</si>
  <si>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</si>
  <si>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</si>
  <si>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</si>
  <si>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</si>
  <si>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</si>
  <si>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</si>
  <si>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</si>
  <si>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</si>
  <si>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</si>
  <si>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</si>
  <si>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</si>
  <si>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</si>
  <si>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</si>
  <si>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</si>
  <si>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</si>
  <si>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</si>
  <si>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</si>
  <si>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</si>
  <si>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</si>
  <si>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</si>
  <si>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</si>
  <si>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</si>
  <si>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</si>
  <si>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</si>
  <si>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</si>
  <si>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</si>
  <si>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</si>
  <si>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</si>
  <si>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</si>
  <si>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</si>
  <si>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</si>
  <si>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</si>
  <si>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</si>
  <si>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</si>
  <si>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</si>
  <si>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</si>
  <si>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</si>
  <si>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</si>
  <si>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</si>
  <si>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</si>
  <si>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</si>
  <si>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</si>
  <si>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</si>
  <si>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</si>
  <si>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</si>
  <si>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</si>
  <si>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</si>
  <si>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</si>
  <si>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</si>
  <si>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</si>
  <si>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</si>
  <si>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</si>
  <si>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</si>
  <si>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</si>
  <si>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</si>
  <si>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</si>
  <si>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</si>
  <si>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</si>
  <si>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</si>
  <si>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</si>
  <si>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</si>
  <si>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</si>
  <si>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</si>
  <si>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</si>
  <si>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</si>
  <si>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</si>
  <si>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</si>
  <si>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</si>
  <si>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</si>
  <si>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</si>
  <si>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</si>
  <si>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</si>
  <si>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</si>
  <si>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</si>
  <si>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</si>
  <si>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</si>
  <si>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</si>
  <si>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</si>
  <si>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</si>
  <si>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</si>
  <si>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</si>
  <si>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</si>
  <si>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</si>
  <si>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</si>
  <si>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</si>
  <si>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</si>
  <si>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</si>
  <si>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</si>
  <si>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</si>
  <si>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</si>
  <si>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</si>
  <si>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</si>
  <si>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</si>
  <si>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</si>
  <si>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</si>
  <si>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</si>
  <si>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</si>
  <si>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</si>
  <si>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</si>
  <si>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</si>
  <si>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</si>
  <si>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</si>
  <si>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</si>
  <si>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</si>
  <si>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</si>
  <si>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</si>
  <si>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</si>
  <si>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</si>
  <si>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</si>
  <si>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</si>
  <si>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</si>
  <si>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</si>
  <si>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</si>
  <si>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</si>
  <si>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</si>
  <si>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</si>
  <si>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</si>
  <si>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</si>
  <si>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</si>
  <si>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</si>
  <si>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</si>
  <si>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</si>
  <si>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</si>
  <si>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</si>
  <si>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</si>
  <si>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</si>
  <si>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</si>
  <si>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</si>
  <si>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</si>
  <si>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</si>
  <si>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</si>
  <si>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</si>
  <si>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</si>
  <si>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</si>
  <si>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</si>
  <si>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</si>
  <si>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</si>
  <si>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</si>
  <si>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</si>
  <si>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</si>
  <si>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</si>
  <si>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</si>
  <si>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</si>
  <si>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</si>
  <si>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</si>
  <si>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</si>
  <si>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</si>
  <si>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</si>
  <si>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</si>
  <si>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</si>
  <si>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</si>
  <si>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</si>
  <si>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</si>
  <si>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</si>
  <si>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</si>
  <si>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</si>
  <si>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</si>
  <si>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</si>
  <si>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</si>
  <si>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</si>
  <si>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</si>
  <si>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</si>
  <si>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</si>
  <si>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</si>
  <si>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</si>
  <si>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</si>
  <si>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</si>
  <si>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</si>
  <si>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</si>
  <si>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</si>
  <si>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</si>
  <si>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</si>
  <si>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</si>
  <si>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</si>
  <si>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</si>
  <si>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</si>
  <si>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</si>
  <si>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</si>
  <si>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</si>
  <si>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</si>
  <si>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</si>
  <si>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</si>
  <si>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</si>
  <si>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</si>
  <si>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</si>
  <si>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</si>
  <si>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</si>
  <si>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</si>
  <si>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</si>
  <si>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</si>
  <si>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</si>
  <si>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</si>
  <si>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</si>
  <si>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</si>
  <si>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</si>
  <si>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</si>
  <si>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</si>
  <si>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</si>
  <si>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</si>
  <si>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</si>
  <si>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</si>
  <si>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</si>
  <si>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</si>
  <si>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</si>
  <si>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</si>
  <si>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</si>
  <si>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</si>
  <si>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</si>
  <si>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</si>
  <si>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</si>
  <si>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</si>
  <si>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</si>
  <si>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</si>
  <si>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</si>
  <si>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</si>
  <si>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</si>
  <si>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</si>
  <si>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</si>
  <si>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</si>
  <si>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</si>
  <si>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</si>
  <si>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</si>
  <si>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</si>
  <si>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</si>
  <si>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</si>
  <si>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</si>
  <si>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</si>
  <si>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</si>
  <si>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</si>
  <si>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</si>
  <si>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</si>
  <si>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</si>
  <si>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</si>
  <si>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</si>
  <si>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</si>
  <si>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</si>
  <si>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</si>
  <si>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</si>
  <si>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</si>
  <si>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</si>
  <si>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</si>
  <si>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</si>
  <si>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</si>
  <si>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</si>
  <si>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</si>
  <si>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</si>
  <si>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</si>
  <si>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</si>
  <si>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</si>
  <si>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</si>
  <si>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</si>
  <si>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</si>
  <si>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</si>
  <si>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</si>
  <si>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</si>
  <si>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</si>
  <si>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</si>
  <si>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</si>
  <si>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</si>
  <si>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</si>
  <si>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</si>
  <si>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</si>
  <si>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</si>
  <si>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</si>
  <si>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</si>
  <si>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</si>
  <si>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</si>
  <si>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</si>
  <si>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</si>
  <si>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</si>
  <si>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</si>
  <si>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</si>
  <si>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</si>
  <si>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</si>
  <si>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</si>
  <si>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</si>
  <si>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</si>
  <si>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</si>
  <si>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</si>
  <si>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</si>
  <si>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</si>
  <si>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</si>
  <si>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</si>
  <si>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</si>
  <si>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</si>
  <si>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</si>
  <si>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</si>
  <si>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</si>
  <si>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</si>
  <si>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</si>
  <si>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</si>
  <si>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</si>
  <si>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</si>
  <si>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</si>
  <si>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</si>
  <si>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</si>
  <si>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</si>
  <si>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</si>
  <si>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</si>
  <si>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</si>
  <si>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</si>
  <si>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</si>
  <si>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</si>
  <si>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</si>
  <si>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</si>
  <si>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</si>
  <si>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</si>
  <si>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</si>
  <si>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</si>
  <si>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</si>
  <si>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</si>
  <si>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</si>
  <si>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</si>
  <si>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</si>
  <si>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</si>
  <si>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</si>
  <si>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</si>
  <si>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</si>
  <si>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</si>
  <si>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</si>
  <si>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</si>
  <si>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</si>
  <si>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</si>
  <si>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</si>
  <si>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</si>
  <si>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</si>
  <si>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</si>
  <si>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</si>
  <si>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</si>
  <si>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</si>
  <si>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</si>
  <si>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</si>
  <si>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</si>
  <si>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</si>
  <si>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</si>
  <si>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</si>
  <si>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</si>
  <si>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</si>
  <si>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</si>
  <si>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</si>
  <si>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</si>
  <si>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</si>
  <si>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</si>
  <si>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</si>
  <si>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</si>
  <si>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</si>
  <si>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</si>
  <si>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</si>
  <si>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</si>
  <si>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</si>
  <si>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</si>
  <si>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</si>
  <si>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</si>
  <si>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</si>
  <si>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</si>
  <si>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</si>
  <si>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</si>
  <si>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</si>
  <si>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</si>
  <si>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</si>
  <si>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</si>
  <si>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</si>
  <si>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</si>
  <si>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</si>
  <si>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</si>
  <si>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</si>
  <si>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</si>
  <si>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</si>
  <si>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</si>
  <si>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</si>
  <si>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</si>
  <si>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</si>
  <si>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</si>
  <si>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</si>
  <si>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</si>
  <si>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</si>
  <si>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</si>
  <si>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</si>
  <si>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</si>
  <si>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</si>
  <si>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</si>
  <si>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</si>
  <si>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</si>
  <si>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</si>
  <si>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</si>
  <si>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</si>
  <si>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</si>
  <si>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</si>
  <si>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</si>
  <si>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</si>
  <si>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</si>
  <si>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</si>
  <si>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</si>
  <si>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</si>
  <si>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</si>
  <si>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</si>
  <si>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</si>
  <si>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</si>
  <si>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</si>
  <si>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</si>
  <si>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</si>
  <si>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</si>
  <si>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</si>
  <si>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</si>
  <si>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</si>
  <si>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</si>
  <si>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</si>
  <si>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</si>
  <si>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</si>
  <si>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</si>
  <si>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</si>
  <si>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</si>
  <si>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</si>
  <si>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</si>
  <si>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</si>
  <si>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</si>
  <si>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</si>
  <si>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</si>
  <si>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</si>
  <si>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</si>
  <si>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</si>
  <si>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</si>
  <si>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</si>
  <si>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</si>
  <si>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</si>
  <si>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</si>
  <si>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</si>
  <si>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</si>
  <si>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</si>
  <si>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</si>
  <si>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</si>
  <si>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</si>
  <si>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</si>
  <si>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</si>
  <si>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</si>
  <si>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</si>
  <si>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</si>
  <si>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</si>
  <si>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</si>
  <si>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</si>
  <si>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</si>
  <si>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</si>
  <si>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</si>
  <si>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</si>
  <si>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</si>
  <si>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</si>
  <si>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</si>
  <si>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</si>
  <si>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</si>
  <si>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</si>
  <si>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</si>
  <si>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</si>
  <si>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</si>
  <si>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</si>
  <si>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</si>
  <si>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</si>
  <si>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</si>
  <si>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</si>
  <si>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</si>
  <si>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</si>
  <si>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</si>
  <si>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</si>
  <si>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</si>
  <si>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</si>
  <si>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</si>
  <si>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</si>
  <si>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</si>
  <si>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</si>
  <si>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</si>
  <si>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</si>
  <si>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</si>
  <si>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</si>
  <si>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</si>
  <si>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</si>
  <si>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</si>
  <si>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</si>
  <si>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</si>
  <si>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</si>
  <si>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</si>
  <si>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</si>
  <si>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</si>
  <si>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</si>
  <si>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</si>
  <si>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</si>
  <si>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</si>
  <si>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</si>
  <si>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</si>
  <si>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</si>
  <si>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</si>
  <si>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</si>
  <si>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</si>
  <si>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</si>
  <si>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</si>
  <si>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</si>
  <si>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</si>
  <si>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</si>
  <si>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</si>
  <si>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</si>
  <si>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</si>
  <si>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</si>
  <si>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</si>
  <si>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</si>
  <si>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</si>
  <si>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</si>
  <si>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</si>
  <si>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</si>
  <si>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</si>
  <si>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</si>
  <si>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</si>
  <si>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</si>
  <si>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</si>
  <si>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</si>
  <si>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</si>
  <si>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</si>
  <si>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</si>
  <si>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</si>
  <si>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</si>
  <si>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</si>
  <si>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</si>
  <si>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</si>
  <si>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</si>
  <si>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</si>
  <si>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</si>
  <si>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</si>
  <si>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</si>
  <si>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</si>
  <si>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</si>
  <si>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</si>
  <si>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</si>
  <si>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</si>
  <si>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</si>
  <si>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</si>
  <si>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</si>
  <si>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</si>
  <si>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</si>
  <si>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</si>
  <si>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</si>
  <si>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</si>
  <si>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</si>
  <si>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</si>
  <si>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</si>
  <si>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</si>
  <si>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</si>
  <si>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</si>
  <si>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</si>
  <si>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</si>
  <si>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</si>
  <si>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</si>
  <si>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</si>
  <si>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</si>
  <si>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</si>
  <si>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</si>
  <si>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</si>
  <si>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</si>
  <si>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</si>
  <si>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</si>
  <si>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</si>
  <si>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</si>
  <si>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</si>
  <si>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</si>
  <si>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</si>
  <si>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</si>
  <si>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</si>
  <si>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</si>
  <si>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</si>
  <si>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</si>
  <si>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</si>
  <si>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</si>
  <si>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</si>
  <si>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</si>
  <si>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</si>
  <si>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</si>
  <si>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</si>
  <si>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</si>
  <si>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</si>
  <si>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</si>
  <si>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</si>
  <si>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</si>
  <si>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</si>
  <si>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</si>
  <si>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</si>
  <si>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</si>
  <si>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</si>
  <si>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</si>
  <si>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</si>
  <si>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</si>
  <si>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</si>
  <si>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</si>
  <si>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</si>
  <si>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</si>
  <si>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</si>
  <si>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</si>
  <si>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</si>
  <si>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</si>
  <si>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</si>
  <si>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</si>
  <si>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</si>
  <si>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</si>
  <si>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</si>
  <si>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</si>
  <si>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</si>
  <si>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</si>
  <si>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</si>
  <si>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</si>
  <si>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</si>
  <si>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</si>
  <si>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</si>
  <si>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</si>
  <si>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</si>
  <si>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</si>
  <si>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</si>
  <si>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</si>
  <si>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</si>
  <si>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</si>
  <si>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</si>
  <si>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</si>
  <si>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</si>
  <si>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</si>
  <si>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</si>
  <si>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</si>
  <si>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</si>
  <si>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</si>
  <si>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</si>
  <si>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</si>
  <si>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</si>
  <si>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</si>
  <si>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</si>
  <si>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</si>
  <si>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</si>
  <si>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</si>
  <si>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</si>
  <si>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</si>
  <si>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</si>
  <si>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</si>
  <si>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</si>
  <si>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</si>
  <si>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</si>
  <si>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</si>
  <si>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</si>
  <si>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</si>
  <si>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</si>
  <si>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</si>
  <si>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</si>
  <si>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</si>
  <si>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</si>
  <si>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</si>
  <si>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</si>
  <si>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</si>
  <si>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</si>
  <si>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</si>
  <si>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</si>
  <si>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</si>
  <si>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</si>
  <si>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</si>
  <si>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</si>
  <si>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</si>
  <si>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</si>
  <si>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</si>
  <si>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</si>
  <si>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</si>
  <si>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</si>
  <si>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</si>
  <si>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</si>
  <si>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</si>
  <si>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</si>
  <si>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</si>
  <si>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</si>
  <si>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</si>
  <si>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</si>
  <si>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</si>
  <si>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</si>
  <si>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</si>
  <si>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</si>
  <si>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</si>
  <si>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</si>
  <si>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</si>
  <si>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</si>
  <si>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</si>
  <si>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</si>
  <si>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</si>
  <si>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</si>
  <si>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</si>
  <si>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</si>
  <si>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</si>
  <si>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</si>
  <si>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</si>
  <si>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</si>
  <si>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</si>
  <si>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</si>
  <si>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</si>
  <si>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</si>
  <si>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</si>
  <si>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</si>
  <si>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</si>
  <si>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</si>
  <si>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</si>
  <si>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</si>
  <si>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</si>
  <si>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</si>
  <si>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</si>
  <si>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</si>
  <si>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</si>
  <si>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</si>
  <si>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</si>
  <si>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</si>
  <si>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</si>
  <si>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</si>
  <si>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</si>
  <si>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</si>
  <si>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</si>
  <si>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</si>
  <si>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</si>
  <si>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</si>
  <si>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</si>
  <si>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</si>
  <si>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</si>
  <si>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</si>
  <si>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</si>
  <si>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</si>
  <si>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</si>
  <si>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</si>
  <si>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</si>
  <si>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</si>
  <si>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</si>
  <si>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</si>
  <si>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</si>
  <si>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</si>
  <si>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</si>
  <si>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</si>
  <si>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</si>
  <si>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</si>
  <si>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</si>
  <si>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</si>
  <si>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</si>
  <si>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</si>
  <si>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</si>
  <si>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</si>
  <si>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</si>
  <si>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</si>
  <si>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</si>
  <si>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</si>
  <si>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</si>
  <si>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</si>
  <si>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</si>
  <si>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</si>
  <si>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</si>
  <si>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</si>
  <si>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</si>
  <si>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</si>
  <si>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</si>
  <si>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</si>
  <si>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</si>
  <si>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</si>
  <si>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</si>
  <si>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</si>
  <si>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</si>
  <si>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</si>
  <si>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</si>
  <si>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</si>
  <si>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</si>
  <si>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</si>
  <si>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</si>
  <si>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</si>
  <si>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</si>
  <si>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</si>
  <si>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</si>
  <si>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</si>
  <si>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</si>
  <si>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</si>
  <si>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</si>
  <si>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</si>
  <si>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</si>
  <si>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</si>
  <si>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</si>
  <si>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</si>
  <si>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</si>
  <si>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</si>
  <si>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</si>
  <si>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</si>
  <si>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</si>
  <si>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</si>
  <si>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</si>
  <si>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</si>
  <si>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</si>
  <si>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</si>
  <si>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</si>
  <si>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</si>
  <si>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</si>
  <si>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</si>
  <si>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</si>
  <si>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</si>
  <si>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</si>
  <si>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</si>
  <si>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</si>
  <si>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</si>
  <si>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</si>
  <si>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</si>
  <si>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</si>
  <si>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</si>
  <si>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</si>
  <si>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</si>
  <si>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</si>
  <si>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</si>
  <si>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</si>
  <si>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</si>
  <si>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</si>
  <si>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</si>
  <si>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</si>
  <si>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</si>
  <si>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</si>
  <si>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</si>
  <si>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</si>
  <si>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</si>
  <si>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</si>
  <si>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</si>
  <si>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</si>
  <si>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</si>
  <si>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</si>
  <si>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</si>
  <si>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</si>
  <si>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</si>
  <si>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</si>
  <si>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</si>
  <si>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</si>
  <si>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</si>
  <si>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</si>
  <si>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</si>
  <si>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</si>
  <si>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</si>
  <si>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</si>
  <si>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</si>
  <si>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</si>
  <si>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</si>
  <si>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</si>
  <si>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</si>
  <si>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</si>
  <si>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</si>
  <si>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</si>
  <si>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</si>
  <si>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</si>
  <si>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</si>
  <si>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</si>
  <si>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</si>
  <si>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</si>
  <si>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</si>
  <si>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</si>
  <si>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</si>
  <si>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</si>
  <si>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</si>
  <si>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</si>
  <si>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</si>
  <si>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</si>
  <si>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</si>
  <si>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</si>
  <si>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</si>
  <si>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</si>
  <si>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</si>
  <si>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</si>
  <si>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</si>
  <si>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</si>
  <si>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</si>
  <si>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</si>
  <si>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</si>
  <si>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</si>
  <si>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</si>
  <si>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</si>
  <si>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</si>
  <si>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</si>
  <si>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</si>
  <si>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</si>
  <si>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</si>
  <si>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</si>
  <si>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</si>
  <si>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</si>
  <si>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</si>
  <si>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</si>
  <si>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</si>
  <si>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</si>
  <si>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</si>
  <si>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</si>
  <si>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</si>
  <si>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</si>
  <si>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</si>
  <si>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</si>
  <si>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</si>
  <si>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</si>
  <si>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</si>
  <si>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</si>
  <si>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</si>
  <si>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</si>
  <si>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</si>
  <si>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</si>
  <si>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</si>
  <si>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</si>
  <si>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</si>
  <si>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</si>
  <si>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</si>
  <si>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</si>
  <si>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</si>
  <si>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</si>
  <si>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</si>
  <si>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</si>
  <si>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</si>
  <si>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</si>
  <si>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</si>
  <si>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</si>
  <si>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</si>
  <si>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</si>
  <si>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</si>
  <si>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</si>
  <si>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</si>
  <si>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</si>
  <si>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</si>
  <si>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</si>
  <si>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</si>
  <si>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</si>
  <si>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</si>
  <si>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</si>
  <si>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</si>
  <si>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</si>
  <si>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</si>
  <si>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</si>
  <si>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</si>
  <si>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</si>
  <si>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</si>
  <si>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</si>
  <si>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</si>
  <si>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</si>
  <si>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</si>
  <si>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</si>
  <si>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</si>
  <si>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</si>
  <si>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</si>
  <si>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</si>
  <si>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</si>
  <si>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</si>
  <si>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</si>
  <si>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</si>
  <si>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</si>
  <si>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</si>
  <si>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</si>
  <si>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</si>
  <si>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</si>
  <si>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</si>
  <si>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</si>
  <si>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</si>
  <si>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</si>
  <si>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</si>
  <si>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</si>
  <si>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</si>
  <si>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</si>
  <si>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</si>
  <si>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</si>
  <si>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</si>
  <si>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</si>
  <si>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</si>
  <si>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</si>
  <si>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</si>
  <si>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</si>
  <si>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</si>
  <si>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</si>
  <si>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</si>
  <si>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</si>
  <si>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</si>
  <si>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</si>
  <si>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</si>
  <si>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</si>
  <si>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</si>
  <si>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</si>
  <si>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</si>
  <si>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</si>
  <si>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</si>
  <si>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</si>
  <si>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</si>
  <si>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</si>
  <si>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</si>
  <si>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</si>
  <si>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</si>
  <si>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</si>
  <si>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</si>
  <si>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</si>
  <si>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</si>
  <si>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</si>
  <si>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</si>
  <si>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</si>
  <si>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</si>
  <si>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</si>
  <si>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</si>
  <si>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</si>
  <si>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</si>
  <si>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</si>
  <si>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</si>
  <si>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</si>
  <si>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</si>
  <si>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</si>
  <si>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</si>
  <si>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</si>
  <si>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</si>
  <si>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</si>
  <si>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</si>
  <si>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</si>
  <si>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</si>
  <si>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</si>
  <si>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</si>
  <si>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</si>
  <si>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</si>
  <si>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</si>
  <si>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</si>
  <si>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</si>
  <si>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</si>
  <si>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</si>
  <si>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</si>
  <si>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</si>
  <si>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</si>
  <si>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</si>
  <si>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</si>
  <si>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</si>
  <si>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</si>
  <si>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</si>
  <si>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</si>
  <si>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</si>
  <si>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</si>
  <si>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</si>
  <si>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</si>
  <si>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</si>
  <si>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</si>
  <si>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</si>
  <si>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</si>
  <si>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</si>
  <si>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</si>
  <si>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</si>
  <si>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</si>
  <si>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</si>
  <si>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</si>
  <si>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</si>
  <si>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</si>
  <si>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</si>
  <si>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</si>
  <si>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</si>
  <si>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</si>
  <si>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</si>
  <si>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</si>
  <si>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</si>
  <si>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</si>
  <si>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</si>
  <si>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</si>
  <si>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</si>
  <si>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</si>
  <si>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</si>
  <si>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</si>
  <si>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</si>
  <si>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</si>
  <si>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</si>
  <si>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</si>
  <si>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</si>
  <si>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</si>
  <si>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</si>
  <si>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</si>
  <si>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</si>
  <si>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</si>
  <si>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</si>
  <si>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</si>
  <si>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</si>
  <si>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</si>
  <si>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</si>
  <si>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</si>
  <si>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</si>
  <si>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</si>
  <si>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</si>
  <si>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</si>
  <si>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</si>
  <si>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</si>
  <si>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</si>
  <si>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</si>
  <si>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</si>
  <si>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</si>
  <si>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</si>
  <si>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</si>
  <si>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</si>
  <si>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</si>
  <si>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</si>
  <si>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</si>
  <si>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</si>
  <si>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</si>
  <si>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</si>
  <si>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</si>
  <si>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</si>
  <si>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</si>
  <si>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</si>
  <si>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</si>
  <si>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</si>
  <si>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</si>
  <si>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</si>
  <si>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</si>
  <si>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</si>
  <si>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</si>
  <si>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</si>
  <si>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</si>
  <si>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</si>
  <si>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</si>
  <si>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</si>
  <si>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</si>
  <si>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</si>
  <si>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</si>
  <si>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</si>
  <si>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</si>
  <si>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</si>
  <si>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</si>
  <si>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</si>
  <si>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</si>
  <si>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</si>
  <si>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</si>
  <si>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</si>
  <si>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</si>
  <si>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</si>
  <si>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</si>
  <si>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</si>
  <si>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</si>
  <si>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</si>
  <si>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</si>
  <si>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</si>
  <si>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</si>
  <si>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</si>
  <si>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</si>
  <si>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</si>
  <si>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</si>
  <si>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</si>
  <si>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</si>
  <si>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</si>
  <si>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</si>
  <si>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</si>
  <si>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</si>
  <si>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</si>
  <si>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</si>
  <si>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</si>
  <si>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</si>
  <si>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</si>
  <si>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</si>
  <si>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</si>
  <si>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</si>
  <si>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</si>
  <si>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</si>
  <si>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</si>
  <si>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</si>
  <si>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</si>
  <si>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</si>
  <si>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</si>
  <si>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</si>
  <si>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</si>
  <si>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</si>
  <si>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</si>
  <si>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</si>
  <si>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</si>
  <si>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</si>
  <si>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</si>
  <si>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</si>
  <si>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</si>
  <si>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</si>
  <si>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</si>
  <si>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</si>
  <si>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</si>
  <si>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</si>
  <si>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</si>
  <si>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</si>
  <si>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</si>
  <si>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</si>
  <si>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</si>
  <si>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</si>
  <si>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</si>
  <si>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</si>
  <si>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</si>
  <si>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</si>
  <si>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</si>
  <si>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</si>
  <si>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</si>
  <si>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</si>
  <si>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</si>
  <si>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</si>
  <si>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</si>
  <si>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</si>
  <si>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</si>
  <si>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</si>
  <si>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</si>
  <si>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</si>
  <si>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</si>
  <si>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</si>
  <si>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</si>
  <si>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</si>
  <si>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</si>
  <si>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</si>
  <si>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</si>
  <si>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</si>
  <si>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</si>
  <si>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</si>
  <si>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</si>
  <si>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</si>
  <si>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</si>
  <si>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</si>
  <si>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</si>
  <si>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</si>
  <si>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</si>
  <si>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</si>
  <si>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</si>
  <si>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</si>
  <si>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</si>
  <si>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</si>
  <si>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</si>
  <si>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</si>
  <si>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</si>
  <si>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</si>
  <si>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</si>
  <si>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</si>
  <si>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</si>
  <si>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</si>
  <si>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</si>
  <si>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</si>
  <si>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</si>
  <si>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</si>
  <si>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</si>
  <si>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</si>
  <si>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</si>
  <si>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</si>
  <si>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</si>
  <si>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</si>
  <si>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</si>
  <si>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</si>
  <si>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</si>
  <si>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</si>
  <si>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</si>
  <si>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</si>
  <si>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</si>
  <si>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</si>
  <si>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</si>
  <si>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</si>
  <si>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</si>
  <si>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</si>
  <si>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</si>
  <si>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</si>
  <si>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</si>
  <si>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</si>
  <si>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</si>
  <si>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</si>
  <si>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</si>
  <si>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</si>
  <si>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</si>
  <si>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</si>
  <si>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</si>
  <si>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</si>
  <si>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</si>
  <si>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</si>
  <si>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</si>
  <si>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</si>
  <si>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</si>
  <si>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</si>
  <si>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</si>
  <si>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</si>
  <si>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</si>
  <si>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</si>
  <si>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</si>
  <si>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</si>
  <si>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</si>
  <si>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</si>
  <si>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</si>
  <si>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</si>
  <si>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</si>
  <si>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</si>
  <si>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</si>
  <si>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</si>
  <si>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</si>
  <si>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</si>
  <si>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</si>
  <si>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</si>
  <si>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</si>
  <si>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</si>
  <si>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</si>
  <si>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</si>
  <si>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</si>
  <si>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</si>
  <si>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</si>
  <si>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</si>
  <si>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</si>
  <si>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</si>
  <si>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</si>
  <si>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</si>
  <si>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</si>
  <si>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</si>
  <si>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</si>
  <si>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</si>
  <si>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</si>
  <si>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</si>
  <si>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</si>
  <si>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</si>
  <si>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</si>
  <si>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</si>
  <si>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</si>
  <si>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</si>
  <si>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</si>
  <si>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</si>
  <si>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</si>
  <si>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</si>
  <si>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</si>
  <si>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</si>
  <si>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</si>
  <si>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</si>
  <si>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</si>
  <si>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</si>
  <si>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</si>
  <si>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</si>
  <si>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</si>
  <si>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</si>
  <si>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</si>
  <si>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</si>
  <si>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</si>
  <si>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</si>
  <si>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</si>
  <si>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</si>
  <si>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</si>
  <si>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</si>
  <si>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</si>
  <si>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</si>
  <si>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</si>
  <si>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</si>
  <si>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</si>
  <si>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</si>
  <si>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</si>
  <si>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</si>
  <si>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</si>
  <si>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</si>
  <si>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</si>
  <si>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</si>
  <si>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</si>
  <si>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</si>
  <si>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</si>
  <si>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</si>
  <si>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</si>
  <si>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</si>
  <si>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</si>
  <si>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</si>
  <si>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</si>
  <si>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</si>
  <si>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</si>
  <si>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</si>
  <si>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</si>
  <si>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</si>
  <si>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</si>
  <si>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</si>
  <si>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</si>
  <si>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</si>
  <si>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</si>
  <si>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</si>
  <si>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</si>
  <si>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</si>
  <si>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</si>
  <si>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</si>
  <si>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</si>
  <si>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</si>
  <si>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</si>
  <si>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</si>
  <si>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</si>
  <si>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</si>
  <si>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</si>
  <si>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</si>
  <si>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</si>
  <si>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</si>
  <si>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</si>
  <si>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</si>
  <si>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</si>
  <si>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</si>
  <si>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</si>
  <si>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</si>
  <si>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</si>
  <si>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</si>
  <si>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</si>
  <si>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</si>
  <si>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</si>
  <si>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</si>
  <si>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</si>
  <si>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</si>
  <si>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</si>
  <si>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</si>
  <si>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</si>
  <si>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</si>
  <si>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</si>
  <si>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</si>
  <si>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</si>
  <si>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</si>
  <si>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</si>
  <si>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</si>
  <si>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</si>
  <si>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</si>
  <si>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</si>
  <si>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</si>
  <si>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</si>
  <si>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</si>
  <si>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</si>
  <si>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</si>
  <si>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</si>
  <si>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</si>
  <si>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</si>
  <si>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</si>
  <si>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</si>
  <si>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</si>
  <si>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</si>
  <si>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</si>
  <si>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</si>
  <si>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</si>
  <si>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</si>
  <si>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</si>
  <si>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</si>
  <si>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</si>
  <si>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</si>
  <si>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</si>
  <si>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</si>
  <si>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</si>
  <si>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</si>
  <si>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</si>
  <si>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</si>
  <si>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</si>
  <si>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</si>
  <si>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</si>
  <si>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</si>
  <si>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</si>
  <si>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</si>
  <si>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</si>
  <si>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</si>
  <si>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</si>
  <si>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</si>
  <si>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</si>
  <si>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</si>
  <si>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</si>
  <si>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</si>
  <si>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</si>
  <si>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</si>
  <si>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</si>
  <si>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</si>
  <si>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</si>
  <si>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</si>
  <si>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</si>
  <si>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</si>
  <si>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</si>
  <si>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</si>
  <si>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</si>
  <si>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</si>
  <si>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</si>
  <si>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</si>
  <si>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</si>
  <si>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</si>
  <si>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</si>
  <si>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</si>
  <si>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</si>
  <si>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</si>
  <si>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</si>
  <si>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</si>
  <si>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</si>
  <si>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</si>
  <si>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</si>
  <si>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</si>
  <si>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</si>
  <si>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</si>
  <si>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</si>
  <si>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</si>
  <si>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</si>
  <si>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</si>
  <si>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</si>
  <si>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</si>
  <si>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</si>
  <si>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</si>
  <si>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</si>
  <si>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</si>
  <si>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</si>
  <si>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</si>
  <si>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</si>
  <si>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</si>
  <si>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</si>
  <si>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</si>
  <si>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</si>
  <si>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</si>
  <si>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</si>
  <si>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</si>
  <si>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</si>
  <si>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</si>
  <si>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</si>
  <si>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</si>
  <si>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</si>
  <si>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</si>
  <si>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</si>
  <si>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</si>
  <si>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</si>
  <si>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</si>
  <si>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</si>
  <si>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</si>
  <si>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</si>
  <si>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</si>
  <si>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</si>
  <si>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</si>
  <si>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</si>
  <si>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</si>
  <si>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</si>
  <si>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</si>
  <si>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</si>
  <si>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</si>
  <si>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</si>
  <si>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</si>
  <si>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</si>
  <si>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</si>
  <si>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</si>
  <si>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</si>
  <si>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</si>
  <si>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</si>
  <si>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</si>
  <si>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</si>
  <si>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</si>
  <si>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</si>
  <si>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</si>
  <si>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</si>
  <si>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</si>
  <si>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</si>
  <si>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</si>
  <si>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</si>
  <si>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</si>
  <si>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</si>
  <si>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</si>
  <si>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</si>
  <si>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</si>
  <si>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</si>
  <si>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</si>
  <si>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</si>
  <si>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</si>
  <si>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</si>
  <si>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</si>
  <si>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</si>
  <si>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</si>
  <si>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</si>
  <si>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</si>
  <si>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</si>
  <si>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</si>
  <si>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</si>
  <si>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</si>
  <si>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</si>
  <si>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</si>
  <si>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</si>
  <si>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</si>
  <si>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</si>
  <si>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</si>
  <si>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</si>
  <si>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</si>
  <si>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</si>
  <si>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</si>
  <si>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</si>
  <si>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</si>
  <si>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</si>
  <si>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</si>
  <si>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</si>
  <si>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</si>
  <si>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</si>
  <si>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</si>
  <si>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</si>
  <si>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</si>
  <si>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</si>
  <si>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</si>
  <si>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</si>
  <si>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</si>
  <si>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</si>
  <si>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</si>
  <si>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</si>
  <si>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</si>
  <si>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</si>
  <si>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</si>
  <si>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</si>
  <si>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</si>
  <si>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</si>
  <si>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</si>
  <si>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</si>
  <si>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</si>
  <si>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</si>
  <si>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</si>
  <si>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</si>
  <si>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</si>
  <si>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</si>
  <si>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</si>
  <si>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</si>
  <si>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</si>
  <si>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</si>
  <si>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</si>
  <si>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</si>
  <si>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</si>
  <si>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</si>
  <si>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</si>
  <si>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</si>
  <si>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</si>
  <si>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</si>
  <si>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</si>
  <si>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</si>
  <si>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</si>
  <si>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</si>
  <si>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</si>
  <si>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</si>
  <si>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</si>
  <si>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</si>
  <si>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</si>
  <si>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</si>
  <si>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</si>
  <si>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</si>
  <si>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</si>
  <si>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</si>
  <si>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</si>
  <si>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</si>
  <si>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</si>
  <si>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</si>
  <si>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</si>
  <si>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</si>
  <si>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</si>
  <si>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</si>
  <si>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</si>
  <si>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</si>
  <si>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</si>
  <si>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</si>
  <si>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</si>
  <si>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</si>
  <si>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</si>
  <si>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</si>
  <si>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</si>
  <si>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</si>
  <si>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</si>
  <si>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</si>
  <si>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</si>
  <si>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</si>
  <si>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</si>
  <si>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</si>
  <si>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</si>
  <si>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</si>
  <si>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</si>
  <si>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</si>
  <si>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</si>
  <si>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</si>
  <si>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</si>
  <si>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</si>
  <si>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</si>
  <si>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</si>
  <si>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</si>
  <si>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</si>
  <si>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</si>
  <si>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</si>
  <si>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</si>
  <si>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</si>
  <si>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</si>
  <si>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</si>
  <si>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</si>
  <si>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</si>
  <si>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</si>
  <si>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</si>
  <si>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</si>
  <si>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</si>
  <si>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</si>
  <si>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</si>
  <si>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</si>
  <si>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</si>
  <si>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</si>
  <si>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</si>
  <si>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</si>
  <si>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</si>
  <si>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</si>
  <si>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</si>
  <si>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</si>
  <si>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</si>
  <si>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</si>
  <si>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</si>
  <si>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</si>
  <si>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</si>
  <si>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</si>
  <si>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</si>
  <si>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</si>
  <si>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</si>
  <si>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</si>
  <si>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</si>
  <si>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</si>
  <si>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</si>
  <si>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</si>
  <si>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</si>
  <si>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</si>
  <si>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</si>
  <si>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</si>
  <si>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</si>
  <si>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</si>
  <si>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</si>
  <si>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</si>
  <si>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</si>
  <si>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</si>
  <si>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</si>
  <si>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</si>
  <si>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</si>
  <si>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</si>
  <si>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</si>
  <si>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</si>
  <si>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</si>
  <si>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</si>
  <si>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</si>
  <si>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</si>
  <si>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</si>
  <si>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</si>
  <si>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</si>
  <si>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</si>
  <si>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</si>
  <si>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</si>
  <si>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</si>
  <si>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</si>
  <si>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</si>
  <si>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</si>
  <si>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</si>
  <si>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</si>
  <si>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</si>
  <si>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</si>
  <si>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</si>
  <si>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</si>
  <si>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</si>
  <si>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</si>
  <si>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</si>
  <si>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</si>
  <si>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</si>
  <si>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</si>
  <si>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</si>
  <si>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</si>
  <si>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</si>
  <si>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</si>
  <si>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</si>
  <si>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</si>
  <si>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</si>
  <si>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</si>
  <si>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</si>
  <si>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</si>
  <si>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</si>
  <si>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</si>
  <si>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</si>
  <si>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</si>
  <si>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</si>
  <si>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</si>
  <si>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</si>
  <si>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</si>
  <si>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</si>
  <si>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</si>
  <si>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</si>
  <si>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</si>
  <si>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</si>
  <si>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</si>
  <si>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</si>
  <si>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</si>
  <si>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</si>
  <si>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</si>
  <si>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</si>
  <si>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</si>
  <si>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</si>
  <si>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</si>
  <si>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</si>
  <si>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</si>
  <si>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</si>
  <si>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</si>
  <si>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</si>
  <si>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</si>
  <si>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</si>
  <si>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</si>
  <si>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</si>
  <si>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</si>
  <si>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</si>
  <si>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</si>
  <si>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</si>
  <si>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</si>
  <si>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</si>
  <si>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</si>
  <si>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</si>
  <si>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</si>
  <si>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</si>
  <si>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</si>
  <si>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</si>
  <si>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</si>
  <si>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</si>
  <si>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</si>
  <si>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</si>
  <si>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</si>
  <si>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</si>
  <si>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</si>
  <si>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</si>
  <si>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</si>
  <si>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</si>
  <si>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</si>
  <si>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</si>
  <si>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</si>
  <si>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</si>
  <si>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</si>
  <si>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</si>
  <si>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</si>
  <si>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</si>
  <si>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</si>
  <si>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</si>
  <si>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</si>
  <si>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</si>
  <si>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</si>
  <si>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</si>
  <si>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</si>
  <si>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</si>
  <si>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</si>
  <si>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</si>
  <si>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</si>
  <si>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</si>
  <si>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</si>
  <si>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</si>
  <si>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</si>
  <si>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</si>
  <si>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</si>
  <si>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</si>
  <si>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</si>
  <si>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</si>
  <si>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</si>
  <si>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</si>
  <si>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</si>
  <si>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</si>
  <si>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</si>
  <si>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</si>
  <si>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</si>
  <si>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</si>
  <si>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</si>
  <si>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</si>
  <si>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</si>
  <si>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</si>
  <si>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</si>
  <si>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</si>
  <si>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</si>
  <si>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</si>
  <si>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</si>
  <si>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</si>
  <si>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</si>
  <si>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</si>
  <si>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</si>
  <si>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</si>
  <si>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</si>
  <si>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</si>
  <si>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</si>
  <si>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</si>
  <si>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</si>
  <si>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</si>
  <si>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</si>
  <si>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</si>
  <si>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</si>
  <si>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</si>
  <si>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</si>
  <si>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</si>
  <si>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</si>
  <si>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</si>
  <si>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</si>
  <si>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</si>
  <si>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</si>
  <si>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</si>
  <si>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</si>
  <si>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</si>
  <si>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</si>
  <si>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</si>
  <si>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</si>
  <si>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</si>
  <si>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</si>
  <si>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</si>
  <si>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</si>
  <si>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</si>
  <si>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</si>
  <si>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</si>
  <si>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</si>
  <si>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</si>
  <si>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</si>
  <si>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</si>
  <si>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</si>
  <si>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</si>
  <si>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</si>
  <si>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</si>
  <si>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</si>
  <si>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</si>
  <si>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</si>
  <si>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</si>
  <si>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</si>
  <si>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</si>
  <si>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</si>
  <si>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</si>
  <si>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</si>
  <si>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</si>
  <si>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</si>
  <si>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</si>
  <si>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</si>
  <si>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</si>
  <si>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</si>
  <si>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</si>
  <si>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</si>
  <si>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</si>
  <si>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</si>
  <si>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</si>
  <si>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</si>
  <si>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</si>
  <si>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</si>
  <si>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</si>
  <si>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</si>
  <si>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</si>
  <si>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</si>
  <si>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</si>
  <si>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</si>
  <si>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</si>
  <si>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</si>
  <si>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</si>
  <si>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</si>
  <si>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</si>
  <si>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</si>
  <si>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</si>
  <si>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</si>
  <si>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</si>
  <si>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</si>
  <si>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</si>
  <si>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</si>
  <si>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</si>
  <si>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</si>
  <si>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</si>
  <si>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</si>
  <si>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</si>
  <si>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</si>
  <si>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</si>
  <si>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</si>
  <si>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</si>
  <si>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</si>
  <si>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</si>
  <si>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</si>
  <si>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</si>
  <si>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</si>
  <si>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</si>
  <si>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</si>
  <si>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</si>
  <si>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</si>
  <si>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</si>
  <si>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</si>
  <si>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</si>
  <si>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</si>
  <si>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</si>
  <si>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</si>
  <si>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</si>
  <si>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</si>
  <si>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</si>
  <si>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</si>
  <si>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</si>
  <si>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</si>
  <si>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</si>
  <si>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</si>
  <si>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</si>
  <si>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</si>
  <si>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</si>
  <si>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</si>
  <si>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</si>
  <si>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</si>
  <si>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</si>
  <si>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</si>
  <si>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</si>
  <si>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</si>
  <si>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</si>
  <si>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</si>
  <si>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</si>
  <si>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</si>
  <si>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</si>
  <si>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</si>
  <si>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</si>
  <si>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</si>
  <si>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</si>
  <si>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</si>
  <si>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</si>
  <si>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</si>
  <si>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</si>
  <si>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</si>
  <si>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</si>
  <si>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</si>
  <si>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</si>
  <si>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</si>
  <si>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</si>
  <si>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</si>
  <si>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</si>
  <si>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</si>
  <si>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</si>
  <si>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</si>
  <si>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</si>
  <si>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</si>
  <si>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</si>
  <si>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</si>
  <si>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</si>
  <si>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</si>
  <si>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</si>
  <si>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</si>
  <si>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</si>
  <si>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</si>
  <si>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</si>
  <si>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</si>
  <si>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</si>
  <si>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</si>
  <si>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</si>
  <si>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</si>
  <si>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</si>
  <si>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</si>
  <si>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</si>
  <si>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</si>
  <si>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</si>
  <si>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</si>
  <si>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</si>
  <si>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</si>
  <si>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</si>
  <si>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</si>
  <si>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</si>
  <si>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</si>
  <si>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</si>
  <si>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</si>
  <si>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</si>
  <si>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</si>
  <si>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</si>
  <si>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</si>
  <si>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</si>
  <si>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</si>
  <si>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</si>
  <si>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</si>
  <si>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</si>
  <si>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</si>
  <si>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</si>
  <si>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</si>
  <si>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</si>
  <si>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</si>
  <si>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</si>
  <si>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</si>
  <si>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</si>
  <si>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</si>
  <si>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</si>
  <si>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</si>
  <si>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</si>
  <si>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</si>
  <si>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</si>
  <si>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</si>
  <si>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</si>
  <si>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</si>
  <si>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</si>
  <si>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</si>
  <si>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</si>
  <si>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</si>
  <si>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</si>
  <si>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</si>
  <si>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</si>
  <si>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</si>
  <si>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</si>
  <si>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</si>
  <si>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</si>
  <si>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</si>
  <si>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</si>
  <si>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</si>
  <si>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</si>
  <si>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</si>
  <si>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</si>
  <si>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</si>
  <si>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</si>
  <si>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</si>
  <si>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</si>
  <si>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</si>
  <si>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</si>
  <si>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</si>
  <si>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</si>
  <si>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</si>
  <si>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</si>
  <si>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</si>
  <si>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</si>
  <si>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</si>
  <si>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</si>
  <si>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</si>
  <si>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</si>
  <si>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</si>
  <si>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</si>
  <si>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</si>
  <si>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</si>
  <si>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</si>
  <si>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</si>
  <si>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</si>
  <si>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</si>
  <si>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</si>
  <si>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</si>
  <si>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</si>
  <si>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</si>
  <si>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</si>
  <si>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</si>
  <si>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</si>
  <si>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</si>
  <si>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</si>
  <si>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</si>
  <si>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</si>
  <si>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</si>
  <si>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</si>
  <si>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</si>
  <si>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</si>
  <si>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</si>
  <si>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</si>
  <si>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</si>
  <si>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</si>
  <si>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</si>
  <si>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</si>
  <si>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</si>
  <si>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</si>
  <si>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</si>
  <si>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</si>
  <si>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</si>
  <si>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</si>
  <si>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</si>
  <si>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</si>
  <si>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</si>
  <si>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</si>
  <si>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</si>
  <si>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</si>
  <si>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</si>
  <si>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</si>
  <si>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</si>
  <si>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</si>
  <si>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</si>
  <si>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</si>
  <si>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</si>
  <si>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</si>
  <si>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</si>
  <si>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</si>
  <si>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</si>
  <si>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</si>
  <si>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</si>
  <si>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</si>
  <si>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</si>
  <si>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</si>
  <si>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</si>
  <si>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</si>
  <si>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</si>
  <si>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</si>
  <si>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</si>
  <si>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</si>
  <si>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</si>
  <si>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</si>
  <si>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</si>
  <si>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</si>
  <si>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</si>
  <si>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</si>
  <si>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</si>
  <si>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</si>
  <si>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</si>
  <si>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</si>
  <si>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</si>
  <si>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</si>
  <si>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</si>
  <si>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</si>
  <si>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</si>
  <si>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</si>
  <si>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</si>
  <si>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</si>
  <si>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</si>
  <si>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</si>
  <si>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</si>
  <si>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</si>
  <si>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</si>
  <si>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</si>
  <si>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</si>
  <si>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</si>
  <si>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</si>
  <si>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</si>
  <si>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</si>
  <si>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</si>
  <si>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</si>
  <si>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</si>
  <si>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</si>
  <si>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</si>
  <si>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</si>
  <si>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</si>
  <si>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</si>
  <si>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</si>
  <si>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</si>
  <si>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</si>
  <si>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</si>
  <si>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</si>
  <si>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</si>
  <si>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</si>
  <si>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</si>
  <si>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</si>
  <si>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</si>
  <si>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</si>
  <si>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</si>
  <si>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</si>
  <si>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</si>
  <si>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</si>
  <si>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</si>
  <si>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</si>
  <si>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</si>
  <si>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</si>
  <si>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</si>
  <si>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</si>
  <si>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</si>
  <si>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</si>
  <si>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</si>
  <si>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</si>
  <si>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</si>
  <si>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</si>
  <si>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</si>
  <si>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</si>
  <si>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</si>
  <si>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</si>
  <si>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</si>
  <si>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</si>
  <si>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</si>
  <si>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</si>
  <si>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</si>
  <si>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</si>
  <si>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</si>
  <si>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</si>
  <si>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</si>
  <si>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</si>
  <si>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</si>
  <si>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</si>
  <si>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</si>
  <si>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</si>
  <si>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</si>
  <si>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</si>
  <si>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</si>
  <si>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</si>
  <si>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</si>
  <si>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</si>
  <si>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</si>
  <si>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</si>
  <si>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</si>
  <si>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</si>
  <si>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</si>
  <si>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</si>
  <si>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</si>
  <si>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</si>
  <si>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</si>
  <si>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</si>
  <si>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</si>
  <si>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</si>
  <si>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</si>
  <si>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</si>
  <si>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</si>
  <si>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</si>
  <si>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</si>
  <si>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</si>
  <si>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</si>
  <si>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</si>
  <si>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</si>
  <si>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</si>
  <si>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</si>
  <si>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</si>
  <si>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</si>
  <si>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</si>
  <si>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</si>
  <si>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</si>
  <si>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</si>
  <si>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</si>
  <si>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</si>
  <si>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</si>
  <si>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</si>
  <si>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</si>
  <si>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</si>
  <si>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</si>
  <si>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</si>
  <si>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</si>
  <si>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</si>
  <si>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</si>
  <si>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</si>
  <si>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</si>
  <si>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</si>
  <si>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</si>
  <si>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</si>
  <si>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</si>
  <si>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</si>
  <si>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</si>
  <si>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</si>
  <si>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</si>
  <si>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</si>
  <si>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</si>
  <si>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</si>
  <si>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</si>
  <si>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</si>
  <si>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</si>
  <si>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</si>
  <si>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</si>
  <si>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</si>
  <si>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</si>
  <si>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</si>
  <si>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</si>
  <si>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</si>
  <si>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</si>
  <si>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</si>
  <si>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</si>
  <si>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</si>
  <si>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</si>
  <si>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</si>
  <si>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</si>
  <si>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</si>
  <si>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</si>
  <si>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</si>
  <si>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</si>
  <si>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</si>
  <si>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</si>
  <si>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</si>
  <si>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</si>
  <si>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</si>
  <si>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</si>
  <si>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</si>
  <si>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</si>
  <si>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</si>
  <si>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</si>
  <si>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</si>
  <si>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</si>
  <si>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</si>
  <si>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</si>
  <si>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</si>
  <si>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</si>
  <si>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</si>
  <si>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</si>
  <si>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</si>
  <si>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</si>
  <si>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</si>
  <si>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</si>
  <si>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</si>
  <si>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</si>
  <si>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</si>
  <si>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</si>
  <si>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</si>
  <si>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</si>
  <si>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</si>
  <si>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</si>
  <si>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</si>
  <si>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</si>
  <si>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</si>
  <si>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</si>
  <si>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</si>
  <si>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</si>
  <si>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</si>
  <si>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</si>
  <si>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</si>
  <si>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</si>
  <si>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</si>
  <si>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</si>
  <si>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</si>
  <si>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</si>
  <si>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</si>
  <si>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</si>
  <si>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</si>
  <si>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</si>
  <si>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</si>
  <si>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</si>
  <si>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</si>
  <si>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</si>
  <si>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</si>
  <si>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</si>
  <si>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</si>
  <si>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</si>
  <si>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</si>
  <si>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</si>
  <si>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</si>
  <si>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</si>
  <si>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</si>
  <si>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</si>
  <si>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</si>
  <si>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</si>
  <si>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</si>
  <si>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</si>
  <si>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</si>
  <si>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</si>
  <si>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</si>
  <si>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</si>
  <si>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</si>
  <si>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</si>
  <si>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</si>
  <si>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</si>
  <si>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</si>
  <si>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</si>
  <si>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</si>
  <si>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</si>
  <si>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</si>
  <si>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</si>
  <si>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</si>
  <si>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</si>
  <si>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</si>
  <si>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</si>
  <si>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</si>
  <si>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</si>
  <si>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</si>
  <si>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</si>
  <si>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</si>
  <si>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</si>
  <si>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</si>
  <si>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</si>
  <si>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</si>
  <si>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</si>
  <si>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</si>
  <si>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</si>
  <si>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</si>
  <si>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</si>
  <si>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</si>
  <si>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</si>
  <si>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</si>
  <si>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</si>
  <si>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</si>
  <si>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</si>
  <si>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</si>
  <si>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</si>
  <si>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</si>
  <si>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</si>
  <si>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</si>
  <si>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</si>
  <si>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</si>
  <si>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</si>
  <si>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</si>
  <si>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</si>
  <si>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</si>
  <si>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</si>
  <si>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</si>
  <si>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</si>
  <si>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</si>
  <si>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</si>
  <si>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</si>
  <si>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</si>
  <si>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</si>
  <si>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</si>
  <si>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</si>
  <si>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</si>
  <si>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</si>
  <si>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</si>
  <si>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</si>
  <si>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</si>
  <si>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</si>
  <si>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</si>
  <si>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</si>
  <si>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</si>
  <si>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</si>
  <si>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</si>
  <si>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</si>
  <si>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</si>
  <si>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</si>
  <si>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</si>
  <si>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</si>
  <si>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</si>
  <si>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</si>
  <si>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</si>
  <si>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</si>
  <si>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</si>
  <si>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</si>
  <si>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</si>
  <si>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</si>
  <si>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</si>
  <si>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</si>
  <si>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</si>
  <si>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</si>
  <si>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</si>
  <si>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</si>
  <si>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</si>
  <si>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</si>
  <si>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</si>
  <si>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</si>
  <si>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</si>
  <si>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</si>
  <si>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</si>
  <si>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</si>
  <si>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</si>
  <si>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</si>
  <si>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</si>
  <si>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</si>
  <si>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</si>
  <si>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</si>
  <si>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</si>
  <si>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</si>
  <si>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</si>
  <si>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</si>
  <si>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</si>
  <si>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</si>
  <si>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</si>
  <si>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</si>
  <si>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</si>
  <si>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</si>
  <si>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</si>
  <si>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</si>
  <si>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</si>
  <si>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</si>
  <si>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</si>
  <si>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</si>
  <si>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</si>
  <si>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</si>
  <si>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</si>
  <si>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</si>
  <si>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</si>
  <si>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</si>
  <si>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</si>
  <si>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</si>
  <si>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</si>
  <si>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</si>
  <si>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</si>
  <si>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</si>
  <si>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</si>
  <si>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</si>
  <si>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</si>
  <si>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</si>
  <si>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</si>
  <si>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</si>
  <si>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</si>
  <si>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</si>
  <si>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</si>
  <si>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</si>
  <si>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</si>
  <si>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</si>
  <si>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</si>
  <si>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</si>
  <si>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</si>
  <si>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</si>
  <si>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</si>
  <si>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</si>
  <si>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</si>
  <si>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</si>
  <si>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</si>
  <si>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</si>
  <si>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</si>
  <si>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</si>
  <si>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</si>
  <si>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</si>
  <si>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</si>
  <si>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</si>
  <si>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</si>
  <si>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</si>
  <si>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</si>
  <si>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</si>
  <si>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</si>
  <si>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</si>
  <si>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</si>
  <si>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</si>
  <si>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</si>
  <si>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</si>
  <si>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</si>
  <si>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</si>
  <si>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</si>
  <si>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</si>
  <si>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</si>
  <si>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</si>
  <si>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</si>
  <si>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</si>
  <si>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</si>
  <si>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</si>
  <si>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</si>
  <si>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</si>
  <si>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</si>
  <si>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</si>
  <si>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</si>
  <si>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</si>
  <si>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</si>
  <si>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</si>
  <si>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</si>
  <si>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</si>
  <si>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</si>
  <si>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</si>
  <si>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</si>
  <si>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</si>
  <si>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</si>
  <si>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</si>
  <si>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</si>
  <si>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</si>
  <si>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</si>
  <si>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</si>
  <si>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</si>
  <si>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</si>
  <si>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</si>
  <si>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</si>
  <si>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</si>
  <si>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</si>
  <si>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</si>
  <si>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</si>
  <si>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</si>
  <si>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</si>
  <si>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</si>
  <si>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</si>
  <si>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</si>
  <si>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</si>
  <si>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</si>
  <si>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</si>
  <si>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</si>
  <si>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</si>
  <si>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</si>
  <si>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</si>
  <si>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</si>
  <si>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</si>
  <si>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</si>
  <si>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</si>
  <si>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</si>
  <si>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</si>
  <si>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</si>
  <si>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</si>
  <si>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</si>
  <si>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</si>
  <si>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</si>
  <si>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</si>
  <si>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</si>
  <si>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</si>
  <si>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</si>
  <si>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</si>
  <si>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</si>
  <si>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</si>
  <si>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</si>
  <si>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</si>
  <si>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</si>
  <si>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</si>
  <si>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</si>
  <si>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</si>
  <si>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</si>
  <si>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</si>
  <si>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</si>
  <si>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</si>
  <si>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</si>
  <si>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</si>
  <si>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</si>
  <si>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</si>
  <si>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</si>
  <si>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</si>
  <si>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</si>
  <si>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</si>
  <si>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</si>
  <si>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</si>
  <si>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</si>
  <si>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</si>
  <si>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</si>
  <si>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</si>
  <si>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</si>
  <si>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</si>
  <si>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</si>
  <si>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</si>
  <si>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</si>
  <si>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</si>
  <si>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</si>
  <si>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</si>
  <si>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</si>
  <si>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</si>
  <si>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</si>
  <si>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</si>
  <si>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</si>
  <si>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</si>
  <si>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</si>
  <si>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</si>
  <si>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</si>
  <si>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</si>
  <si>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</si>
  <si>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</si>
  <si>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</si>
  <si>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</si>
  <si>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</si>
  <si>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</si>
  <si>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</si>
  <si>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</si>
  <si>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</si>
  <si>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</si>
  <si>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</si>
  <si>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</si>
  <si>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</si>
  <si>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</si>
  <si>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</si>
  <si>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</si>
  <si>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</si>
  <si>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</si>
  <si>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</si>
  <si>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</si>
  <si>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</si>
  <si>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</si>
  <si>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</si>
  <si>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</si>
  <si>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</si>
  <si>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</si>
  <si>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</si>
  <si>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</si>
  <si>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</si>
  <si>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</si>
  <si>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</si>
  <si>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</si>
  <si>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</si>
  <si>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</si>
  <si>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</si>
  <si>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</si>
  <si>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</si>
  <si>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</si>
  <si>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</si>
  <si>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</si>
  <si>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</si>
  <si>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</si>
  <si>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</si>
  <si>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</si>
  <si>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</si>
  <si>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</si>
  <si>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</si>
  <si>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</si>
  <si>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</si>
  <si>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</si>
  <si>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</si>
  <si>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</si>
  <si>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</si>
  <si>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</si>
  <si>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</si>
  <si>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</si>
  <si>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</si>
  <si>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</si>
  <si>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</si>
  <si>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</si>
  <si>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</si>
  <si>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</si>
  <si>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</si>
  <si>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</si>
  <si>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</si>
  <si>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</si>
  <si>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</si>
  <si>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</si>
  <si>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</si>
  <si>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</si>
  <si>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</si>
  <si>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</si>
  <si>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</si>
  <si>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</si>
  <si>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</si>
  <si>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</si>
  <si>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</si>
  <si>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</si>
  <si>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</si>
  <si>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</si>
  <si>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</si>
  <si>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</si>
  <si>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</si>
  <si>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</si>
  <si>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</si>
  <si>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</si>
  <si>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</si>
  <si>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</si>
  <si>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</si>
  <si>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</si>
  <si>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</si>
  <si>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</si>
  <si>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</si>
  <si>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</si>
  <si>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</si>
  <si>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</si>
  <si>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</si>
  <si>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</si>
  <si>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</si>
  <si>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</si>
  <si>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</si>
  <si>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</si>
  <si>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</si>
  <si>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</si>
  <si>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</si>
  <si>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</si>
  <si>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</si>
  <si>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</si>
  <si>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</si>
  <si>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</si>
  <si>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</si>
  <si>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</si>
  <si>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</si>
  <si>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</si>
  <si>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</si>
  <si>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</si>
  <si>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</si>
  <si>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</si>
  <si>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</si>
  <si>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</si>
  <si>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</si>
  <si>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</si>
  <si>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</si>
  <si>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</si>
  <si>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</si>
  <si>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</si>
  <si>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</si>
  <si>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</si>
  <si>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</si>
  <si>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</si>
  <si>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</si>
  <si>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</si>
  <si>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</si>
  <si>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</si>
  <si>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</si>
  <si>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</si>
  <si>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</si>
  <si>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</si>
  <si>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</si>
  <si>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</si>
  <si>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</si>
  <si>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</si>
  <si>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</si>
  <si>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</si>
  <si>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</si>
  <si>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</si>
  <si>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</si>
  <si>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</si>
  <si>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</si>
  <si>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</si>
  <si>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</si>
  <si>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</si>
  <si>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</si>
  <si>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</si>
  <si>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</si>
  <si>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</si>
  <si>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</si>
  <si>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</si>
  <si>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</si>
  <si>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</si>
  <si>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</si>
  <si>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</si>
  <si>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</si>
  <si>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</si>
  <si>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</si>
  <si>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</si>
  <si>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</si>
  <si>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</si>
  <si>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</si>
  <si>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</si>
  <si>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</si>
  <si>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</si>
  <si>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</si>
  <si>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</si>
  <si>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</si>
  <si>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</si>
  <si>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</si>
  <si>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</si>
  <si>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</si>
  <si>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</si>
  <si>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</si>
  <si>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</si>
  <si>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</si>
  <si>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</si>
  <si>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</si>
  <si>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</si>
  <si>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</si>
  <si>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</si>
  <si>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</si>
  <si>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</si>
  <si>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</si>
  <si>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</si>
  <si>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</si>
  <si>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</si>
  <si>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</si>
  <si>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</si>
  <si>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</si>
  <si>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</si>
  <si>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</si>
  <si>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</si>
  <si>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</si>
  <si>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</si>
  <si>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</si>
  <si>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</si>
  <si>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</si>
  <si>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</si>
  <si>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</si>
  <si>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</si>
  <si>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</si>
  <si>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</si>
  <si>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</si>
  <si>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</si>
  <si>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</si>
  <si>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</si>
  <si>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</si>
  <si>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</si>
  <si>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</si>
  <si>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</si>
  <si>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</si>
  <si>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</si>
  <si>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</si>
  <si>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</si>
  <si>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</si>
  <si>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</si>
  <si>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</si>
  <si>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</si>
  <si>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</si>
  <si>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</si>
  <si>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</si>
  <si>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</si>
  <si>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</si>
  <si>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</si>
  <si>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</si>
  <si>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</si>
  <si>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</si>
  <si>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</si>
  <si>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</si>
  <si>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</si>
  <si>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</si>
  <si>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</si>
  <si>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</si>
  <si>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</si>
  <si>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</si>
  <si>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</si>
  <si>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</si>
  <si>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</si>
  <si>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</si>
  <si>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</si>
  <si>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</si>
  <si>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</si>
  <si>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</si>
  <si>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</si>
  <si>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</si>
  <si>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</si>
  <si>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</si>
  <si>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</si>
  <si>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</si>
  <si>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</si>
  <si>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</si>
  <si>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</si>
  <si>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</si>
  <si>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</si>
  <si>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</si>
  <si>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</si>
  <si>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</si>
  <si>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</si>
  <si>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</si>
  <si>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</si>
  <si>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</si>
  <si>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</si>
  <si>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</si>
  <si>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</si>
  <si>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</si>
  <si>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</si>
  <si>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</si>
  <si>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</si>
  <si>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</si>
  <si>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</si>
  <si>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</si>
  <si>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</si>
  <si>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</si>
  <si>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</si>
  <si>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</si>
  <si>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</si>
  <si>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</si>
  <si>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</si>
  <si>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</si>
  <si>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</si>
  <si>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</si>
  <si>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</si>
  <si>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</si>
  <si>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</si>
  <si>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</si>
  <si>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</si>
  <si>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</si>
  <si>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</si>
  <si>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</si>
  <si>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</si>
  <si>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</si>
  <si>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</si>
  <si>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</si>
  <si>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</si>
  <si>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</si>
  <si>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</si>
  <si>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</si>
  <si>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</si>
  <si>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</si>
  <si>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</si>
  <si>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</si>
  <si>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</si>
  <si>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</si>
  <si>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</si>
  <si>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</si>
  <si>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</si>
  <si>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</si>
  <si>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</si>
  <si>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</si>
  <si>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</si>
  <si>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</si>
  <si>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</si>
  <si>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</si>
  <si>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</si>
  <si>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</si>
  <si>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</si>
  <si>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</si>
  <si>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</si>
  <si>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</si>
  <si>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</si>
  <si>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</si>
  <si>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</si>
  <si>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</si>
  <si>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</si>
  <si>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</si>
  <si>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</si>
  <si>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</si>
  <si>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</si>
  <si>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</si>
  <si>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</si>
  <si>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</si>
  <si>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</si>
  <si>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</si>
  <si>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</si>
  <si>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</si>
  <si>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</si>
  <si>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</si>
  <si>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</si>
  <si>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</si>
  <si>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</si>
  <si>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</si>
  <si>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</si>
  <si>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</si>
  <si>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</si>
  <si>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</si>
  <si>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</si>
  <si>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</si>
  <si>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</si>
  <si>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</si>
  <si>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</si>
  <si>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</si>
  <si>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</si>
  <si>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</si>
  <si>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</si>
  <si>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</si>
  <si>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</si>
  <si>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</si>
  <si>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</si>
  <si>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</si>
  <si>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</si>
  <si>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</si>
  <si>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</si>
  <si>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</si>
  <si>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</si>
  <si>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</si>
  <si>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</si>
  <si>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</si>
  <si>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</si>
  <si>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</si>
  <si>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</si>
  <si>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</si>
  <si>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</si>
  <si>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</si>
  <si>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</si>
  <si>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</si>
  <si>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</si>
  <si>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</si>
  <si>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</si>
  <si>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</si>
  <si>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</si>
  <si>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</si>
  <si>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</si>
  <si>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</si>
  <si>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</si>
  <si>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</si>
  <si>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</si>
  <si>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</si>
  <si>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</si>
  <si>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</si>
  <si>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</si>
  <si>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</si>
  <si>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</si>
  <si>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</si>
  <si>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</si>
  <si>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</si>
  <si>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</si>
  <si>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</si>
  <si>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</si>
  <si>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</si>
  <si>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</si>
  <si>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</si>
  <si>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</si>
  <si>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</si>
  <si>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</si>
  <si>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</si>
  <si>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</si>
  <si>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</si>
  <si>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</si>
  <si>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</si>
  <si>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</si>
  <si>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</si>
  <si>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</si>
  <si>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</si>
  <si>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</si>
  <si>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</si>
  <si>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</si>
  <si>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</si>
  <si>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</si>
  <si>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</si>
  <si>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</si>
  <si>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</si>
  <si>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</si>
  <si>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</si>
  <si>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</si>
  <si>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</si>
  <si>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</si>
  <si>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</si>
  <si>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</si>
  <si>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</si>
  <si>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</si>
  <si>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</si>
  <si>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</si>
  <si>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</si>
  <si>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</si>
  <si>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</si>
  <si>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</si>
  <si>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</si>
  <si>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</si>
  <si>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</si>
  <si>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</si>
  <si>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</si>
  <si>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</si>
  <si>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</si>
  <si>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</si>
  <si>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</si>
  <si>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</si>
  <si>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</si>
  <si>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</si>
  <si>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</si>
  <si>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</si>
  <si>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</si>
  <si>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</si>
  <si>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</si>
  <si>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</si>
  <si>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</si>
  <si>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</si>
  <si>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</si>
  <si>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</si>
  <si>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</si>
  <si>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</si>
  <si>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</si>
  <si>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</si>
  <si>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</si>
  <si>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</si>
  <si>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</si>
  <si>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</si>
  <si>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</si>
  <si>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</si>
  <si>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</si>
  <si>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</si>
  <si>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</si>
  <si>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</si>
  <si>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</si>
  <si>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</si>
  <si>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</si>
  <si>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</si>
  <si>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</si>
  <si>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</si>
  <si>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</si>
  <si>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</si>
  <si>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</si>
  <si>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</si>
  <si>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</si>
  <si>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</si>
  <si>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</si>
  <si>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</si>
  <si>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</si>
  <si>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</si>
  <si>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</si>
  <si>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</si>
  <si>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</si>
  <si>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</si>
  <si>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</si>
  <si>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</si>
  <si>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</si>
  <si>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</si>
  <si>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</si>
  <si>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</si>
  <si>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</si>
  <si>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</si>
  <si>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</si>
  <si>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</si>
  <si>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</si>
  <si>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</si>
  <si>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</si>
  <si>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</si>
  <si>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</si>
  <si>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</si>
  <si>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</si>
  <si>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</si>
  <si>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</si>
  <si>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</si>
  <si>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</si>
  <si>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</si>
  <si>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</si>
  <si>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</si>
  <si>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</si>
  <si>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</si>
  <si>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</si>
  <si>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</si>
  <si>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</si>
  <si>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</si>
  <si>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</si>
  <si>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</si>
  <si>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</si>
  <si>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</si>
  <si>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</si>
  <si>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</si>
  <si>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</si>
  <si>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</si>
  <si>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</si>
  <si>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</si>
  <si>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</si>
  <si>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</si>
  <si>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</si>
  <si>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</si>
  <si>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</si>
  <si>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</si>
  <si>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</si>
  <si>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</si>
  <si>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</si>
  <si>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</si>
  <si>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</si>
  <si>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</si>
  <si>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</si>
  <si>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</si>
  <si>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</si>
  <si>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</si>
  <si>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</si>
  <si>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</si>
  <si>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</si>
  <si>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</si>
  <si>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</si>
  <si>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</si>
  <si>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</si>
  <si>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</si>
  <si>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</si>
  <si>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</si>
  <si>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</si>
  <si>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</si>
  <si>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</si>
  <si>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</si>
  <si>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</si>
  <si>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</si>
  <si>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</si>
  <si>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</si>
  <si>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</si>
  <si>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</si>
  <si>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</si>
  <si>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</si>
  <si>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</si>
  <si>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</si>
  <si>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</si>
  <si>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</si>
  <si>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</si>
  <si>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</si>
  <si>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</si>
  <si>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</si>
  <si>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</si>
  <si>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</si>
  <si>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</si>
  <si>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</si>
  <si>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</si>
  <si>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</si>
  <si>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</si>
  <si>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</si>
  <si>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</si>
  <si>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</si>
  <si>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</si>
  <si>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</si>
  <si>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</si>
  <si>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</si>
  <si>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</si>
  <si>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</si>
  <si>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</si>
  <si>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</si>
  <si>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</si>
  <si>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</si>
  <si>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</si>
  <si>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</si>
  <si>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</si>
  <si>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</si>
  <si>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</si>
  <si>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</si>
  <si>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</si>
  <si>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</si>
  <si>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</si>
  <si>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</si>
  <si>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</si>
  <si>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</si>
  <si>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</si>
  <si>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</si>
  <si>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</si>
  <si>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</si>
  <si>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</si>
  <si>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</si>
  <si>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</si>
  <si>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</si>
  <si>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</si>
  <si>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</si>
  <si>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</si>
  <si>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</si>
  <si>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</si>
  <si>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</si>
  <si>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</si>
  <si>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</si>
  <si>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</si>
  <si>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</si>
  <si>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</si>
  <si>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</si>
  <si>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</si>
  <si>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</si>
  <si>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</si>
  <si>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</si>
  <si>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</si>
  <si>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</si>
  <si>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</si>
  <si>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</si>
  <si>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</si>
  <si>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</si>
  <si>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</si>
  <si>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</si>
  <si>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</si>
  <si>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</si>
  <si>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</si>
  <si>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</si>
  <si>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</si>
  <si>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</si>
  <si>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</si>
  <si>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</si>
  <si>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</si>
  <si>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</si>
  <si>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</si>
  <si>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</si>
  <si>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</si>
  <si>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</si>
  <si>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</si>
  <si>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</si>
  <si>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</si>
  <si>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</si>
  <si>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</si>
  <si>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</si>
  <si>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</si>
  <si>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</si>
  <si>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</si>
  <si>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</si>
  <si>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</si>
  <si>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</si>
  <si>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</si>
  <si>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</si>
  <si>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</si>
  <si>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</si>
  <si>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</si>
  <si>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</si>
  <si>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</si>
  <si>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</si>
  <si>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</si>
  <si>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</si>
  <si>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</si>
  <si>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</si>
  <si>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</si>
  <si>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</si>
  <si>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</si>
  <si>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</si>
  <si>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</si>
  <si>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</si>
  <si>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</si>
  <si>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</si>
  <si>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</si>
  <si>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</si>
  <si>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</si>
  <si>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</si>
  <si>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</si>
  <si>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</si>
  <si>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</si>
  <si>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</si>
  <si>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</si>
  <si>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</si>
  <si>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</si>
  <si>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</si>
  <si>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</si>
  <si>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</si>
  <si>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</si>
  <si>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</si>
  <si>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</si>
  <si>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</si>
  <si>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</si>
  <si>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</si>
  <si>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</si>
  <si>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</si>
  <si>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</si>
  <si>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</si>
  <si>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</si>
  <si>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</si>
  <si>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</si>
  <si>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</si>
  <si>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</si>
  <si>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</si>
  <si>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</si>
  <si>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</si>
  <si>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</si>
  <si>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</si>
  <si>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</si>
  <si>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</si>
  <si>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</si>
  <si>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</si>
  <si>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</si>
  <si>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</si>
  <si>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</si>
  <si>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</si>
  <si>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</si>
  <si>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</si>
  <si>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</si>
  <si>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</si>
  <si>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</si>
  <si>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</si>
  <si>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</si>
  <si>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</si>
  <si>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</si>
  <si>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</si>
  <si>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</si>
  <si>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</si>
  <si>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</si>
  <si>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</si>
  <si>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</si>
  <si>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</si>
  <si>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</si>
  <si>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</si>
  <si>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</si>
  <si>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</si>
  <si>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</si>
  <si>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</si>
  <si>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</si>
  <si>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</si>
  <si>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</si>
  <si>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</si>
  <si>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</si>
  <si>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</si>
  <si>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</si>
  <si>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</si>
  <si>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</si>
  <si>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</si>
  <si>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</si>
  <si>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</si>
  <si>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</si>
  <si>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</si>
  <si>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</si>
  <si>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</si>
  <si>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</si>
  <si>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</si>
  <si>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</si>
  <si>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</si>
  <si>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</si>
  <si>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</si>
  <si>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</si>
  <si>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</si>
  <si>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</si>
  <si>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</si>
  <si>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</si>
  <si>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</si>
  <si>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</si>
  <si>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</si>
  <si>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</si>
  <si>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</si>
  <si>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</si>
  <si>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</si>
  <si>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</si>
  <si>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</si>
  <si>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</si>
  <si>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</si>
  <si>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</si>
  <si>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</si>
  <si>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</si>
  <si>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</si>
  <si>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</si>
  <si>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</si>
  <si>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</si>
  <si>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</si>
  <si>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</si>
  <si>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</si>
  <si>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</si>
  <si>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</si>
  <si>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</si>
  <si>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</si>
  <si>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</si>
  <si>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</si>
  <si>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</si>
  <si>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</si>
  <si>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</si>
  <si>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</si>
  <si>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</si>
  <si>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</si>
  <si>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</si>
  <si>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</si>
  <si>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</si>
  <si>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</si>
  <si>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</si>
  <si>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</si>
  <si>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</si>
  <si>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</si>
  <si>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</si>
  <si>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</si>
  <si>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</si>
  <si>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</si>
  <si>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</si>
  <si>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</si>
  <si>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</si>
  <si>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</si>
  <si>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</si>
  <si>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</si>
  <si>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</si>
  <si>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</si>
  <si>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</si>
  <si>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</si>
  <si>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</si>
  <si>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</si>
  <si>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</si>
  <si>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</si>
  <si>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</si>
  <si>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</si>
  <si>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</si>
  <si>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</si>
  <si>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</si>
  <si>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</si>
  <si>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</si>
  <si>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</si>
  <si>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</si>
  <si>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</si>
  <si>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</si>
  <si>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</si>
  <si>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</si>
  <si>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</si>
  <si>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</si>
  <si>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</si>
  <si>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</si>
  <si>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</si>
  <si>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</si>
  <si>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</si>
  <si>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</si>
  <si>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</si>
  <si>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</si>
  <si>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</si>
  <si>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</si>
  <si>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</si>
  <si>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</si>
  <si>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</si>
  <si>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</si>
  <si>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</si>
  <si>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</si>
  <si>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</si>
  <si>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</si>
  <si>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</si>
  <si>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</si>
  <si>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</si>
  <si>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</si>
  <si>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</si>
  <si>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</si>
  <si>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</si>
  <si>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</si>
  <si>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</si>
  <si>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</si>
  <si>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</si>
  <si>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</si>
  <si>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</si>
  <si>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</si>
  <si>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</si>
  <si>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</si>
  <si>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</si>
  <si>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</si>
  <si>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</si>
  <si>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</si>
  <si>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</si>
  <si>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</si>
  <si>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</si>
  <si>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</si>
  <si>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</si>
  <si>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</si>
  <si>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</si>
  <si>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</si>
  <si>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</si>
  <si>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</si>
  <si>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</si>
  <si>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</si>
  <si>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</si>
  <si>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</si>
  <si>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</si>
  <si>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</si>
  <si>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</si>
  <si>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</si>
  <si>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</si>
  <si>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</si>
  <si>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</si>
  <si>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</si>
  <si>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</si>
  <si>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</si>
  <si>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</si>
  <si>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</si>
  <si>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</si>
  <si>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</si>
  <si>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</si>
  <si>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</si>
  <si>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</si>
  <si>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</si>
  <si>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</si>
  <si>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</si>
  <si>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</si>
  <si>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</si>
  <si>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</si>
  <si>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</si>
  <si>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</si>
  <si>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</si>
  <si>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</si>
  <si>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</si>
  <si>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</si>
  <si>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</si>
  <si>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</si>
  <si>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</si>
  <si>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</si>
  <si>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</si>
  <si>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</si>
  <si>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</si>
  <si>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</si>
  <si>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</si>
  <si>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</si>
  <si>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</si>
  <si>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</si>
  <si>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</si>
  <si>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</si>
  <si>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</si>
  <si>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</si>
  <si>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</si>
  <si>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</si>
  <si>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</si>
  <si>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</si>
  <si>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</si>
  <si>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</si>
  <si>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</si>
  <si>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</si>
  <si>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</si>
  <si>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</si>
  <si>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</si>
  <si>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</si>
  <si>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</si>
  <si>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</si>
  <si>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</si>
  <si>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</si>
  <si>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</si>
  <si>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</si>
  <si>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</si>
  <si>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</si>
  <si>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</si>
  <si>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</si>
  <si>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</si>
  <si>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</si>
  <si>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</si>
  <si>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</si>
  <si>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</si>
  <si>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</si>
  <si>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</si>
  <si>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</si>
  <si>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</si>
  <si>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</si>
  <si>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</si>
  <si>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</si>
  <si>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</si>
  <si>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</si>
  <si>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</si>
  <si>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</si>
  <si>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</si>
  <si>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</si>
  <si>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</si>
  <si>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</si>
  <si>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</si>
  <si>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</si>
  <si>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</si>
  <si>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</si>
  <si>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</si>
  <si>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</si>
  <si>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</si>
  <si>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</si>
  <si>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</si>
  <si>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</si>
  <si>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</si>
  <si>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</si>
  <si>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</si>
  <si>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</si>
  <si>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</si>
  <si>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</si>
  <si>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</si>
  <si>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</si>
  <si>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</si>
  <si>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</si>
  <si>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</si>
  <si>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</si>
  <si>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</si>
  <si>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</si>
  <si>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</si>
  <si>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</si>
  <si>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</si>
  <si>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</si>
  <si>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</si>
  <si>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</si>
  <si>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</si>
  <si>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</si>
  <si>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</si>
  <si>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</si>
  <si>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</si>
  <si>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</si>
  <si>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</si>
  <si>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</si>
  <si>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</si>
  <si>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</si>
  <si>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</si>
  <si>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</si>
  <si>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</si>
  <si>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</si>
  <si>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</si>
  <si>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</si>
  <si>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</si>
  <si>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</si>
  <si>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</si>
  <si>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</si>
  <si>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</si>
  <si>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</si>
  <si>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</si>
  <si>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</si>
  <si>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</si>
  <si>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</si>
  <si>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</si>
  <si>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</si>
  <si>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</si>
  <si>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</si>
  <si>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</si>
  <si>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</si>
  <si>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</si>
  <si>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</si>
  <si>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</si>
  <si>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</si>
  <si>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</si>
  <si>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</si>
  <si>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</si>
  <si>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</si>
  <si>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</si>
  <si>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</si>
  <si>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</si>
  <si>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</si>
  <si>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</si>
  <si>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</si>
  <si>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</si>
  <si>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</si>
  <si>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</si>
  <si>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</si>
  <si>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</si>
  <si>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</si>
  <si>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</si>
  <si>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</si>
  <si>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</si>
  <si>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</si>
  <si>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</si>
  <si>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</si>
  <si>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</si>
  <si>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</si>
  <si>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</si>
  <si>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</si>
  <si>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</si>
  <si>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</si>
  <si>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</si>
  <si>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</si>
  <si>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</si>
  <si>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</si>
  <si>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</si>
  <si>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</si>
  <si>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</si>
  <si>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</si>
  <si>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</si>
  <si>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</si>
  <si>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</si>
  <si>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</si>
  <si>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</si>
  <si>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</si>
  <si>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</si>
  <si>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</si>
  <si>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</si>
  <si>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</si>
  <si>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</si>
  <si>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</si>
  <si>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</si>
  <si>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</si>
  <si>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</si>
  <si>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</si>
  <si>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</si>
  <si>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</si>
  <si>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</si>
  <si>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</si>
  <si>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</si>
  <si>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</si>
  <si>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</si>
  <si>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</si>
  <si>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</si>
  <si>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</si>
  <si>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</si>
  <si>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</si>
  <si>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</si>
  <si>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</si>
  <si>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</si>
  <si>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</si>
  <si>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</si>
  <si>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</si>
  <si>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</si>
  <si>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</si>
  <si>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</si>
  <si>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</si>
  <si>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</si>
  <si>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</si>
  <si>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</si>
  <si>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</si>
  <si>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</si>
  <si>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</si>
  <si>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</si>
  <si>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</si>
  <si>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</si>
  <si>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</si>
  <si>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</si>
  <si>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</si>
  <si>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</si>
  <si>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</si>
  <si>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</si>
  <si>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</si>
  <si>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</si>
  <si>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</si>
  <si>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</si>
  <si>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</si>
  <si>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</si>
  <si>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</si>
  <si>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</si>
  <si>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</si>
  <si>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</si>
  <si>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</si>
  <si>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</si>
  <si>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</si>
  <si>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</si>
  <si>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</si>
  <si>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</si>
  <si>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</si>
  <si>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</si>
  <si>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</si>
  <si>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</si>
  <si>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</si>
  <si>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</si>
  <si>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</si>
  <si>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</si>
  <si>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</si>
  <si>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</si>
  <si>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</si>
  <si>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</si>
  <si>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</si>
  <si>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</si>
  <si>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</si>
  <si>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</si>
  <si>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</si>
  <si>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</si>
  <si>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</si>
  <si>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</si>
  <si>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</si>
  <si>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</si>
  <si>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</si>
  <si>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</si>
  <si>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</si>
  <si>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</si>
  <si>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</si>
  <si>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</si>
  <si>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</si>
  <si>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</si>
  <si>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</si>
  <si>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</si>
  <si>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</si>
  <si>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</si>
  <si>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</si>
  <si>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</si>
  <si>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</si>
  <si>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</si>
  <si>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</si>
  <si>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</si>
  <si>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</si>
  <si>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</si>
  <si>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</si>
  <si>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</si>
  <si>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</si>
  <si>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</si>
  <si>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</si>
  <si>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</si>
  <si>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</si>
  <si>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</si>
  <si>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</si>
  <si>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</si>
  <si>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</si>
  <si>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</si>
  <si>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</si>
  <si>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</si>
  <si>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</si>
  <si>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</si>
  <si>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</si>
  <si>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</si>
  <si>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</si>
  <si>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</si>
  <si>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</si>
  <si>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</si>
  <si>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</si>
  <si>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</si>
  <si>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</si>
  <si>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</si>
  <si>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</si>
  <si>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</si>
  <si>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</si>
  <si>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</si>
  <si>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</si>
  <si>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</si>
  <si>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</si>
  <si>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</si>
  <si>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</si>
  <si>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</si>
  <si>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</si>
  <si>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</si>
  <si>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</si>
  <si>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</si>
  <si>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</si>
  <si>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</si>
  <si>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</si>
  <si>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</si>
  <si>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</si>
  <si>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</si>
  <si>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</si>
  <si>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</si>
  <si>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</si>
  <si>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</si>
  <si>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</si>
  <si>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</si>
  <si>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</si>
  <si>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</si>
  <si>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</si>
  <si>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</si>
  <si>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</si>
  <si>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</si>
  <si>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</si>
  <si>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</si>
  <si>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</si>
  <si>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</si>
  <si>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</si>
  <si>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</si>
  <si>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</si>
  <si>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</si>
  <si>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</si>
  <si>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</si>
  <si>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</si>
  <si>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</si>
  <si>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</si>
  <si>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</si>
  <si>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</si>
  <si>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</si>
  <si>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</si>
  <si>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</si>
  <si>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</si>
  <si>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</si>
  <si>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</si>
  <si>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</si>
  <si>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</si>
  <si>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</si>
  <si>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</si>
  <si>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</si>
  <si>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</si>
  <si>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</si>
  <si>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</si>
  <si>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</si>
  <si>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</si>
  <si>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</si>
  <si>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</si>
  <si>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</si>
  <si>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</si>
  <si>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</si>
  <si>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</si>
  <si>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</si>
  <si>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</si>
  <si>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</si>
  <si>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</si>
  <si>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</si>
  <si>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</si>
  <si>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</si>
  <si>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</si>
  <si>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</si>
  <si>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</si>
  <si>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</si>
  <si>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</si>
  <si>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</si>
  <si>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</si>
  <si>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</si>
  <si>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</si>
  <si>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</si>
  <si>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</si>
  <si>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</si>
  <si>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</si>
  <si>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</si>
  <si>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</si>
  <si>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</si>
  <si>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</si>
  <si>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</si>
  <si>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</si>
  <si>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</si>
  <si>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</si>
  <si>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</si>
  <si>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</si>
  <si>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</si>
  <si>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</si>
  <si>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</si>
  <si>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</si>
  <si>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</si>
  <si>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</si>
  <si>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</si>
  <si>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</si>
  <si>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</si>
  <si>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</si>
  <si>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</si>
  <si>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</si>
  <si>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</si>
  <si>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</si>
  <si>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</si>
  <si>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</si>
  <si>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</si>
  <si>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</si>
  <si>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</si>
  <si>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</si>
  <si>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</si>
  <si>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</si>
  <si>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</si>
  <si>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</si>
  <si>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</si>
  <si>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</si>
  <si>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</si>
  <si>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</si>
  <si>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</si>
  <si>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</si>
  <si>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</si>
  <si>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</si>
  <si>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</si>
  <si>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</si>
  <si>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</si>
  <si>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</si>
  <si>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</si>
  <si>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</si>
  <si>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</si>
  <si>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</si>
  <si>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</si>
  <si>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</si>
  <si>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</si>
  <si>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</si>
  <si>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</si>
  <si>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</si>
  <si>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</si>
  <si>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</si>
  <si>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</si>
  <si>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</si>
  <si>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</si>
  <si>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</si>
  <si>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</si>
  <si>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</si>
  <si>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</si>
  <si>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</si>
  <si>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</si>
  <si>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</si>
  <si>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</si>
  <si>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</si>
  <si>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</si>
  <si>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</si>
  <si>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</si>
  <si>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</si>
  <si>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</si>
  <si>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</si>
  <si>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</si>
  <si>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</si>
  <si>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</si>
  <si>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</si>
  <si>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</si>
  <si>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</si>
  <si>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</si>
  <si>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</si>
  <si>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</si>
  <si>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</si>
  <si>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</si>
  <si>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</si>
  <si>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</si>
  <si>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</si>
  <si>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</si>
  <si>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</si>
  <si>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</si>
  <si>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</si>
  <si>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</si>
  <si>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</si>
  <si>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</si>
  <si>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</si>
  <si>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</si>
  <si>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</si>
  <si>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</si>
  <si>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</si>
  <si>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</si>
  <si>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</si>
  <si>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</si>
  <si>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</si>
  <si>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</si>
  <si>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</si>
  <si>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</si>
  <si>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</si>
  <si>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</si>
  <si>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</si>
  <si>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</si>
  <si>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</si>
  <si>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</si>
  <si>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</si>
  <si>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</si>
  <si>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</si>
  <si>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</si>
  <si>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</si>
  <si>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</si>
  <si>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</si>
  <si>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</si>
  <si>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</si>
  <si>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</si>
  <si>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</si>
  <si>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</si>
  <si>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</si>
  <si>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</si>
  <si>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</si>
  <si>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</si>
  <si>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</si>
  <si>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</si>
  <si>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</si>
  <si>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</si>
  <si>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</si>
  <si>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</si>
  <si>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</si>
  <si>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</si>
  <si>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</si>
  <si>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</si>
  <si>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</si>
  <si>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</si>
  <si>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</si>
  <si>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</si>
  <si>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</si>
  <si>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</si>
  <si>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</si>
  <si>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</si>
  <si>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</si>
  <si>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</si>
  <si>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</si>
  <si>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</si>
  <si>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</si>
  <si>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</si>
  <si>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</si>
  <si>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</si>
  <si>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</si>
  <si>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</si>
  <si>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</si>
  <si>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</si>
  <si>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</si>
  <si>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</si>
  <si>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</si>
  <si>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</si>
  <si>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</si>
  <si>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</si>
  <si>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</si>
  <si>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</si>
  <si>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</si>
  <si>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</si>
  <si>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</si>
  <si>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</si>
  <si>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</si>
  <si>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</si>
  <si>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</si>
  <si>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</si>
  <si>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</si>
  <si>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</si>
  <si>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</si>
  <si>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</si>
  <si>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</si>
  <si>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</si>
  <si>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</si>
  <si>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</si>
  <si>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</si>
  <si>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</si>
  <si>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</si>
  <si>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</si>
  <si>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</si>
  <si>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</si>
  <si>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</si>
  <si>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</si>
  <si>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</si>
  <si>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</si>
  <si>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</si>
  <si>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</si>
  <si>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</si>
  <si>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</si>
  <si>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</si>
  <si>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</si>
  <si>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</si>
  <si>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</si>
  <si>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</si>
  <si>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</si>
  <si>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</si>
  <si>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</si>
  <si>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</si>
  <si>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</si>
  <si>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</si>
  <si>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</si>
  <si>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</si>
  <si>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</si>
  <si>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</si>
  <si>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</si>
  <si>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</si>
  <si>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</si>
  <si>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</si>
  <si>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</si>
  <si>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</si>
  <si>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</si>
  <si>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</si>
  <si>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</si>
  <si>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</si>
  <si>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</si>
  <si>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</si>
  <si>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</si>
  <si>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</si>
  <si>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</si>
  <si>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</si>
  <si>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</si>
  <si>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</si>
  <si>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</si>
  <si>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</si>
  <si>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</si>
  <si>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</si>
  <si>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</si>
  <si>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</si>
  <si>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</si>
  <si>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</si>
  <si>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</si>
  <si>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</si>
  <si>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</si>
  <si>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</si>
  <si>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</si>
  <si>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</si>
  <si>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</si>
  <si>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</si>
  <si>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</si>
  <si>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</si>
  <si>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</si>
  <si>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</si>
  <si>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</si>
  <si>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</si>
  <si>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</si>
  <si>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</si>
  <si>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</si>
  <si>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</si>
  <si>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</si>
  <si>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</si>
  <si>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</si>
  <si>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</si>
  <si>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</si>
  <si>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</si>
  <si>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</si>
  <si>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</si>
  <si>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</si>
  <si>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</si>
  <si>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</si>
  <si>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</si>
  <si>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</si>
  <si>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</si>
  <si>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</si>
  <si>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</si>
  <si>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</si>
  <si>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</si>
  <si>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</si>
  <si>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</si>
  <si>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</si>
  <si>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</si>
  <si>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</si>
  <si>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</si>
  <si>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</si>
  <si>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</si>
  <si>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</si>
  <si>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</si>
  <si>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</si>
  <si>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</si>
  <si>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</si>
  <si>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</si>
  <si>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</si>
  <si>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</si>
  <si>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</si>
  <si>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</si>
  <si>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</si>
  <si>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</si>
  <si>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</si>
  <si>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</si>
  <si>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</si>
  <si>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</si>
  <si>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</si>
  <si>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</si>
  <si>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</si>
  <si>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</si>
  <si>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</si>
  <si>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</si>
  <si>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</si>
  <si>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</si>
  <si>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</si>
  <si>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</si>
  <si>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</si>
  <si>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</si>
  <si>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</si>
  <si>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</si>
  <si>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</si>
  <si>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</si>
  <si>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</si>
  <si>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</si>
  <si>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</si>
  <si>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</si>
  <si>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</si>
  <si>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</si>
  <si>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</si>
  <si>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</si>
  <si>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</si>
  <si>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</si>
  <si>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</si>
  <si>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</si>
  <si>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</si>
  <si>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</si>
  <si>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</si>
  <si>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</si>
  <si>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</si>
  <si>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</si>
  <si>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</si>
  <si>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</si>
  <si>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</si>
  <si>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</si>
  <si>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</si>
  <si>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</si>
  <si>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</si>
  <si>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</si>
  <si>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</si>
  <si>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</si>
  <si>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</si>
  <si>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</si>
  <si>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</si>
  <si>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</si>
  <si>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</si>
  <si>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</si>
  <si>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</si>
  <si>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</si>
  <si>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</si>
  <si>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</si>
  <si>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</si>
  <si>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</si>
  <si>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</si>
  <si>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</si>
  <si>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</si>
  <si>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</si>
  <si>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</si>
  <si>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</si>
  <si>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</si>
  <si>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</si>
  <si>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</si>
  <si>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</si>
  <si>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</si>
  <si>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</si>
  <si>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</si>
  <si>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</si>
  <si>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</si>
  <si>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</si>
  <si>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</si>
  <si>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</si>
  <si>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</si>
  <si>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</si>
  <si>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</si>
  <si>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</si>
  <si>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</si>
  <si>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</si>
  <si>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</si>
  <si>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</si>
  <si>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</si>
  <si>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</si>
  <si>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</si>
  <si>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</si>
  <si>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</si>
  <si>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</si>
  <si>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</si>
  <si>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</si>
  <si>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</si>
  <si>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</si>
  <si>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</si>
  <si>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</si>
  <si>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</si>
  <si>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</si>
  <si>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</si>
  <si>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</si>
  <si>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</si>
  <si>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</si>
  <si>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</si>
  <si>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</si>
  <si>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</si>
  <si>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</si>
  <si>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</si>
  <si>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</si>
  <si>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</si>
  <si>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</si>
  <si>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</si>
  <si>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</si>
  <si>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</si>
  <si>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</si>
  <si>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</si>
  <si>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</si>
  <si>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</si>
  <si>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</si>
  <si>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</si>
  <si>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</si>
  <si>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</si>
  <si>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</si>
  <si>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</si>
  <si>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</si>
  <si>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</si>
  <si>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</si>
  <si>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</si>
  <si>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</si>
  <si>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</si>
  <si>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</si>
  <si>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</si>
  <si>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</si>
  <si>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</si>
  <si>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</si>
  <si>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</si>
  <si>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</si>
  <si>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</si>
  <si>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</si>
  <si>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</si>
  <si>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</si>
  <si>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</si>
  <si>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</si>
  <si>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</si>
  <si>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</si>
  <si>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</si>
  <si>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</si>
  <si>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</si>
  <si>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</si>
  <si>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</si>
  <si>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</si>
  <si>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</si>
  <si>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</si>
  <si>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</si>
  <si>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</si>
  <si>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</si>
  <si>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</si>
  <si>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</si>
  <si>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</si>
  <si>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</si>
  <si>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</si>
  <si>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</si>
  <si>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</si>
  <si>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</si>
  <si>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</si>
  <si>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</si>
  <si>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</si>
  <si>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</si>
  <si>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</si>
  <si>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</si>
  <si>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</si>
  <si>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</si>
  <si>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</si>
  <si>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</si>
  <si>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</si>
  <si>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</si>
  <si>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</si>
  <si>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</si>
  <si>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</si>
  <si>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</si>
  <si>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</si>
  <si>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</si>
  <si>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</si>
  <si>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</si>
  <si>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</si>
  <si>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</si>
  <si>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</si>
  <si>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</si>
  <si>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</si>
  <si>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</si>
  <si>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</si>
  <si>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</si>
  <si>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</si>
  <si>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</si>
  <si>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</si>
  <si>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</si>
  <si>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</si>
  <si>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</si>
  <si>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</si>
  <si>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</si>
  <si>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</si>
  <si>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</si>
  <si>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</si>
  <si>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</si>
  <si>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</si>
  <si>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</si>
  <si>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</si>
  <si>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</si>
  <si>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</si>
  <si>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</si>
  <si>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</si>
  <si>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</si>
  <si>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</si>
  <si>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</si>
  <si>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</si>
  <si>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</si>
  <si>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</si>
  <si>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</si>
  <si>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</si>
  <si>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</si>
  <si>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</si>
  <si>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</si>
  <si>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</si>
  <si>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</si>
  <si>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</si>
  <si>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</si>
  <si>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</si>
  <si>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</si>
  <si>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</si>
  <si>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</si>
  <si>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</si>
  <si>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</si>
  <si>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</si>
  <si>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</si>
  <si>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</si>
  <si>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</si>
  <si>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</si>
  <si>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</si>
  <si>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</si>
  <si>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</si>
  <si>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</si>
  <si>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</si>
  <si>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</si>
  <si>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</si>
  <si>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</si>
  <si>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</si>
  <si>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</si>
  <si>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</si>
  <si>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</si>
  <si>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</si>
  <si>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</si>
  <si>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</si>
  <si>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</si>
  <si>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</si>
  <si>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</si>
  <si>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</si>
  <si>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</si>
  <si>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</si>
  <si>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</si>
  <si>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</si>
  <si>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</si>
  <si>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</si>
  <si>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</si>
  <si>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</si>
  <si>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</si>
  <si>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</si>
  <si>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</si>
  <si>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</si>
  <si>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</si>
  <si>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</si>
  <si>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</si>
  <si>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</si>
  <si>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</si>
  <si>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</si>
  <si>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</si>
  <si>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</si>
  <si>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</si>
  <si>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</si>
  <si>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</si>
  <si>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</si>
  <si>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</si>
  <si>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</si>
  <si>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</si>
  <si>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</si>
  <si>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</si>
  <si>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</si>
  <si>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</si>
  <si>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</si>
  <si>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</si>
  <si>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</si>
  <si>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</si>
  <si>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</si>
  <si>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</si>
  <si>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</si>
  <si>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</si>
  <si>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</si>
  <si>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</si>
  <si>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</si>
  <si>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</si>
  <si>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</si>
  <si>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</si>
  <si>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</si>
  <si>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</si>
  <si>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</si>
  <si>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</si>
  <si>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</si>
  <si>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</si>
  <si>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</si>
  <si>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</si>
  <si>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</si>
  <si>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</si>
  <si>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</si>
  <si>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</si>
  <si>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</si>
  <si>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</si>
  <si>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</si>
  <si>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</si>
  <si>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</si>
  <si>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</si>
  <si>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</si>
  <si>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</si>
  <si>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</si>
  <si>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</si>
  <si>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</si>
  <si>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</si>
  <si>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</si>
  <si>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</si>
  <si>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</si>
  <si>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</si>
  <si>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</si>
  <si>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</si>
  <si>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</si>
  <si>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</si>
  <si>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</si>
  <si>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</si>
  <si>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</si>
  <si>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</si>
  <si>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</si>
  <si>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</si>
  <si>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</si>
  <si>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</si>
  <si>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</si>
  <si>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</si>
  <si>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</si>
  <si>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</si>
  <si>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</si>
  <si>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</si>
  <si>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</si>
  <si>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</si>
  <si>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</si>
  <si>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</si>
  <si>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</si>
  <si>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</si>
  <si>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</si>
  <si>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</si>
  <si>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</si>
  <si>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</si>
  <si>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</si>
  <si>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</si>
  <si>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</si>
  <si>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</si>
  <si>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</si>
  <si>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</si>
  <si>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</si>
  <si>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</si>
  <si>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</si>
  <si>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</si>
  <si>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</si>
  <si>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</si>
  <si>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</si>
  <si>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</si>
  <si>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</si>
  <si>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</si>
  <si>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</si>
  <si>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</si>
  <si>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</si>
  <si>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</si>
  <si>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</si>
  <si>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</si>
  <si>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</si>
  <si>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</si>
  <si>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</si>
  <si>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</si>
  <si>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</si>
  <si>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</si>
  <si>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</si>
  <si>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</si>
  <si>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</si>
  <si>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</si>
  <si>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</si>
  <si>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</si>
  <si>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</si>
  <si>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</si>
  <si>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</si>
  <si>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</si>
  <si>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</si>
  <si>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</si>
  <si>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</si>
  <si>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</si>
  <si>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</si>
  <si>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</si>
  <si>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</si>
  <si>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</si>
  <si>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</si>
  <si>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</si>
  <si>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</si>
  <si>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</si>
  <si>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</si>
  <si>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</si>
  <si>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</si>
  <si>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</si>
  <si>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</si>
  <si>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</si>
  <si>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</si>
  <si>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</si>
  <si>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</si>
  <si>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</si>
  <si>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</si>
  <si>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</si>
  <si>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</si>
  <si>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</si>
  <si>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</si>
  <si>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</si>
  <si>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</si>
  <si>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</si>
  <si>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</si>
  <si>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</si>
  <si>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</si>
  <si>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</si>
  <si>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</si>
  <si>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</si>
  <si>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</si>
  <si>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</si>
  <si>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</si>
  <si>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</si>
  <si>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</si>
  <si>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</si>
  <si>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</si>
  <si>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</si>
  <si>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</si>
  <si>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</si>
  <si>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</si>
  <si>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</si>
  <si>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</si>
  <si>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</si>
  <si>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</si>
  <si>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</si>
  <si>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</si>
  <si>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</si>
  <si>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</si>
  <si>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</si>
  <si>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</si>
  <si>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</si>
  <si>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</si>
  <si>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</si>
  <si>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</si>
  <si>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</si>
  <si>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</si>
  <si>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</si>
  <si>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</si>
  <si>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</si>
  <si>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</si>
  <si>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</si>
  <si>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</si>
  <si>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</si>
  <si>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</si>
  <si>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</si>
  <si>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</si>
  <si>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</si>
  <si>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</si>
  <si>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</si>
  <si>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</si>
  <si>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</si>
  <si>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</si>
  <si>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</si>
  <si>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</si>
  <si>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</si>
  <si>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</si>
  <si>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</si>
  <si>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</si>
  <si>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</si>
  <si>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</si>
  <si>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</si>
  <si>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</si>
  <si>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</si>
  <si>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</si>
  <si>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</si>
  <si>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</si>
  <si>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</si>
  <si>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</si>
  <si>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</si>
  <si>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</si>
  <si>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</si>
  <si>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</si>
  <si>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</si>
  <si>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</si>
  <si>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</si>
  <si>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</si>
  <si>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</si>
  <si>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</si>
  <si>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</si>
  <si>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</si>
  <si>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</si>
  <si>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</si>
  <si>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</si>
  <si>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</si>
  <si>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</si>
  <si>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</si>
  <si>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</si>
  <si>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</si>
  <si>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</si>
  <si>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</si>
  <si>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</si>
  <si>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</si>
  <si>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</si>
  <si>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</si>
  <si>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</si>
  <si>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</si>
  <si>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</si>
  <si>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</si>
  <si>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</si>
  <si>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</si>
  <si>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</si>
  <si>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</si>
  <si>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</si>
  <si>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</si>
  <si>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</si>
  <si>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</si>
  <si>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</si>
  <si>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</si>
  <si>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</si>
  <si>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</si>
  <si>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</si>
  <si>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</si>
  <si>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</si>
  <si>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</si>
  <si>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</si>
  <si>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</si>
  <si>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</si>
  <si>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</si>
  <si>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</si>
  <si>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</si>
  <si>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</si>
  <si>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</si>
  <si>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</si>
  <si>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</si>
  <si>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</si>
  <si>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</si>
  <si>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</si>
  <si>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</si>
  <si>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</si>
  <si>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</si>
  <si>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</si>
  <si>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</si>
  <si>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</si>
  <si>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</si>
  <si>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</si>
  <si>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</si>
  <si>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</si>
  <si>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</si>
  <si>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</si>
  <si>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</si>
  <si>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</si>
  <si>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</si>
  <si>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</si>
  <si>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</si>
  <si>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</si>
  <si>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</si>
  <si>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</si>
  <si>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</si>
  <si>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</si>
  <si>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</si>
  <si>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</si>
  <si>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</si>
  <si>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</si>
  <si>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</si>
  <si>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</si>
  <si>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</si>
  <si>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</si>
  <si>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</si>
  <si>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</si>
  <si>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</si>
  <si>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</si>
  <si>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</si>
  <si>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</si>
  <si>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</si>
  <si>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</si>
  <si>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</si>
  <si>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</si>
  <si>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</si>
  <si>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</si>
  <si>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</si>
  <si>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</si>
  <si>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</si>
  <si>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</si>
  <si>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</si>
  <si>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</si>
  <si>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</si>
  <si>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</si>
  <si>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</si>
  <si>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</si>
  <si>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</si>
  <si>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</si>
  <si>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</si>
  <si>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</si>
  <si>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</si>
  <si>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</si>
  <si>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</si>
  <si>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</si>
  <si>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</si>
  <si>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</si>
  <si>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</si>
  <si>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</si>
  <si>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</si>
  <si>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</si>
  <si>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</si>
  <si>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</si>
  <si>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</si>
  <si>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</si>
  <si>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</si>
  <si>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</si>
  <si>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</si>
  <si>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</si>
  <si>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</si>
  <si>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</si>
  <si>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</si>
  <si>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</si>
  <si>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</si>
  <si>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</si>
  <si>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</si>
  <si>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</si>
  <si>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</si>
  <si>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</si>
  <si>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</si>
  <si>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</si>
  <si>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</si>
  <si>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</si>
  <si>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</si>
  <si>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</si>
  <si>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</si>
  <si>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</si>
  <si>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</si>
  <si>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</si>
  <si>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</si>
  <si>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</si>
  <si>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</si>
  <si>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</si>
  <si>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</si>
  <si>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</si>
  <si>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</si>
  <si>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</si>
  <si>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</si>
  <si>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</si>
  <si>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</si>
  <si>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</si>
  <si>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</si>
  <si>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</si>
  <si>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</si>
  <si>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</si>
  <si>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</si>
  <si>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</si>
  <si>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</si>
  <si>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</si>
  <si>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</si>
  <si>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</si>
  <si>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</si>
  <si>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</si>
  <si>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</si>
  <si>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</si>
  <si>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</si>
  <si>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</si>
  <si>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</si>
  <si>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</si>
  <si>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</si>
  <si>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</si>
  <si>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</si>
  <si>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</si>
  <si>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</si>
  <si>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</si>
  <si>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</si>
  <si>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</si>
  <si>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</si>
  <si>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</si>
  <si>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</si>
  <si>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</si>
  <si>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</si>
  <si>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</si>
  <si>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</si>
  <si>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</si>
  <si>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</si>
  <si>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</si>
  <si>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</si>
  <si>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</si>
  <si>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</si>
  <si>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</si>
  <si>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</si>
  <si>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</si>
  <si>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</si>
  <si>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</si>
  <si>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</si>
  <si>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</si>
  <si>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</si>
  <si>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</si>
  <si>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</si>
  <si>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</si>
  <si>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</si>
  <si>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</si>
  <si>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</si>
  <si>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</si>
  <si>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</si>
  <si>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</si>
  <si>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</si>
  <si>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</si>
  <si>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</si>
  <si>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</si>
  <si>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</si>
  <si>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</si>
  <si>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</si>
  <si>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</si>
  <si>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</si>
  <si>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</si>
  <si>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</si>
  <si>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</si>
  <si>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</si>
  <si>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</si>
  <si>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</si>
  <si>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</si>
  <si>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</si>
  <si>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</si>
  <si>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</si>
  <si>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</si>
  <si>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</si>
  <si>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</si>
  <si>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</si>
  <si>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</si>
  <si>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</si>
  <si>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</si>
  <si>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</si>
  <si>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</si>
  <si>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</si>
  <si>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</si>
  <si>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</si>
  <si>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</si>
  <si>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</si>
  <si>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</si>
  <si>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</si>
  <si>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</si>
  <si>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</si>
  <si>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</si>
  <si>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</si>
  <si>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</si>
  <si>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</si>
  <si>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</si>
  <si>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</si>
  <si>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</si>
  <si>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</si>
  <si>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</si>
  <si>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</si>
  <si>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</si>
  <si>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</si>
  <si>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</si>
  <si>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</si>
  <si>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</si>
  <si>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</si>
  <si>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</si>
  <si>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</si>
  <si>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</si>
  <si>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</si>
  <si>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</si>
  <si>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</si>
  <si>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</si>
  <si>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</si>
  <si>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</si>
  <si>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</si>
  <si>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</si>
  <si>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</si>
  <si>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</si>
  <si>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</si>
  <si>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</si>
  <si>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</si>
  <si>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</si>
  <si>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</si>
  <si>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</si>
  <si>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</si>
  <si>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</si>
  <si>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</si>
  <si>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</si>
  <si>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</si>
  <si>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</si>
  <si>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</si>
  <si>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</si>
  <si>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</si>
  <si>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</si>
  <si>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</si>
  <si>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</si>
  <si>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</si>
  <si>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</si>
  <si>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</si>
  <si>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</si>
  <si>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</si>
  <si>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</si>
  <si>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</si>
  <si>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</si>
  <si>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</si>
  <si>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</si>
  <si>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</si>
  <si>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</si>
  <si>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</si>
  <si>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</si>
  <si>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</si>
  <si>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</si>
  <si>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</si>
  <si>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</si>
  <si>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</si>
  <si>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</si>
  <si>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</si>
  <si>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</si>
  <si>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</si>
  <si>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</si>
  <si>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</si>
  <si>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</si>
  <si>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</si>
  <si>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</si>
  <si>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</si>
  <si>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</si>
  <si>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</si>
  <si>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</si>
  <si>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</si>
  <si>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</si>
  <si>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</si>
  <si>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</si>
  <si>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</si>
  <si>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</si>
  <si>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</si>
  <si>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</si>
  <si>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</si>
  <si>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</si>
  <si>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</si>
  <si>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</si>
  <si>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</si>
  <si>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</si>
  <si>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</si>
  <si>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</si>
  <si>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</si>
  <si>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</si>
  <si>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</si>
  <si>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</si>
  <si>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</si>
  <si>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</si>
  <si>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</si>
  <si>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</si>
  <si>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</si>
  <si>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</si>
  <si>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</si>
  <si>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</si>
  <si>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</si>
  <si>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</si>
  <si>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</si>
  <si>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</si>
  <si>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</si>
  <si>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</si>
  <si>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</si>
  <si>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</si>
  <si>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</si>
  <si>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</si>
  <si>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</si>
  <si>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</si>
  <si>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</si>
  <si>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</si>
  <si>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</si>
  <si>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</si>
  <si>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</si>
  <si>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</si>
  <si>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</si>
  <si>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</si>
  <si>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</si>
  <si>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</si>
  <si>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</si>
  <si>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</si>
  <si>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</si>
  <si>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</si>
  <si>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</si>
  <si>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</si>
  <si>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</si>
  <si>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</si>
  <si>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</si>
  <si>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</si>
  <si>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</si>
  <si>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</si>
  <si>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</si>
  <si>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</si>
  <si>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</si>
  <si>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</si>
  <si>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</si>
  <si>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</si>
  <si>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</si>
  <si>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</si>
  <si>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</si>
  <si>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</si>
  <si>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</si>
  <si>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</si>
  <si>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</si>
  <si>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</si>
  <si>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</si>
  <si>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</si>
  <si>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</si>
  <si>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</si>
  <si>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</si>
  <si>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</si>
  <si>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</si>
  <si>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</si>
  <si>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</si>
  <si>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</si>
  <si>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</si>
  <si>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</si>
  <si>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</si>
  <si>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</si>
  <si>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</si>
  <si>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</si>
  <si>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</si>
  <si>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</si>
  <si>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</si>
  <si>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</si>
  <si>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</si>
  <si>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</si>
  <si>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</si>
  <si>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</si>
  <si>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</si>
  <si>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</si>
  <si>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</si>
  <si>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</si>
  <si>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</si>
  <si>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</si>
  <si>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</si>
  <si>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</si>
  <si>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</si>
  <si>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</si>
  <si>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</si>
  <si>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</si>
  <si>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</si>
  <si>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</si>
  <si>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</si>
  <si>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</si>
  <si>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</si>
  <si>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</si>
  <si>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</si>
  <si>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</si>
  <si>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</si>
  <si>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</si>
  <si>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</si>
  <si>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</si>
  <si>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</si>
  <si>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</si>
  <si>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</si>
  <si>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</si>
  <si>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</si>
  <si>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</si>
  <si>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</si>
  <si>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</si>
  <si>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</si>
  <si>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</si>
  <si>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</si>
  <si>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</si>
  <si>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</si>
  <si>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</si>
  <si>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</si>
  <si>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</si>
  <si>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</si>
  <si>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</si>
  <si>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</si>
  <si>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</si>
  <si>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</si>
  <si>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</si>
  <si>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</si>
  <si>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</si>
  <si>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</si>
  <si>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</si>
  <si>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</si>
  <si>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</si>
  <si>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</si>
  <si>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</si>
  <si>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</si>
  <si>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</si>
  <si>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</si>
  <si>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</si>
  <si>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</si>
  <si>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</si>
  <si>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</si>
  <si>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</si>
  <si>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</si>
  <si>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</si>
  <si>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</si>
  <si>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</si>
  <si>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</si>
  <si>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</si>
  <si>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</si>
  <si>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</si>
  <si>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</si>
  <si>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</si>
  <si>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</si>
  <si>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</si>
  <si>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</si>
  <si>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</si>
  <si>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</si>
  <si>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</si>
  <si>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</si>
  <si>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</si>
  <si>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</si>
  <si>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</si>
  <si>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</si>
  <si>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</si>
  <si>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</si>
  <si>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</si>
  <si>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</si>
  <si>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</si>
  <si>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</si>
  <si>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</si>
  <si>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</si>
  <si>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</si>
  <si>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</si>
  <si>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</si>
  <si>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</si>
  <si>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</si>
  <si>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</si>
  <si>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</si>
  <si>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</si>
  <si>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</si>
  <si>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</si>
  <si>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</si>
  <si>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</si>
  <si>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</si>
  <si>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</si>
  <si>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</si>
  <si>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</si>
  <si>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</si>
  <si>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</si>
  <si>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</si>
  <si>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</si>
  <si>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</si>
  <si>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</si>
  <si>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</si>
  <si>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</si>
  <si>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</si>
  <si>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</si>
  <si>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</si>
  <si>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</si>
  <si>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</si>
  <si>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</si>
  <si>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</si>
  <si>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</si>
  <si>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</si>
  <si>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</si>
  <si>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</si>
  <si>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</si>
  <si>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</si>
  <si>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</si>
  <si>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</si>
  <si>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</si>
  <si>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</si>
  <si>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</si>
  <si>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</si>
  <si>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</si>
  <si>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</si>
  <si>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</si>
  <si>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</si>
  <si>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</si>
  <si>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</si>
  <si>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</si>
  <si>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</si>
  <si>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</si>
  <si>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</si>
  <si>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</si>
  <si>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</si>
  <si>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</si>
  <si>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</si>
  <si>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</si>
  <si>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</si>
  <si>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</si>
  <si>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</si>
  <si>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</si>
  <si>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</si>
  <si>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</si>
  <si>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</si>
  <si>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</si>
  <si>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</si>
  <si>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</si>
  <si>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</si>
  <si>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</si>
  <si>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</si>
  <si>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</si>
  <si>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</si>
  <si>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</si>
  <si>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</si>
  <si>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</si>
  <si>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</si>
  <si>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</si>
  <si>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</si>
  <si>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</si>
  <si>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</si>
  <si>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</si>
  <si>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</si>
  <si>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</si>
  <si>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</si>
  <si>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</si>
  <si>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</si>
  <si>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</si>
  <si>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</si>
  <si>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</si>
  <si>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</si>
  <si>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</si>
  <si>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</si>
  <si>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</si>
  <si>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</si>
  <si>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</si>
  <si>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</si>
  <si>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</si>
  <si>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</si>
  <si>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</si>
  <si>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</si>
  <si>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</si>
  <si>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</si>
  <si>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</si>
  <si>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</si>
  <si>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</si>
  <si>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</si>
  <si>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</si>
  <si>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</si>
  <si>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</si>
  <si>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</si>
  <si>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</si>
  <si>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</si>
  <si>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</si>
  <si>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</si>
  <si>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</si>
  <si>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</si>
  <si>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</si>
  <si>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</si>
  <si>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</si>
  <si>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</si>
  <si>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</si>
  <si>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</si>
  <si>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</si>
  <si>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</si>
  <si>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</si>
  <si>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</si>
  <si>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</si>
  <si>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</si>
  <si>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</si>
  <si>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</si>
  <si>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</si>
  <si>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</si>
  <si>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</si>
  <si>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</si>
  <si>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</si>
  <si>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</si>
  <si>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</si>
  <si>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</si>
  <si>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</si>
  <si>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</si>
  <si>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</si>
  <si>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</si>
  <si>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</si>
  <si>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</si>
  <si>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</si>
  <si>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</si>
  <si>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</si>
  <si>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</si>
  <si>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</si>
  <si>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</si>
  <si>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</si>
  <si>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</si>
  <si>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</si>
  <si>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</si>
  <si>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</si>
  <si>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</si>
  <si>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</si>
  <si>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</si>
  <si>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</si>
  <si>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</si>
  <si>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</si>
  <si>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</si>
  <si>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</si>
  <si>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</si>
  <si>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</si>
  <si>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</si>
  <si>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</si>
  <si>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</si>
  <si>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</si>
  <si>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</si>
  <si>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</si>
  <si>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</si>
  <si>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</si>
  <si>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</si>
  <si>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</si>
  <si>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</si>
  <si>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</si>
  <si>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</si>
  <si>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</si>
  <si>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</si>
  <si>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</si>
  <si>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</si>
  <si>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</si>
  <si>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</si>
  <si>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</si>
  <si>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</si>
  <si>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</si>
  <si>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</si>
  <si>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</si>
  <si>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</si>
  <si>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</si>
  <si>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</si>
  <si>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</si>
  <si>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</si>
  <si>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</si>
  <si>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</si>
  <si>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</si>
  <si>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</si>
  <si>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</si>
  <si>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</si>
  <si>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</si>
  <si>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</si>
  <si>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</si>
  <si>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</si>
  <si>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</si>
  <si>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</si>
  <si>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</si>
  <si>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</si>
  <si>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</si>
  <si>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</si>
  <si>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</si>
  <si>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</si>
  <si>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</si>
  <si>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</si>
  <si>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</si>
  <si>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</si>
  <si>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</si>
  <si>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</si>
  <si>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</si>
  <si>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</si>
  <si>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</si>
  <si>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</si>
  <si>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</si>
  <si>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</si>
  <si>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</si>
  <si>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</si>
  <si>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</si>
  <si>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</si>
  <si>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</si>
  <si>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</si>
  <si>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</si>
  <si>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</si>
  <si>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</si>
  <si>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</si>
  <si>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</si>
  <si>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</si>
  <si>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</si>
  <si>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</si>
  <si>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</si>
  <si>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</si>
  <si>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</si>
  <si>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</si>
  <si>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</si>
  <si>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</si>
  <si>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</si>
  <si>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</si>
  <si>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</si>
  <si>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</si>
  <si>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</si>
  <si>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</si>
  <si>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</si>
  <si>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</si>
  <si>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</si>
  <si>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</si>
  <si>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</si>
  <si>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</si>
  <si>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</si>
  <si>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</si>
  <si>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</si>
  <si>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</si>
  <si>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</si>
  <si>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</si>
  <si>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</si>
  <si>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</si>
  <si>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</si>
  <si>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</si>
  <si>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</si>
  <si>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</si>
  <si>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</si>
  <si>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</si>
  <si>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</si>
  <si>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</si>
  <si>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</si>
  <si>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</si>
  <si>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</si>
  <si>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</si>
  <si>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</si>
  <si>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</si>
  <si>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</si>
  <si>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</si>
  <si>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</si>
  <si>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</si>
  <si>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</si>
  <si>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</si>
  <si>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</si>
  <si>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</si>
  <si>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</si>
  <si>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</si>
  <si>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</si>
  <si>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</si>
  <si>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</si>
  <si>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</si>
  <si>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</si>
  <si>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</si>
  <si>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</si>
  <si>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</si>
  <si>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</si>
  <si>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</si>
  <si>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</si>
  <si>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</si>
  <si>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</si>
  <si>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</si>
  <si>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</si>
  <si>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</si>
  <si>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</si>
  <si>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</si>
  <si>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</si>
  <si>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</si>
  <si>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</si>
  <si>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</si>
  <si>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</si>
  <si>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</si>
  <si>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</si>
  <si>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</si>
  <si>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</si>
  <si>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</si>
  <si>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</si>
  <si>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</si>
  <si>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</si>
  <si>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</si>
  <si>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</si>
  <si>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</si>
  <si>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</si>
  <si>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</si>
  <si>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</si>
  <si>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</si>
  <si>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</si>
  <si>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</si>
  <si>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</si>
  <si>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</si>
  <si>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</si>
  <si>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</si>
  <si>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</si>
  <si>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</si>
  <si>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</si>
  <si>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</si>
  <si>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</si>
  <si>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</si>
  <si>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</si>
  <si>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</si>
  <si>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</si>
  <si>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</si>
  <si>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</si>
  <si>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</si>
  <si>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</si>
  <si>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</si>
  <si>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</si>
  <si>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</si>
  <si>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</si>
  <si>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</si>
  <si>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</si>
  <si>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</si>
  <si>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</si>
  <si>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</si>
  <si>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</si>
  <si>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</si>
  <si>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</si>
  <si>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</si>
  <si>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</si>
  <si>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</si>
  <si>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</si>
  <si>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</si>
  <si>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</si>
  <si>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</si>
  <si>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</si>
  <si>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</si>
  <si>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</si>
  <si>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</si>
  <si>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</si>
  <si>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</si>
  <si>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</si>
  <si>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</si>
  <si>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</si>
  <si>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</si>
  <si>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</si>
  <si>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</si>
  <si>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</si>
  <si>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</si>
  <si>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</si>
  <si>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</si>
  <si>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</si>
  <si>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</si>
  <si>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</si>
  <si>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</si>
  <si>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</si>
  <si>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</si>
  <si>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</si>
  <si>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</si>
  <si>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</si>
  <si>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</si>
  <si>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</si>
  <si>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</si>
  <si>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</si>
  <si>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</si>
  <si>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</si>
  <si>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</si>
  <si>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</si>
  <si>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</si>
  <si>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</si>
  <si>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</si>
  <si>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</si>
  <si>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</si>
  <si>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</si>
  <si>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</si>
  <si>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</si>
  <si>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</si>
  <si>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</si>
  <si>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</si>
  <si>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</si>
  <si>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</si>
  <si>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</si>
  <si>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</si>
  <si>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</si>
  <si>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</si>
  <si>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</si>
  <si>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</si>
  <si>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</si>
  <si>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</si>
  <si>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</si>
  <si>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</si>
  <si>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</si>
  <si>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</si>
  <si>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</si>
  <si>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</si>
  <si>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</si>
  <si>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</si>
  <si>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</si>
  <si>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</si>
  <si>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</si>
  <si>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</si>
  <si>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</si>
  <si>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</si>
  <si>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</si>
  <si>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</si>
  <si>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</si>
  <si>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</si>
  <si>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</si>
  <si>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</si>
  <si>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</si>
  <si>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</si>
  <si>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</si>
  <si>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</si>
  <si>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</si>
  <si>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</si>
  <si>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</si>
  <si>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</si>
  <si>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</si>
  <si>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</si>
  <si>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</si>
  <si>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</si>
  <si>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</si>
  <si>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</si>
  <si>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</si>
  <si>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</si>
  <si>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</si>
  <si>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</si>
  <si>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</si>
  <si>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</si>
  <si>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</si>
  <si>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</si>
  <si>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</si>
  <si>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</si>
  <si>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</si>
  <si>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</si>
  <si>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</si>
  <si>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</si>
  <si>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</si>
  <si>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</si>
  <si>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</si>
  <si>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</si>
  <si>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</si>
  <si>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</si>
  <si>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</si>
  <si>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</si>
  <si>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</si>
  <si>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</si>
  <si>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</si>
  <si>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</si>
  <si>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</si>
  <si>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</si>
  <si>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</si>
  <si>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</si>
  <si>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</si>
  <si>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</si>
  <si>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</si>
  <si>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</si>
  <si>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</si>
  <si>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</si>
  <si>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</si>
  <si>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</si>
  <si>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</si>
  <si>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</si>
  <si>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</si>
  <si>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</si>
  <si>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</si>
  <si>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</si>
  <si>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</si>
  <si>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</si>
  <si>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</si>
  <si>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</si>
  <si>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</si>
  <si>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</si>
  <si>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</si>
  <si>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</si>
  <si>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</si>
  <si>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</si>
  <si>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</si>
  <si>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</si>
  <si>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</si>
  <si>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</si>
  <si>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</si>
  <si>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</si>
  <si>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</si>
  <si>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</si>
  <si>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</si>
  <si>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</si>
  <si>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</si>
  <si>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</si>
  <si>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</si>
  <si>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</si>
  <si>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</si>
  <si>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</si>
  <si>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</si>
  <si>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</si>
  <si>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</si>
  <si>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</si>
  <si>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</si>
  <si>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</si>
  <si>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</si>
  <si>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</si>
  <si>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</si>
  <si>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</si>
  <si>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</si>
  <si>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</si>
  <si>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</si>
  <si>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</si>
  <si>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</si>
  <si>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</si>
  <si>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</si>
  <si>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</si>
  <si>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</si>
  <si>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</si>
  <si>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</si>
  <si>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</si>
  <si>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</si>
  <si>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</si>
  <si>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</si>
  <si>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</si>
  <si>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</si>
  <si>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</si>
  <si>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</si>
  <si>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</si>
  <si>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</si>
  <si>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</si>
  <si>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</si>
  <si>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</si>
  <si>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</si>
  <si>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</si>
  <si>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</si>
  <si>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</si>
  <si>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</si>
  <si>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</si>
  <si>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</si>
  <si>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</si>
  <si>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</si>
  <si>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</si>
  <si>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</si>
  <si>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</si>
  <si>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</si>
  <si>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</si>
  <si>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</si>
  <si>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</si>
  <si>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</si>
  <si>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</si>
  <si>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</si>
  <si>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</si>
  <si>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</si>
  <si>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</si>
  <si>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</si>
  <si>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</si>
  <si>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</si>
  <si>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</si>
  <si>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</si>
  <si>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</si>
  <si>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</si>
  <si>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</si>
  <si>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</si>
  <si>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</si>
  <si>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</si>
  <si>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</si>
  <si>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</si>
  <si>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</si>
  <si>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</si>
  <si>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</si>
  <si>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</si>
  <si>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</si>
  <si>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</si>
  <si>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</si>
  <si>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</si>
  <si>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</si>
  <si>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</si>
  <si>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</si>
  <si>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</si>
  <si>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</si>
  <si>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</si>
  <si>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</si>
  <si>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</si>
  <si>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</si>
  <si>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</si>
  <si>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</si>
  <si>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</si>
  <si>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</si>
  <si>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</si>
  <si>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</si>
  <si>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</si>
  <si>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</si>
  <si>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</si>
  <si>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</si>
  <si>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</si>
  <si>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</si>
  <si>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</si>
  <si>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</si>
  <si>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</si>
  <si>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</si>
  <si>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</si>
  <si>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</si>
  <si>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</si>
  <si>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</si>
  <si>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</si>
  <si>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</si>
  <si>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</si>
  <si>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</si>
  <si>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</si>
  <si>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</si>
  <si>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</si>
  <si>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</si>
  <si>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</si>
  <si>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</si>
  <si>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</si>
  <si>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</si>
  <si>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</si>
  <si>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</si>
  <si>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</si>
  <si>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</si>
  <si>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</si>
  <si>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</si>
  <si>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</si>
  <si>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</si>
  <si>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</si>
  <si>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</si>
  <si>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</si>
  <si>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</si>
  <si>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</si>
  <si>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</si>
  <si>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</si>
  <si>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</si>
  <si>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</si>
  <si>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</si>
  <si>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</si>
  <si>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</si>
  <si>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</si>
  <si>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</si>
  <si>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</si>
  <si>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</si>
  <si>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</si>
  <si>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</si>
  <si>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</si>
  <si>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</si>
  <si>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</si>
  <si>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</si>
  <si>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</si>
  <si>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</si>
  <si>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</si>
  <si>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</si>
  <si>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</si>
  <si>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</si>
  <si>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</si>
  <si>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</si>
  <si>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</si>
  <si>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</si>
  <si>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</si>
  <si>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</si>
  <si>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</si>
  <si>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</si>
  <si>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</si>
  <si>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</si>
  <si>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</si>
  <si>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</si>
  <si>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</si>
  <si>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</si>
  <si>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</si>
  <si>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</si>
  <si>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</si>
  <si>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</si>
  <si>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</si>
  <si>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</si>
  <si>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</si>
  <si>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</si>
  <si>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</si>
  <si>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</si>
  <si>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</si>
  <si>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</si>
  <si>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</si>
  <si>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</si>
  <si>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</si>
  <si>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</si>
  <si>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</si>
  <si>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</si>
  <si>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</si>
  <si>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</si>
  <si>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</si>
  <si>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</si>
  <si>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</si>
  <si>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</si>
  <si>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</si>
  <si>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</si>
  <si>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</si>
  <si>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</si>
  <si>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</si>
  <si>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</si>
  <si>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</si>
  <si>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</si>
  <si>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</si>
  <si>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</si>
  <si>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</si>
  <si>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</si>
  <si>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</si>
  <si>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</si>
  <si>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</si>
  <si>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</si>
  <si>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</si>
  <si>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</si>
  <si>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</si>
  <si>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</si>
  <si>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</si>
  <si>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</si>
  <si>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</si>
  <si>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</si>
  <si>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</si>
  <si>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</si>
  <si>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</si>
  <si>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</si>
  <si>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</si>
  <si>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</si>
  <si>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</si>
  <si>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</si>
  <si>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</si>
  <si>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</si>
  <si>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</si>
  <si>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</si>
  <si>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</si>
  <si>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</si>
  <si>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</si>
  <si>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</si>
  <si>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</si>
  <si>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</si>
  <si>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</si>
  <si>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</si>
  <si>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</si>
  <si>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</si>
  <si>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</si>
  <si>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</si>
  <si>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</si>
  <si>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</si>
  <si>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</si>
  <si>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</si>
  <si>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</si>
  <si>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</si>
  <si>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</si>
  <si>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</si>
  <si>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</si>
  <si>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</si>
  <si>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</si>
  <si>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</si>
  <si>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</si>
  <si>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</si>
  <si>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</si>
  <si>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</si>
  <si>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</si>
  <si>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</si>
  <si>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</si>
  <si>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</si>
  <si>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</si>
  <si>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</si>
  <si>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</si>
  <si>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</si>
  <si>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</si>
  <si>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</si>
  <si>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</si>
  <si>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</si>
  <si>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</si>
  <si>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</si>
  <si>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</si>
  <si>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</si>
  <si>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</si>
  <si>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</si>
  <si>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</si>
  <si>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</si>
  <si>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</si>
  <si>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</si>
  <si>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</si>
  <si>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</si>
  <si>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</si>
  <si>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</si>
  <si>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</si>
  <si>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</si>
  <si>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</si>
  <si>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</si>
  <si>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</si>
  <si>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</si>
  <si>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</si>
  <si>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</si>
  <si>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</si>
  <si>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</si>
  <si>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</si>
  <si>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</si>
  <si>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</si>
  <si>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</si>
  <si>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</si>
  <si>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</si>
  <si>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</si>
  <si>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</si>
  <si>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</si>
  <si>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</si>
  <si>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</si>
  <si>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</si>
  <si>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</si>
  <si>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</si>
  <si>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</si>
  <si>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</si>
  <si>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</si>
  <si>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</si>
  <si>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</si>
  <si>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</si>
  <si>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</si>
  <si>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</si>
  <si>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</si>
  <si>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</si>
  <si>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</si>
  <si>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</si>
  <si>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</si>
  <si>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</si>
  <si>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</si>
  <si>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</si>
  <si>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</si>
  <si>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</si>
  <si>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</si>
  <si>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</si>
  <si>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</si>
  <si>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</si>
  <si>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</si>
  <si>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</si>
  <si>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</si>
  <si>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</si>
  <si>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</si>
  <si>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</si>
  <si>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</si>
  <si>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</si>
  <si>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</si>
  <si>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</si>
  <si>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</si>
  <si>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</si>
  <si>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</si>
  <si>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</si>
  <si>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</si>
  <si>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</si>
  <si>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</si>
  <si>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</si>
  <si>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</si>
  <si>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</si>
  <si>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</si>
  <si>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</si>
  <si>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</si>
  <si>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</si>
  <si>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</si>
  <si>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</si>
  <si>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</si>
  <si>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</si>
  <si>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</si>
  <si>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</si>
  <si>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</si>
  <si>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</si>
  <si>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</si>
  <si>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</si>
  <si>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</si>
  <si>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</si>
  <si>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</si>
  <si>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</si>
  <si>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</si>
  <si>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</si>
  <si>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</si>
  <si>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</si>
  <si>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</si>
  <si>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</si>
  <si>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</si>
  <si>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</si>
  <si>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</si>
  <si>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</si>
  <si>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</si>
  <si>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</si>
  <si>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</si>
  <si>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</si>
  <si>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</si>
  <si>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</si>
  <si>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</si>
  <si>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</si>
  <si>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</si>
  <si>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</si>
  <si>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</si>
  <si>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</si>
  <si>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</si>
  <si>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</si>
  <si>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</si>
  <si>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</si>
  <si>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</si>
  <si>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</si>
  <si>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</si>
  <si>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</si>
  <si>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</si>
  <si>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</si>
  <si>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</si>
  <si>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</si>
  <si>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</si>
  <si>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</si>
  <si>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</si>
  <si>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</si>
  <si>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</si>
  <si>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</si>
  <si>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</si>
  <si>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</si>
  <si>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</si>
  <si>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</si>
  <si>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</si>
  <si>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</si>
  <si>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</si>
  <si>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</si>
  <si>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</si>
  <si>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</si>
  <si>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</si>
  <si>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</si>
  <si>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</si>
  <si>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</si>
  <si>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</si>
  <si>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</si>
  <si>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</si>
  <si>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</si>
  <si>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</si>
  <si>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</si>
  <si>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</si>
  <si>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</si>
  <si>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</si>
  <si>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</si>
  <si>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</si>
  <si>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</si>
  <si>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</si>
  <si>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</si>
  <si>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</si>
  <si>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</si>
  <si>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</si>
  <si>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</si>
  <si>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</si>
  <si>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</si>
  <si>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</si>
  <si>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</si>
  <si>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</si>
  <si>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</si>
  <si>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</si>
  <si>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</si>
  <si>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</si>
  <si>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</si>
  <si>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</si>
  <si>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</si>
  <si>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</si>
  <si>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</si>
  <si>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</si>
  <si>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</si>
  <si>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</si>
  <si>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</si>
  <si>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</si>
  <si>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</si>
  <si>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</si>
  <si>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</si>
  <si>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</si>
  <si>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</si>
  <si>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</si>
  <si>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</si>
  <si>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</si>
  <si>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</si>
  <si>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</si>
  <si>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</si>
  <si>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</si>
  <si>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</si>
  <si>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</si>
  <si>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</si>
  <si>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</si>
  <si>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</si>
  <si>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</si>
  <si>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</si>
  <si>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</si>
  <si>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</si>
  <si>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</si>
  <si>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</si>
  <si>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</si>
  <si>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</si>
  <si>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</si>
  <si>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</si>
  <si>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</si>
  <si>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</si>
  <si>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</si>
  <si>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</si>
  <si>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</si>
  <si>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</si>
  <si>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</si>
  <si>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</si>
  <si>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</si>
  <si>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</si>
  <si>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</si>
  <si>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</si>
  <si>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</si>
  <si>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</si>
  <si>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</si>
  <si>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</si>
  <si>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</si>
  <si>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</si>
  <si>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</si>
  <si>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</si>
  <si>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</si>
  <si>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</si>
  <si>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</si>
  <si>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</si>
  <si>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</si>
  <si>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</si>
  <si>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</si>
  <si>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</si>
  <si>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</si>
  <si>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</si>
  <si>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</si>
  <si>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</si>
  <si>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</si>
  <si>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</si>
  <si>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</si>
  <si>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</si>
  <si>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</si>
  <si>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</si>
  <si>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</si>
  <si>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</si>
  <si>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</si>
  <si>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</si>
  <si>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</si>
  <si>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</si>
  <si>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</si>
  <si>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</si>
  <si>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</si>
  <si>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</si>
  <si>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</si>
  <si>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</si>
  <si>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</si>
  <si>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</si>
  <si>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</si>
  <si>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</si>
  <si>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</si>
  <si>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</si>
  <si>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</si>
  <si>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</si>
  <si>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</si>
  <si>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</si>
  <si>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</si>
  <si>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</si>
  <si>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</si>
  <si>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</si>
  <si>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</si>
  <si>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</si>
  <si>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</si>
  <si>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</si>
  <si>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</si>
  <si>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</si>
  <si>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</si>
  <si>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</si>
  <si>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</si>
  <si>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</si>
  <si>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</si>
  <si>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</si>
  <si>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</si>
  <si>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</si>
  <si>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</si>
  <si>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</si>
  <si>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</si>
  <si>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</si>
  <si>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</si>
  <si>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</si>
  <si>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</si>
  <si>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</si>
  <si>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</si>
  <si>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</si>
  <si>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</si>
  <si>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</si>
  <si>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</si>
  <si>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</si>
  <si>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</si>
  <si>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</si>
  <si>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</si>
  <si>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</si>
  <si>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</si>
  <si>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</si>
  <si>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</si>
  <si>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</si>
  <si>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</si>
  <si>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</si>
  <si>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</si>
  <si>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</si>
  <si>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</si>
  <si>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</si>
  <si>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</si>
  <si>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</si>
  <si>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</si>
  <si>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</si>
  <si>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</si>
  <si>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</si>
  <si>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</si>
  <si>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</si>
  <si>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</si>
  <si>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</si>
  <si>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</si>
  <si>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</si>
  <si>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</si>
  <si>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</si>
  <si>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</si>
  <si>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</si>
  <si>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</si>
  <si>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</si>
  <si>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</si>
  <si>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</si>
  <si>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</si>
  <si>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</si>
  <si>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</si>
  <si>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</si>
  <si>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</si>
  <si>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</si>
  <si>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</si>
  <si>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</si>
  <si>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</si>
  <si>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</si>
  <si>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</si>
  <si>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</si>
  <si>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</si>
  <si>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</si>
  <si>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</si>
  <si>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</si>
  <si>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</si>
  <si>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</si>
  <si>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</si>
  <si>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</si>
  <si>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</si>
  <si>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</si>
  <si>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</si>
  <si>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</si>
  <si>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</si>
  <si>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</si>
  <si>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</si>
  <si>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</si>
  <si>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</si>
  <si>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</si>
  <si>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</si>
  <si>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</si>
  <si>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</si>
  <si>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</si>
  <si>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</si>
  <si>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</si>
  <si>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</si>
  <si>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</si>
  <si>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</si>
  <si>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</si>
  <si>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</si>
  <si>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</si>
  <si>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</si>
  <si>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</si>
  <si>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</si>
  <si>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</si>
  <si>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</si>
  <si>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</si>
  <si>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</si>
  <si>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</si>
  <si>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</si>
  <si>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</si>
  <si>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</si>
  <si>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</si>
  <si>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</si>
  <si>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</si>
  <si>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</si>
  <si>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</si>
  <si>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</si>
  <si>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</si>
  <si>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</si>
  <si>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</si>
  <si>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</si>
  <si>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</si>
  <si>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</si>
  <si>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</si>
  <si>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</si>
  <si>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</si>
  <si>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</si>
  <si>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</si>
  <si>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</si>
  <si>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</si>
  <si>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</si>
  <si>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</si>
  <si>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</si>
  <si>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</si>
  <si>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</si>
  <si>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</si>
  <si>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</si>
  <si>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</si>
  <si>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</si>
  <si>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</si>
  <si>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</si>
  <si>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</si>
  <si>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</si>
  <si>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</si>
  <si>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</si>
  <si>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</si>
  <si>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</si>
  <si>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</si>
  <si>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</si>
  <si>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</si>
  <si>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</si>
  <si>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</si>
  <si>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</si>
  <si>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</si>
  <si>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</si>
  <si>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</si>
  <si>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</si>
  <si>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</si>
  <si>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</si>
  <si>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</si>
  <si>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</si>
  <si>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</si>
  <si>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</si>
  <si>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</si>
  <si>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</si>
  <si>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</si>
  <si>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</si>
  <si>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</si>
  <si>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</si>
  <si>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</si>
  <si>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</si>
  <si>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</si>
  <si>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</si>
  <si>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</si>
  <si>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</si>
  <si>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</si>
  <si>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</si>
  <si>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</si>
  <si>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</si>
  <si>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</si>
  <si>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</si>
  <si>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</si>
  <si>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</si>
  <si>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</si>
  <si>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</si>
  <si>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</si>
  <si>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</si>
  <si>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</si>
  <si>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</si>
  <si>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</si>
  <si>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</si>
  <si>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</si>
  <si>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</si>
  <si>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</si>
  <si>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</si>
  <si>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</si>
  <si>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</si>
  <si>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</si>
  <si>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</si>
  <si>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</si>
  <si>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</si>
  <si>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</si>
  <si>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</si>
  <si>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</si>
  <si>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</si>
  <si>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</si>
  <si>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</si>
  <si>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</si>
  <si>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</si>
  <si>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</si>
  <si>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</si>
  <si>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</si>
  <si>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</si>
  <si>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</si>
  <si>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</si>
  <si>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</si>
  <si>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</si>
  <si>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</si>
  <si>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</si>
  <si>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</si>
  <si>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</si>
  <si>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</si>
  <si>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</si>
  <si>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</si>
  <si>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</si>
  <si>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</si>
  <si>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</si>
  <si>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</si>
  <si>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</si>
  <si>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</si>
  <si>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</si>
  <si>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</si>
  <si>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</si>
  <si>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</si>
  <si>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</si>
  <si>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</si>
  <si>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</si>
  <si>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</si>
  <si>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</si>
  <si>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</si>
  <si>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</si>
  <si>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</si>
  <si>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</si>
  <si>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</si>
  <si>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</si>
  <si>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</si>
  <si>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</si>
  <si>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</si>
  <si>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</si>
  <si>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</si>
  <si>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</si>
  <si>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</si>
  <si>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</si>
  <si>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</si>
  <si>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</si>
  <si>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</si>
  <si>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</si>
  <si>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</si>
  <si>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</si>
  <si>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</si>
  <si>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</si>
  <si>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</si>
  <si>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</si>
  <si>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</si>
  <si>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</si>
  <si>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</si>
  <si>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</si>
  <si>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</si>
  <si>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</si>
  <si>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</si>
  <si>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</si>
  <si>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</si>
  <si>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</si>
  <si>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</si>
  <si>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</si>
  <si>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</si>
  <si>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</si>
  <si>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</si>
  <si>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</si>
  <si>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</si>
  <si>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</si>
  <si>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</si>
  <si>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</si>
  <si>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</si>
  <si>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</si>
  <si>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</si>
  <si>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</si>
  <si>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</si>
  <si>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</si>
  <si>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</si>
  <si>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</si>
  <si>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</si>
  <si>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</si>
  <si>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</si>
  <si>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</si>
  <si>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</si>
  <si>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</si>
  <si>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</si>
  <si>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</si>
  <si>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</si>
  <si>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</si>
  <si>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</si>
  <si>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</si>
  <si>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</si>
  <si>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</si>
  <si>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</si>
  <si>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</si>
  <si>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</si>
  <si>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</si>
  <si>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</si>
  <si>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</si>
  <si>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</si>
  <si>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</si>
  <si>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</si>
  <si>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</si>
  <si>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</si>
  <si>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</si>
  <si>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</si>
  <si>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</si>
  <si>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</si>
  <si>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</si>
  <si>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</si>
  <si>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</si>
  <si>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</si>
  <si>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</si>
  <si>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</si>
  <si>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</si>
  <si>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</si>
  <si>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</si>
  <si>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</si>
  <si>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</si>
  <si>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</si>
  <si>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</si>
  <si>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</si>
  <si>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</si>
  <si>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</si>
  <si>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</si>
  <si>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</si>
  <si>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</si>
  <si>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</si>
  <si>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</si>
  <si>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</si>
  <si>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</si>
  <si>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</si>
  <si>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</si>
  <si>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</si>
  <si>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</si>
  <si>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</si>
  <si>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</si>
  <si>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</si>
  <si>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</si>
  <si>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</si>
  <si>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</si>
  <si>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</si>
  <si>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</si>
  <si>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</si>
  <si>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</si>
  <si>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</si>
  <si>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</si>
  <si>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</si>
  <si>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</si>
  <si>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</si>
  <si>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</si>
  <si>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</si>
  <si>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</si>
  <si>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</si>
  <si>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</si>
  <si>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</si>
  <si>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</si>
  <si>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</si>
  <si>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</si>
  <si>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</si>
  <si>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</si>
  <si>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</si>
  <si>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</si>
  <si>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</si>
  <si>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</si>
  <si>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</si>
  <si>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</si>
  <si>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</si>
  <si>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</si>
  <si>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</si>
  <si>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</si>
  <si>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</si>
  <si>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</si>
  <si>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</si>
  <si>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</si>
  <si>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</si>
  <si>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</si>
  <si>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</si>
  <si>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</si>
  <si>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</si>
  <si>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</si>
  <si>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</si>
  <si>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</si>
  <si>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</si>
  <si>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</si>
  <si>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</si>
  <si>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</si>
  <si>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</si>
  <si>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</si>
  <si>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</si>
  <si>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</si>
  <si>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</si>
  <si>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</si>
  <si>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</si>
  <si>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</si>
  <si>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</si>
  <si>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</si>
  <si>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</si>
  <si>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</si>
  <si>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</si>
  <si>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</si>
  <si>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</si>
  <si>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</si>
  <si>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</si>
  <si>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</si>
  <si>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</si>
  <si>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</si>
  <si>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</si>
  <si>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</si>
  <si>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</si>
  <si>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</si>
  <si>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</si>
  <si>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</si>
  <si>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</si>
  <si>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</si>
  <si>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</si>
  <si>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</si>
  <si>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</si>
  <si>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</si>
  <si>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</si>
  <si>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</si>
  <si>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</si>
  <si>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</si>
  <si>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</si>
  <si>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</si>
  <si>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</si>
  <si>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</si>
  <si>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</si>
  <si>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</si>
  <si>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</si>
  <si>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</si>
  <si>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</si>
  <si>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</si>
  <si>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</si>
  <si>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</si>
  <si>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</si>
  <si>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</si>
  <si>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</si>
  <si>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</si>
  <si>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</si>
  <si>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</si>
  <si>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</si>
  <si>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</si>
  <si>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</si>
  <si>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</si>
  <si>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</si>
  <si>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</si>
  <si>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</si>
  <si>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</si>
  <si>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</si>
  <si>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</si>
  <si>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</si>
  <si>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</si>
  <si>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</si>
  <si>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</si>
  <si>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</si>
  <si>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</si>
  <si>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</si>
  <si>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</si>
  <si>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</si>
  <si>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</si>
  <si>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</si>
  <si>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</si>
  <si>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</si>
  <si>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</si>
  <si>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</si>
  <si>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</si>
  <si>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</si>
  <si>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</si>
  <si>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</si>
  <si>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</si>
  <si>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</si>
  <si>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</si>
  <si>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</si>
  <si>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</si>
  <si>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</si>
  <si>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</si>
  <si>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</si>
  <si>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</si>
  <si>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</si>
  <si>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</si>
  <si>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</si>
  <si>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</si>
  <si>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</si>
  <si>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</si>
  <si>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</si>
  <si>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</si>
  <si>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</si>
  <si>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</si>
  <si>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</si>
  <si>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</si>
  <si>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</si>
  <si>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</si>
  <si>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</si>
  <si>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</si>
  <si>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</si>
  <si>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</si>
  <si>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</si>
  <si>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</si>
  <si>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</si>
  <si>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</si>
  <si>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</si>
  <si>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</si>
  <si>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</si>
  <si>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</si>
  <si>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</si>
  <si>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</si>
  <si>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</si>
  <si>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</si>
  <si>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</si>
  <si>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</si>
  <si>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</si>
  <si>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</si>
  <si>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</si>
  <si>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</si>
  <si>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</si>
  <si>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</si>
  <si>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</si>
  <si>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</si>
  <si>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</si>
  <si>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</si>
  <si>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</si>
  <si>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</si>
  <si>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</si>
  <si>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</si>
  <si>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</si>
  <si>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</si>
  <si>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</si>
  <si>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</si>
  <si>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</si>
  <si>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</si>
  <si>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</si>
  <si>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</si>
  <si>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</si>
  <si>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</si>
  <si>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</si>
  <si>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</si>
  <si>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</si>
  <si>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</si>
  <si>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</si>
  <si>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</si>
  <si>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</si>
  <si>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</si>
  <si>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</si>
  <si>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</si>
  <si>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</si>
  <si>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</si>
  <si>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</si>
  <si>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</si>
  <si>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</si>
  <si>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</si>
  <si>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</si>
  <si>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</si>
  <si>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</si>
  <si>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</si>
  <si>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</si>
  <si>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</si>
  <si>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</si>
  <si>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</si>
  <si>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</si>
  <si>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</si>
  <si>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</si>
  <si>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</si>
  <si>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</si>
  <si>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</si>
  <si>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</si>
  <si>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</si>
  <si>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</si>
  <si>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</si>
  <si>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</si>
  <si>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</si>
  <si>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</si>
  <si>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</si>
  <si>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</si>
  <si>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</si>
  <si>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</si>
  <si>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</si>
  <si>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</si>
  <si>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</si>
  <si>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</si>
  <si>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</si>
  <si>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</si>
  <si>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</si>
  <si>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</si>
  <si>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</si>
  <si>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</si>
  <si>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</si>
  <si>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</si>
  <si>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</si>
  <si>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</si>
  <si>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</si>
  <si>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</si>
  <si>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</si>
  <si>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</si>
  <si>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</si>
  <si>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</si>
  <si>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</si>
  <si>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</si>
  <si>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</si>
  <si>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</si>
  <si>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</si>
  <si>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</si>
  <si>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</si>
  <si>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</si>
  <si>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</si>
  <si>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</si>
  <si>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</si>
  <si>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</si>
  <si>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</si>
  <si>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</si>
  <si>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</si>
  <si>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</si>
  <si>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</si>
  <si>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</si>
  <si>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</si>
  <si>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</si>
  <si>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</si>
  <si>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</si>
  <si>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</si>
  <si>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</si>
  <si>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</si>
  <si>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</si>
  <si>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</si>
  <si>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</si>
  <si>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</si>
  <si>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</si>
  <si>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</si>
  <si>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</si>
  <si>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</si>
  <si>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</si>
  <si>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</si>
  <si>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</si>
  <si>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</si>
  <si>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</si>
  <si>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</si>
  <si>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</si>
  <si>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</si>
  <si>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</si>
  <si>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</si>
  <si>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</si>
  <si>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</si>
  <si>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</si>
  <si>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</si>
  <si>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</si>
  <si>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</si>
  <si>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</si>
  <si>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</si>
  <si>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</si>
  <si>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</si>
  <si>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</si>
  <si>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</si>
  <si>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</si>
  <si>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</si>
  <si>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</si>
  <si>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</si>
  <si>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</si>
  <si>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</si>
  <si>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</si>
  <si>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</si>
  <si>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</si>
  <si>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</si>
  <si>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</si>
  <si>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</si>
  <si>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</si>
  <si>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</si>
  <si>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</si>
  <si>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</si>
  <si>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</si>
  <si>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</si>
  <si>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</si>
  <si>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</si>
  <si>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</si>
  <si>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</si>
  <si>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</si>
  <si>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</si>
  <si>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</si>
  <si>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</si>
  <si>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</si>
  <si>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</si>
  <si>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</si>
  <si>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</si>
  <si>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</si>
  <si>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</si>
  <si>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</si>
  <si>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</si>
  <si>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</si>
  <si>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</si>
  <si>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</si>
  <si>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</si>
  <si>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</si>
  <si>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</si>
  <si>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</si>
  <si>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</si>
  <si>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</si>
  <si>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</si>
  <si>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</si>
  <si>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</si>
  <si>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</si>
  <si>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</si>
  <si>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</si>
  <si>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</si>
  <si>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</si>
  <si>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</si>
  <si>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</si>
  <si>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</si>
  <si>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</si>
  <si>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</si>
  <si>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</si>
  <si>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</si>
  <si>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</si>
  <si>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</si>
  <si>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</si>
  <si>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</si>
  <si>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</si>
  <si>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</si>
  <si>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</si>
  <si>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</si>
  <si>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</si>
  <si>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</si>
  <si>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</si>
  <si>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</si>
  <si>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</si>
  <si>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</si>
  <si>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</si>
  <si>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</si>
  <si>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</si>
  <si>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</si>
  <si>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</si>
  <si>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</si>
  <si>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</si>
  <si>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</si>
  <si>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</si>
  <si>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</si>
  <si>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</si>
  <si>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</si>
  <si>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</si>
  <si>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</si>
  <si>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</si>
  <si>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</si>
  <si>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</si>
  <si>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</si>
  <si>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</si>
  <si>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</si>
  <si>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</si>
  <si>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</si>
  <si>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</si>
  <si>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</si>
  <si>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</si>
  <si>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</si>
  <si>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</si>
  <si>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</si>
  <si>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</si>
  <si>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</si>
  <si>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</si>
  <si>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</si>
  <si>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</si>
  <si>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</si>
  <si>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</si>
  <si>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</si>
  <si>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</si>
  <si>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</si>
  <si>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</si>
  <si>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</si>
  <si>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</si>
  <si>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</si>
  <si>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</si>
  <si>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</si>
  <si>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</si>
  <si>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</si>
  <si>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</si>
  <si>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</si>
  <si>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</si>
  <si>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</si>
  <si>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</si>
  <si>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</si>
  <si>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</si>
  <si>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</si>
  <si>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</si>
  <si>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</si>
  <si>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</si>
  <si>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</si>
  <si>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</si>
  <si>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</si>
  <si>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</si>
  <si>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</si>
  <si>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</si>
  <si>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</si>
  <si>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</si>
  <si>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</si>
  <si>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</si>
  <si>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</si>
  <si>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</si>
  <si>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</si>
  <si>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</si>
  <si>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</si>
  <si>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</si>
  <si>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</si>
  <si>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</si>
  <si>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</si>
  <si>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</si>
  <si>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</si>
  <si>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</si>
  <si>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</si>
  <si>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</si>
  <si>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</si>
  <si>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</si>
  <si>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</si>
  <si>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</si>
  <si>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</si>
  <si>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</si>
  <si>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</si>
  <si>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</si>
  <si>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</si>
  <si>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</si>
  <si>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</si>
  <si>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</si>
  <si>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</si>
  <si>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</si>
  <si>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</si>
  <si>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</si>
  <si>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</si>
  <si>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</si>
  <si>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</si>
  <si>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</si>
  <si>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</si>
  <si>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</si>
  <si>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</si>
  <si>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</si>
  <si>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</si>
  <si>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</si>
  <si>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</si>
  <si>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</si>
  <si>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</si>
  <si>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</si>
  <si>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</si>
  <si>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</si>
  <si>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</si>
  <si>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</si>
  <si>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</si>
  <si>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</si>
  <si>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</si>
  <si>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</si>
  <si>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</si>
  <si>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</si>
  <si>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</si>
  <si>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</si>
  <si>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</si>
  <si>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</si>
  <si>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</si>
  <si>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</si>
  <si>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</si>
  <si>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</si>
  <si>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</si>
  <si>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</si>
  <si>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</si>
  <si>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</si>
  <si>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</si>
  <si>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</si>
  <si>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</si>
  <si>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</si>
  <si>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</si>
  <si>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</si>
  <si>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</si>
  <si>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</si>
  <si>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</si>
  <si>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</si>
  <si>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</si>
  <si>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</si>
  <si>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</si>
  <si>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</si>
  <si>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</si>
  <si>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</si>
  <si>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</si>
  <si>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</si>
  <si>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</si>
  <si>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</si>
  <si>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</si>
  <si>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</si>
  <si>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</si>
  <si>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</si>
  <si>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</si>
  <si>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</si>
  <si>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</si>
  <si>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</si>
  <si>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</si>
  <si>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</si>
  <si>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</si>
  <si>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</si>
  <si>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</si>
  <si>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</si>
  <si>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</si>
  <si>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</si>
  <si>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</si>
  <si>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</si>
  <si>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</si>
  <si>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</si>
  <si>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</si>
  <si>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</si>
  <si>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</si>
  <si>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</si>
  <si>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</si>
  <si>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</si>
  <si>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</si>
  <si>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</si>
  <si>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</si>
  <si>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</si>
  <si>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</si>
  <si>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</si>
  <si>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</si>
  <si>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</si>
  <si>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</si>
  <si>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</si>
  <si>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</si>
  <si>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</si>
  <si>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</si>
  <si>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</si>
  <si>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</si>
  <si>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</si>
  <si>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</si>
  <si>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</si>
  <si>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</si>
  <si>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</si>
  <si>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</si>
  <si>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</si>
  <si>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</si>
  <si>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</si>
  <si>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</si>
  <si>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</si>
  <si>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</si>
  <si>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</si>
  <si>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</si>
  <si>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</si>
  <si>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</si>
  <si>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</si>
  <si>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</si>
  <si>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</si>
  <si>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</si>
  <si>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</si>
  <si>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</si>
  <si>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</si>
  <si>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</si>
  <si>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</si>
  <si>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</si>
  <si>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</si>
  <si>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</si>
  <si>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</si>
  <si>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</si>
  <si>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</si>
  <si>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</si>
  <si>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</si>
  <si>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</si>
  <si>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</si>
  <si>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</si>
  <si>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</si>
  <si>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</si>
  <si>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</si>
  <si>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</si>
  <si>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</si>
  <si>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</si>
  <si>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</si>
  <si>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</si>
  <si>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</si>
  <si>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</si>
  <si>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</si>
  <si>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</si>
  <si>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</si>
  <si>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</si>
  <si>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</si>
  <si>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</si>
  <si>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</si>
  <si>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</si>
  <si>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</si>
  <si>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</si>
  <si>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</si>
  <si>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</si>
  <si>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</si>
  <si>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</si>
  <si>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</si>
  <si>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</si>
  <si>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</si>
  <si>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</si>
  <si>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</si>
  <si>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</si>
  <si>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</si>
  <si>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</si>
  <si>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</si>
  <si>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</si>
  <si>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</si>
  <si>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</si>
  <si>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</si>
  <si>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</si>
  <si>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</si>
  <si>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</si>
  <si>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</si>
  <si>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</si>
  <si>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</si>
  <si>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</si>
  <si>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</si>
  <si>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</si>
  <si>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</si>
  <si>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</si>
  <si>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</si>
  <si>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</si>
  <si>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</si>
  <si>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</si>
  <si>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</si>
  <si>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</si>
  <si>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</si>
  <si>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</si>
  <si>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</si>
  <si>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</si>
  <si>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</si>
  <si>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</si>
  <si>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</si>
  <si>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</si>
  <si>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</si>
  <si>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</si>
  <si>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</si>
  <si>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</si>
  <si>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</si>
  <si>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</si>
  <si>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</si>
  <si>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</si>
  <si>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</si>
  <si>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</si>
  <si>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</si>
  <si>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</si>
  <si>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</si>
  <si>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</si>
  <si>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</si>
  <si>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</si>
  <si>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</si>
  <si>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</si>
  <si>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</si>
  <si>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</si>
  <si>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</si>
  <si>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</si>
  <si>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</si>
  <si>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</si>
  <si>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</si>
  <si>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</si>
  <si>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</si>
  <si>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</si>
  <si>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</si>
  <si>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</si>
  <si>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</si>
  <si>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</si>
  <si>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</si>
  <si>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</si>
  <si>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</si>
  <si>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</si>
  <si>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</si>
  <si>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</si>
  <si>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</si>
  <si>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</si>
  <si>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</si>
  <si>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</si>
  <si>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</si>
  <si>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</si>
  <si>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</si>
  <si>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</si>
  <si>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</si>
  <si>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</si>
  <si>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</si>
  <si>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</si>
  <si>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</si>
  <si>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</si>
  <si>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</si>
  <si>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</si>
  <si>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</si>
  <si>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</si>
  <si>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</si>
  <si>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</si>
  <si>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</si>
  <si>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</si>
  <si>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</si>
  <si>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</si>
  <si>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</si>
  <si>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</si>
  <si>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</si>
  <si>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</si>
  <si>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</si>
  <si>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</si>
  <si>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</si>
  <si>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</si>
  <si>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</si>
  <si>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</si>
  <si>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</si>
  <si>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</si>
  <si>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</si>
  <si>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</si>
  <si>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</si>
  <si>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</si>
  <si>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</si>
  <si>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</si>
  <si>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</si>
  <si>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</si>
  <si>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</si>
  <si>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</si>
  <si>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</si>
  <si>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</si>
  <si>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</si>
  <si>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</si>
  <si>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</si>
  <si>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</si>
  <si>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</si>
  <si>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</si>
  <si>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</si>
  <si>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</si>
  <si>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</si>
  <si>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</si>
  <si>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</si>
  <si>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</si>
  <si>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</si>
  <si>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</si>
  <si>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</si>
  <si>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</si>
  <si>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</si>
  <si>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</si>
  <si>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</si>
  <si>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</si>
  <si>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</si>
  <si>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</si>
  <si>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</si>
  <si>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</si>
  <si>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</si>
  <si>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</si>
  <si>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</si>
  <si>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</si>
  <si>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</si>
  <si>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</si>
  <si>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</si>
  <si>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</si>
  <si>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</si>
  <si>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</si>
  <si>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</si>
  <si>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</si>
  <si>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</si>
  <si>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</si>
  <si>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</si>
  <si>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</si>
  <si>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</si>
  <si>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</si>
  <si>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</si>
  <si>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</si>
  <si>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</si>
  <si>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</si>
  <si>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</si>
  <si>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</si>
  <si>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</si>
  <si>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</si>
  <si>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</si>
  <si>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</si>
  <si>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</si>
  <si>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</si>
  <si>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</si>
  <si>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</si>
  <si>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</si>
  <si>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</si>
  <si>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</si>
  <si>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</si>
  <si>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</si>
  <si>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</si>
  <si>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</si>
  <si>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</si>
  <si>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</si>
  <si>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</si>
  <si>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</si>
  <si>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</si>
  <si>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</si>
  <si>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</si>
  <si>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</si>
  <si>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</si>
  <si>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</si>
  <si>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</si>
  <si>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</si>
  <si>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</si>
  <si>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</si>
  <si>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</si>
  <si>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</si>
  <si>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</si>
  <si>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</si>
  <si>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</si>
  <si>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</si>
  <si>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</si>
  <si>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</si>
  <si>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</si>
  <si>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</si>
  <si>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</si>
  <si>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</si>
  <si>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</si>
  <si>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</si>
  <si>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</si>
  <si>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</si>
  <si>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</si>
  <si>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</si>
  <si>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</si>
  <si>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</si>
  <si>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</si>
  <si>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</si>
  <si>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</si>
  <si>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</si>
  <si>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</si>
  <si>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</si>
  <si>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</si>
  <si>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</si>
  <si>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</si>
  <si>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</si>
  <si>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</si>
  <si>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</si>
  <si>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</si>
  <si>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</si>
  <si>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</si>
  <si>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</si>
  <si>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</si>
  <si>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</si>
  <si>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</si>
  <si>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</si>
  <si>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</si>
  <si>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</si>
  <si>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</si>
  <si>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</si>
  <si>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</si>
  <si>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</si>
  <si>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</si>
  <si>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</si>
  <si>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</si>
  <si>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</si>
  <si>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</si>
  <si>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</si>
  <si>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</si>
  <si>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</si>
  <si>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</si>
  <si>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</si>
  <si>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</si>
  <si>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</si>
  <si>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</si>
  <si>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</si>
  <si>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</si>
  <si>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</si>
  <si>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</si>
  <si>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</si>
  <si>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</si>
  <si>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</si>
  <si>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</si>
  <si>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</si>
  <si>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</si>
  <si>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</si>
  <si>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</si>
  <si>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</si>
  <si>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</si>
  <si>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</si>
  <si>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</si>
  <si>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</si>
  <si>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</si>
  <si>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</si>
  <si>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</si>
  <si>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</si>
  <si>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</si>
  <si>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</si>
  <si>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</si>
  <si>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</si>
  <si>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</si>
  <si>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</si>
  <si>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</si>
  <si>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</si>
  <si>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</si>
  <si>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</si>
  <si>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</si>
  <si>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</si>
  <si>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</si>
  <si>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</si>
  <si>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</si>
  <si>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</si>
  <si>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</si>
  <si>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</si>
  <si>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</si>
  <si>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</si>
  <si>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</si>
  <si>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</si>
  <si>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</si>
  <si>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</si>
  <si>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</si>
  <si>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</si>
  <si>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</si>
  <si>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</si>
  <si>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</si>
  <si>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</si>
  <si>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</si>
  <si>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</si>
  <si>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</si>
  <si>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</si>
  <si>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</si>
  <si>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</si>
  <si>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</si>
  <si>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</si>
  <si>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</si>
  <si>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</si>
  <si>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</si>
  <si>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</si>
  <si>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</si>
  <si>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</si>
  <si>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</si>
  <si>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</si>
  <si>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</si>
  <si>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</si>
  <si>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</si>
  <si>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</si>
  <si>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</si>
  <si>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</si>
  <si>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</si>
  <si>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</si>
  <si>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</si>
  <si>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</si>
  <si>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</si>
  <si>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</si>
  <si>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</si>
  <si>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</si>
  <si>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</si>
  <si>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</si>
  <si>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</si>
  <si>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</si>
  <si>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</si>
  <si>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</si>
  <si>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</si>
  <si>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</si>
  <si>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</si>
  <si>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</si>
  <si>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</si>
  <si>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</si>
  <si>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</si>
  <si>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</si>
  <si>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</si>
  <si>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</si>
  <si>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</si>
  <si>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</si>
  <si>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</si>
  <si>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</si>
  <si>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</si>
  <si>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</si>
  <si>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</si>
  <si>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</si>
  <si>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</si>
  <si>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</si>
  <si>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</si>
  <si>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</si>
  <si>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</si>
  <si>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</si>
  <si>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</si>
  <si>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</si>
  <si>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</si>
  <si>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</si>
  <si>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</si>
  <si>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</si>
  <si>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</si>
  <si>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</si>
  <si>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</si>
  <si>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</si>
  <si>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</si>
  <si>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</si>
  <si>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</si>
  <si>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</si>
  <si>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</si>
  <si>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</si>
  <si>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</si>
  <si>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</si>
  <si>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</si>
  <si>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</si>
  <si>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</si>
  <si>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</si>
  <si>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</si>
  <si>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</si>
  <si>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</si>
  <si>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</si>
  <si>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</si>
  <si>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</si>
  <si>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</si>
  <si>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</si>
  <si>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</si>
  <si>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</si>
  <si>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</si>
  <si>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</si>
  <si>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</si>
  <si>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</si>
  <si>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</si>
  <si>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</si>
  <si>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</si>
  <si>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</si>
  <si>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</si>
  <si>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</si>
  <si>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</si>
  <si>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</si>
  <si>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</si>
  <si>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</si>
  <si>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</si>
  <si>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</si>
  <si>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</si>
  <si>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</si>
  <si>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</si>
  <si>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</si>
  <si>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</si>
  <si>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</si>
  <si>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</si>
  <si>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</si>
  <si>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</si>
  <si>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</si>
  <si>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</si>
  <si>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</si>
  <si>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</si>
  <si>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</si>
  <si>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</si>
  <si>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</si>
  <si>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</si>
  <si>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</si>
  <si>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</si>
  <si>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</si>
  <si>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</si>
  <si>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</si>
  <si>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</si>
  <si>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</si>
  <si>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</si>
  <si>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</si>
  <si>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</si>
  <si>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</si>
  <si>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</si>
  <si>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</si>
  <si>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</si>
  <si>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</si>
  <si>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</si>
  <si>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</si>
  <si>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</si>
  <si>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</si>
  <si>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</si>
  <si>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</si>
  <si>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</si>
  <si>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</si>
  <si>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</si>
  <si>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</si>
  <si>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</si>
  <si>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</si>
  <si>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</si>
  <si>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</si>
  <si>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</si>
  <si>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</si>
  <si>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</si>
  <si>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</si>
  <si>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</si>
  <si>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</si>
  <si>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</si>
  <si>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</si>
  <si>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</si>
  <si>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</si>
  <si>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</si>
  <si>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</si>
  <si>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</si>
  <si>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</si>
  <si>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</si>
  <si>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</si>
  <si>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</si>
  <si>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</si>
  <si>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</si>
  <si>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</si>
  <si>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</si>
  <si>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</si>
  <si>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</si>
  <si>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</si>
  <si>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</si>
  <si>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</si>
  <si>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</si>
  <si>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</si>
  <si>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</si>
  <si>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</si>
  <si>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</si>
  <si>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</si>
  <si>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</si>
  <si>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</si>
  <si>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</si>
  <si>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</si>
  <si>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</si>
  <si>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</si>
  <si>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</si>
  <si>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</si>
  <si>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</si>
  <si>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</si>
  <si>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</si>
  <si>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</si>
  <si>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</si>
  <si>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</si>
  <si>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</si>
  <si>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</si>
  <si>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</si>
  <si>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</si>
  <si>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</si>
  <si>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</si>
  <si>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</si>
  <si>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</si>
  <si>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</si>
  <si>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</si>
  <si>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</si>
  <si>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</si>
  <si>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</si>
  <si>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</si>
  <si>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</si>
  <si>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</si>
  <si>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</si>
  <si>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</si>
  <si>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</si>
  <si>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</si>
  <si>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</si>
  <si>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</si>
  <si>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</si>
  <si>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</si>
  <si>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</si>
  <si>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</si>
  <si>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</si>
  <si>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</si>
  <si>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</si>
  <si>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</si>
  <si>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</si>
  <si>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</si>
  <si>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</si>
  <si>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</si>
  <si>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</si>
  <si>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</si>
  <si>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</si>
  <si>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</si>
  <si>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</si>
  <si>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</si>
  <si>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</si>
  <si>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</si>
  <si>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</si>
  <si>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</si>
  <si>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</si>
  <si>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</si>
  <si>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</si>
  <si>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</si>
  <si>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</si>
  <si>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</si>
  <si>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</si>
  <si>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</si>
  <si>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</si>
  <si>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</si>
  <si>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</si>
  <si>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</si>
  <si>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</si>
  <si>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</si>
  <si>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</si>
  <si>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</si>
  <si>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</si>
  <si>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</si>
  <si>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</si>
  <si>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</si>
  <si>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</si>
  <si>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</si>
  <si>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</si>
  <si>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</si>
  <si>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</si>
  <si>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</si>
  <si>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</si>
  <si>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</si>
  <si>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</si>
  <si>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</si>
  <si>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</si>
  <si>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</si>
  <si>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</si>
  <si>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</si>
  <si>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</si>
  <si>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</si>
  <si>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</si>
  <si>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</si>
  <si>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</si>
  <si>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</si>
  <si>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</si>
  <si>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</si>
  <si>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</si>
  <si>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</si>
  <si>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</si>
  <si>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</si>
  <si>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</si>
  <si>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</si>
  <si>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</si>
  <si>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</si>
  <si>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</si>
  <si>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</si>
  <si>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</si>
  <si>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</si>
  <si>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</si>
  <si>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</si>
  <si>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</si>
  <si>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</si>
  <si>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</si>
  <si>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</si>
  <si>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</si>
  <si>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</si>
  <si>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</si>
  <si>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</si>
  <si>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</si>
  <si>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</si>
  <si>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</si>
  <si>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</si>
  <si>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</si>
  <si>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</si>
  <si>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</si>
  <si>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</si>
  <si>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</si>
  <si>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</si>
  <si>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</si>
  <si>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</si>
  <si>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</si>
  <si>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</si>
  <si>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</si>
  <si>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</si>
  <si>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</si>
  <si>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</si>
  <si>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</si>
  <si>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</si>
  <si>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</si>
  <si>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</si>
  <si>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</si>
  <si>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</si>
  <si>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</si>
  <si>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</si>
  <si>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</si>
  <si>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</si>
  <si>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</si>
  <si>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</si>
  <si>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</si>
  <si>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</si>
  <si>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</si>
  <si>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</si>
  <si>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</si>
  <si>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</si>
  <si>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</si>
  <si>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</si>
  <si>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</si>
  <si>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</si>
  <si>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</si>
  <si>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</si>
  <si>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</si>
  <si>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</si>
  <si>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</si>
  <si>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</si>
  <si>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</si>
  <si>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</si>
  <si>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</si>
  <si>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</si>
  <si>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</si>
  <si>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</si>
  <si>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</si>
  <si>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</si>
  <si>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</si>
  <si>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</si>
  <si>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</si>
  <si>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</si>
  <si>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</si>
  <si>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</si>
  <si>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</si>
  <si>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</si>
  <si>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</si>
  <si>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</si>
  <si>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</si>
  <si>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</si>
  <si>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</si>
  <si>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</si>
  <si>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</si>
  <si>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</si>
  <si>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</si>
  <si>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</si>
  <si>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</si>
  <si>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</si>
  <si>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</si>
  <si>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</si>
  <si>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</si>
  <si>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</si>
  <si>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</si>
  <si>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</si>
  <si>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</si>
  <si>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</si>
  <si>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</si>
  <si>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</si>
  <si>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</si>
  <si>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</si>
  <si>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</si>
  <si>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</si>
  <si>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</si>
  <si>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</si>
  <si>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</si>
  <si>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</si>
  <si>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</si>
  <si>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</si>
  <si>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</si>
  <si>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</si>
  <si>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</si>
  <si>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</si>
  <si>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</si>
  <si>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</si>
  <si>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</si>
  <si>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</si>
  <si>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</si>
  <si>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</si>
  <si>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</si>
  <si>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</si>
  <si>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</si>
  <si>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</si>
  <si>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</si>
  <si>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</si>
  <si>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</si>
  <si>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</si>
  <si>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</si>
  <si>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</si>
  <si>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</si>
  <si>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</si>
  <si>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</si>
  <si>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</si>
  <si>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</si>
  <si>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</si>
  <si>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</si>
  <si>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</si>
  <si>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</si>
  <si>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</si>
  <si>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</si>
  <si>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</si>
  <si>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</si>
  <si>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</si>
  <si>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</si>
  <si>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</si>
  <si>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</si>
  <si>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</si>
  <si>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</si>
  <si>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</si>
  <si>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</si>
  <si>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</si>
  <si>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</si>
  <si>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</si>
  <si>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</si>
  <si>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</si>
  <si>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</si>
  <si>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</si>
  <si>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</si>
  <si>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</si>
  <si>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</si>
  <si>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</si>
  <si>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</si>
  <si>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</si>
  <si>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</si>
  <si>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</si>
  <si>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</si>
  <si>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</si>
  <si>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</si>
  <si>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</si>
  <si>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</si>
  <si>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</si>
  <si>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</si>
  <si>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</si>
  <si>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</si>
  <si>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</si>
  <si>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</si>
  <si>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</si>
  <si>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</si>
  <si>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</si>
  <si>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</si>
  <si>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</si>
  <si>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</si>
  <si>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</si>
  <si>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</si>
  <si>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</si>
  <si>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</si>
  <si>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</si>
  <si>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</si>
  <si>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</si>
  <si>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</si>
  <si>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</si>
  <si>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</si>
  <si>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</si>
  <si>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</si>
  <si>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</si>
  <si>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</si>
  <si>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</si>
  <si>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</si>
  <si>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</si>
  <si>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</si>
  <si>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</si>
  <si>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</si>
  <si>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</si>
  <si>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</si>
  <si>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</si>
  <si>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</si>
  <si>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</si>
  <si>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</si>
  <si>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</si>
  <si>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</si>
  <si>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</si>
  <si>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</si>
  <si>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</si>
  <si>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</si>
  <si>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</si>
  <si>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</si>
  <si>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</si>
  <si>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</si>
  <si>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</si>
  <si>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</si>
  <si>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</si>
  <si>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</si>
  <si>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</si>
  <si>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</si>
  <si>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</si>
  <si>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</si>
  <si>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</si>
  <si>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</si>
  <si>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</si>
  <si>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</si>
  <si>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</si>
  <si>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</si>
  <si>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</si>
  <si>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</si>
  <si>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</si>
  <si>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</si>
  <si>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</si>
  <si>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</si>
  <si>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</si>
  <si>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</si>
  <si>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</si>
  <si>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</si>
  <si>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</si>
  <si>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</si>
  <si>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</si>
  <si>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</si>
  <si>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</si>
  <si>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</si>
  <si>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</si>
  <si>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</si>
  <si>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</si>
  <si>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</si>
  <si>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</si>
  <si>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</si>
  <si>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</si>
  <si>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</si>
  <si>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</si>
  <si>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</si>
  <si>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</si>
  <si>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</si>
  <si>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</si>
  <si>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</si>
  <si>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</si>
  <si>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</si>
  <si>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</si>
  <si>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</si>
  <si>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</si>
  <si>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</si>
  <si>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</si>
  <si>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</si>
  <si>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</si>
  <si>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</si>
  <si>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</si>
  <si>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</si>
  <si>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</si>
  <si>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</si>
  <si>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</si>
  <si>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</si>
  <si>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</si>
  <si>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</si>
  <si>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</si>
  <si>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</si>
  <si>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</si>
  <si>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</si>
  <si>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</si>
  <si>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</si>
  <si>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</si>
  <si>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</si>
  <si>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</si>
  <si>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</si>
  <si>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</si>
  <si>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</si>
  <si>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</si>
  <si>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</si>
  <si>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</si>
  <si>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</si>
  <si>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</si>
  <si>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</si>
  <si>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</si>
  <si>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</si>
  <si>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</si>
  <si>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</si>
  <si>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</si>
  <si>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</si>
  <si>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</si>
  <si>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</si>
  <si>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</si>
  <si>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</si>
  <si>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</si>
  <si>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</si>
  <si>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</si>
  <si>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</si>
  <si>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</si>
  <si>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</si>
  <si>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</si>
  <si>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</si>
  <si>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</si>
  <si>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</si>
  <si>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</si>
  <si>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</si>
  <si>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</si>
  <si>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</si>
  <si>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</si>
  <si>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</si>
  <si>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</si>
  <si>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</si>
  <si>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</si>
  <si>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</si>
  <si>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</si>
  <si>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</si>
  <si>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</si>
  <si>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</si>
  <si>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</si>
  <si>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</si>
  <si>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</si>
  <si>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</si>
  <si>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</si>
  <si>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</si>
  <si>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</si>
  <si>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</si>
  <si>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</si>
  <si>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</si>
  <si>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</si>
  <si>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</si>
  <si>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</si>
  <si>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</si>
  <si>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</si>
  <si>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</si>
  <si>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</si>
  <si>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</si>
  <si>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</si>
  <si>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</si>
  <si>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</si>
  <si>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</si>
  <si>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</si>
  <si>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</si>
  <si>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</si>
  <si>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</si>
  <si>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</si>
  <si>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</si>
  <si>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</si>
  <si>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</si>
  <si>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</si>
  <si>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</si>
  <si>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</si>
  <si>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</si>
  <si>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</si>
  <si>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</si>
  <si>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</si>
  <si>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</si>
  <si>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</si>
  <si>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</si>
  <si>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</si>
  <si>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</si>
  <si>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</si>
  <si>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</si>
  <si>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</si>
  <si>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</si>
  <si>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</si>
  <si>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</si>
  <si>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</si>
  <si>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</si>
  <si>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</si>
  <si>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</si>
  <si>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</si>
  <si>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</si>
  <si>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</si>
  <si>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</si>
  <si>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</si>
  <si>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</si>
  <si>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</si>
  <si>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</si>
  <si>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</si>
  <si>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</si>
  <si>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</si>
  <si>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</si>
  <si>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</si>
  <si>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</si>
  <si>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</si>
  <si>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</si>
  <si>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</si>
  <si>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</si>
  <si>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</si>
  <si>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</si>
  <si>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</si>
  <si>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</si>
  <si>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</si>
  <si>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</si>
  <si>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</si>
  <si>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</si>
  <si>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</si>
  <si>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</si>
  <si>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</si>
  <si>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</si>
  <si>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</si>
  <si>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</si>
  <si>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</si>
  <si>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</si>
  <si>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</si>
  <si>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</si>
  <si>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</si>
  <si>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</si>
  <si>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</si>
  <si>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</si>
  <si>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</si>
  <si>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</si>
  <si>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</si>
  <si>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</si>
  <si>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</si>
  <si>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</si>
  <si>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</si>
  <si>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</si>
  <si>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</si>
  <si>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</si>
  <si>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</si>
  <si>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</si>
  <si>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</si>
  <si>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</si>
  <si>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</si>
  <si>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</si>
  <si>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</si>
  <si>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</si>
  <si>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</si>
  <si>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</si>
  <si>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</si>
  <si>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</si>
  <si>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</si>
  <si>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</si>
  <si>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</si>
  <si>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</si>
  <si>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</si>
  <si>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</si>
  <si>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</si>
  <si>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</si>
  <si>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</si>
  <si>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</si>
  <si>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</si>
  <si>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</si>
  <si>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</si>
  <si>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</si>
  <si>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</si>
  <si>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</si>
  <si>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</si>
  <si>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</si>
  <si>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</si>
  <si>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</si>
  <si>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</si>
  <si>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</si>
  <si>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</si>
  <si>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</si>
  <si>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</si>
  <si>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</si>
  <si>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</si>
  <si>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</si>
  <si>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</si>
  <si>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</si>
  <si>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</si>
  <si>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</si>
  <si>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</si>
  <si>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</si>
  <si>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</si>
  <si>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</si>
  <si>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</si>
  <si>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</si>
  <si>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</si>
  <si>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</si>
  <si>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</si>
  <si>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</si>
  <si>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</si>
  <si>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</si>
  <si>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</si>
  <si>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</si>
  <si>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</si>
  <si>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</si>
  <si>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</si>
  <si>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</si>
  <si>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</si>
  <si>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</si>
  <si>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</si>
  <si>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</si>
  <si>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</si>
  <si>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</si>
  <si>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</si>
  <si>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</si>
  <si>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</si>
  <si>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</si>
  <si>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</si>
  <si>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</si>
  <si>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</si>
  <si>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</si>
  <si>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</si>
  <si>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</si>
  <si>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</si>
  <si>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</si>
  <si>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</si>
  <si>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</si>
  <si>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</si>
  <si>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</si>
  <si>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</si>
  <si>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</si>
  <si>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</si>
  <si>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</si>
  <si>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</si>
  <si>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</si>
  <si>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</si>
  <si>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</si>
  <si>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</si>
  <si>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</si>
  <si>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</si>
  <si>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</si>
  <si>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</si>
  <si>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</si>
  <si>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</si>
  <si>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</si>
  <si>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</si>
  <si>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</si>
  <si>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</si>
  <si>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</si>
  <si>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</si>
  <si>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</si>
  <si>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</si>
  <si>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</si>
  <si>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</si>
  <si>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</si>
  <si>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</si>
  <si>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</si>
  <si>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</si>
  <si>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</si>
  <si>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</si>
  <si>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</si>
  <si>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</si>
  <si>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</si>
  <si>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</si>
  <si>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</si>
  <si>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</si>
  <si>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</si>
  <si>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</si>
  <si>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</si>
  <si>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</si>
  <si>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</si>
  <si>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</si>
  <si>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</si>
  <si>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</si>
  <si>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</si>
  <si>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</si>
  <si>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</si>
  <si>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</si>
  <si>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</si>
  <si>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</si>
  <si>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</si>
  <si>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</si>
  <si>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</si>
  <si>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</si>
  <si>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</si>
  <si>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</si>
  <si>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</si>
  <si>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</si>
  <si>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</si>
  <si>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</si>
  <si>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</si>
  <si>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</si>
  <si>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</si>
  <si>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</si>
  <si>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</si>
  <si>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</si>
  <si>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</si>
  <si>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</si>
  <si>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</si>
  <si>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</si>
  <si>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</si>
  <si>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</si>
  <si>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</si>
  <si>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</si>
  <si>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</si>
  <si>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</si>
  <si>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</si>
  <si>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</si>
  <si>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</si>
  <si>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</si>
  <si>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</si>
  <si>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</si>
  <si>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</si>
  <si>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</si>
  <si>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</si>
  <si>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</si>
  <si>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</si>
  <si>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</si>
  <si>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</si>
  <si>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</si>
  <si>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</si>
  <si>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</si>
  <si>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</si>
  <si>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</si>
  <si>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</si>
  <si>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</si>
  <si>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</si>
  <si>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</si>
  <si>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</si>
  <si>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</si>
  <si>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</si>
  <si>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</si>
  <si>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</si>
  <si>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</si>
  <si>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</si>
  <si>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</si>
  <si>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</si>
  <si>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</si>
  <si>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</si>
  <si>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</si>
  <si>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</si>
  <si>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</si>
  <si>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</si>
  <si>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</si>
  <si>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</si>
  <si>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</si>
  <si>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</si>
  <si>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</si>
  <si>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</si>
  <si>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</si>
  <si>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</si>
  <si>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</si>
  <si>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</si>
  <si>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</si>
  <si>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</si>
  <si>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</si>
  <si>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</si>
  <si>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</si>
  <si>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</si>
  <si>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</si>
  <si>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</si>
  <si>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</si>
  <si>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</si>
  <si>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</si>
  <si>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</si>
  <si>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</si>
  <si>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</si>
  <si>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</si>
  <si>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</si>
  <si>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</si>
  <si>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</si>
  <si>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</si>
  <si>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</si>
  <si>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</si>
  <si>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</si>
  <si>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</si>
  <si>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</si>
  <si>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</si>
  <si>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</si>
  <si>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</si>
  <si>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</si>
  <si>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</si>
  <si>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</si>
  <si>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</si>
  <si>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</si>
  <si>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</si>
  <si>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</si>
  <si>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</si>
  <si>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</si>
  <si>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</si>
  <si>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</si>
  <si>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</si>
  <si>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</si>
  <si>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</si>
  <si>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</si>
  <si>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</si>
  <si>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</si>
  <si>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</si>
  <si>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</si>
  <si>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</si>
  <si>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</si>
  <si>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</si>
  <si>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</si>
  <si>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</si>
  <si>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</si>
  <si>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</si>
  <si>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</si>
  <si>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</si>
  <si>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</si>
  <si>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</si>
  <si>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</si>
  <si>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</si>
  <si>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</si>
  <si>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</si>
  <si>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</si>
  <si>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</si>
  <si>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</si>
  <si>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</si>
  <si>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</si>
  <si>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</si>
  <si>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</si>
  <si>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</si>
  <si>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</si>
  <si>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</si>
  <si>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</si>
  <si>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</si>
  <si>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</si>
  <si>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</si>
  <si>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</si>
  <si>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</si>
  <si>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</si>
  <si>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</si>
  <si>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</si>
  <si>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</si>
  <si>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</si>
  <si>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</si>
  <si>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</si>
  <si>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</si>
  <si>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</si>
  <si>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</si>
  <si>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</si>
  <si>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</si>
  <si>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</si>
  <si>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</si>
  <si>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</si>
  <si>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</si>
  <si>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</si>
  <si>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</si>
  <si>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</si>
  <si>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</si>
  <si>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</si>
  <si>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</si>
  <si>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</si>
  <si>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</si>
  <si>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</si>
  <si>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</si>
  <si>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</si>
  <si>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</si>
  <si>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</si>
  <si>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</si>
  <si>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</si>
  <si>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</si>
  <si>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</si>
  <si>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</si>
  <si>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</si>
  <si>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</si>
  <si>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</si>
  <si>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</si>
  <si>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</si>
  <si>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</si>
  <si>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</si>
  <si>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</si>
  <si>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</si>
  <si>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</si>
  <si>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</si>
  <si>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</si>
  <si>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</si>
  <si>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</si>
  <si>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</si>
  <si>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</si>
  <si>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</si>
  <si>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</si>
  <si>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</si>
  <si>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</si>
  <si>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</si>
  <si>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</si>
  <si>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</si>
  <si>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</si>
  <si>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</si>
  <si>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</si>
  <si>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</si>
  <si>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</si>
  <si>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</si>
  <si>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</si>
  <si>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</si>
  <si>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</si>
  <si>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</si>
  <si>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</si>
  <si>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</si>
  <si>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</si>
  <si>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</si>
  <si>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</si>
  <si>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</si>
  <si>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</si>
  <si>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</si>
  <si>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</si>
  <si>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</si>
  <si>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</si>
  <si>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</si>
  <si>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</si>
  <si>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</si>
  <si>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</si>
  <si>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</si>
  <si>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</si>
  <si>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</si>
  <si>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</si>
  <si>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</si>
  <si>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</si>
  <si>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</si>
  <si>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</si>
  <si>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</si>
  <si>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</si>
  <si>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</si>
  <si>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</si>
  <si>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</si>
  <si>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</si>
  <si>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</si>
  <si>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</si>
  <si>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</si>
  <si>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</si>
  <si>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</si>
  <si>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</si>
  <si>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</si>
  <si>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</si>
  <si>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</si>
  <si>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</si>
  <si>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</si>
  <si>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</si>
  <si>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</si>
  <si>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</si>
  <si>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</si>
  <si>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</si>
  <si>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</si>
  <si>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</si>
  <si>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</si>
  <si>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</si>
  <si>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</si>
  <si>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</si>
  <si>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</si>
  <si>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</si>
  <si>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</si>
  <si>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</si>
  <si>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</si>
  <si>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</si>
  <si>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</si>
  <si>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</si>
  <si>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</si>
  <si>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</si>
  <si>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</si>
  <si>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</si>
  <si>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</si>
  <si>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</si>
  <si>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</si>
  <si>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</si>
  <si>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</si>
  <si>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</si>
  <si>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</si>
  <si>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</si>
  <si>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</si>
  <si>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</si>
  <si>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</si>
  <si>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</si>
  <si>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</si>
  <si>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</si>
  <si>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</si>
  <si>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</si>
  <si>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</si>
  <si>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</si>
  <si>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</si>
  <si>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</si>
  <si>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</si>
  <si>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</si>
  <si>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</si>
  <si>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</si>
  <si>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</si>
  <si>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</si>
  <si>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</si>
  <si>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</si>
  <si>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</si>
  <si>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</si>
  <si>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</si>
  <si>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</si>
  <si>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</si>
  <si>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</si>
  <si>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</si>
  <si>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</si>
  <si>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</si>
  <si>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</si>
  <si>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</si>
  <si>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</si>
  <si>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</si>
  <si>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</si>
  <si>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</si>
  <si>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</si>
  <si>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</si>
  <si>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</si>
  <si>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</si>
  <si>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</si>
  <si>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</si>
  <si>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</si>
  <si>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</si>
  <si>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</si>
  <si>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</si>
  <si>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</si>
  <si>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</si>
  <si>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</si>
  <si>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</si>
  <si>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</si>
  <si>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</si>
  <si>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</si>
  <si>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</si>
  <si>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</si>
  <si>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</si>
  <si>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</si>
  <si>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</si>
  <si>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</si>
  <si>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</si>
  <si>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</si>
  <si>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</si>
  <si>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</si>
  <si>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</si>
  <si>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</si>
  <si>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</si>
  <si>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</si>
  <si>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</si>
  <si>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</si>
  <si>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</si>
  <si>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</si>
  <si>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</si>
  <si>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</si>
  <si>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</si>
  <si>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</si>
  <si>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</si>
  <si>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</si>
  <si>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</si>
  <si>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</si>
  <si>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</si>
  <si>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</si>
  <si>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</si>
  <si>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</si>
  <si>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</si>
  <si>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</si>
  <si>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</si>
  <si>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</si>
  <si>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</si>
  <si>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</si>
  <si>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</si>
  <si>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</si>
  <si>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</si>
  <si>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</si>
  <si>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</si>
  <si>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</si>
  <si>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</si>
  <si>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</si>
  <si>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</si>
  <si>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</si>
  <si>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</si>
  <si>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</si>
  <si>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</si>
  <si>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</si>
  <si>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</si>
  <si>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</si>
  <si>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</si>
  <si>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</si>
  <si>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</si>
  <si>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</si>
  <si>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</si>
  <si>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</si>
  <si>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</si>
  <si>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</si>
  <si>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</si>
  <si>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</si>
  <si>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</si>
  <si>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</si>
  <si>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</si>
  <si>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</si>
  <si>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</si>
  <si>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</si>
  <si>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</si>
  <si>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</si>
  <si>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</si>
  <si>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</si>
  <si>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</si>
  <si>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</si>
  <si>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</si>
  <si>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</si>
  <si>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</si>
  <si>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</si>
  <si>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</si>
  <si>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</si>
  <si>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</si>
  <si>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</si>
  <si>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</si>
  <si>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</si>
  <si>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</si>
  <si>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</si>
  <si>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</si>
  <si>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</si>
  <si>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</si>
  <si>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</si>
  <si>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</si>
  <si>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</si>
  <si>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</si>
  <si>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</si>
  <si>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</si>
  <si>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</si>
  <si>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</si>
  <si>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</si>
  <si>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</si>
  <si>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</si>
  <si>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</si>
  <si>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</si>
  <si>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</si>
  <si>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</si>
  <si>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</si>
  <si>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</si>
  <si>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</si>
  <si>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</si>
  <si>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</si>
  <si>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</si>
  <si>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</si>
  <si>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</si>
  <si>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</si>
  <si>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</si>
  <si>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</si>
  <si>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</si>
  <si>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</si>
  <si>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</si>
  <si>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</si>
  <si>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</si>
  <si>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</si>
  <si>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</si>
  <si>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</si>
  <si>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</si>
  <si>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</si>
  <si>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</si>
  <si>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</si>
  <si>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</si>
  <si>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</si>
  <si>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</si>
  <si>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</si>
  <si>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</si>
  <si>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</si>
  <si>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</si>
  <si>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</si>
  <si>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</si>
  <si>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</si>
  <si>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</si>
  <si>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</si>
  <si>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</si>
  <si>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</si>
  <si>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</si>
  <si>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</si>
  <si>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</si>
  <si>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</si>
  <si>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</si>
  <si>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</si>
  <si>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</si>
  <si>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</si>
  <si>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</si>
  <si>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</si>
  <si>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</si>
  <si>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</si>
  <si>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</si>
  <si>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</si>
  <si>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</si>
  <si>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</si>
  <si>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</si>
  <si>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</si>
  <si>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</si>
  <si>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</si>
  <si>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</si>
  <si>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</si>
  <si>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</si>
  <si>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</si>
  <si>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</si>
  <si>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</si>
  <si>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</si>
  <si>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</si>
  <si>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</si>
  <si>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</si>
  <si>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</si>
  <si>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</si>
  <si>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</si>
  <si>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</si>
  <si>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</si>
  <si>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</si>
  <si>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</si>
  <si>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</si>
  <si>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</si>
  <si>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</si>
  <si>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</si>
  <si>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</si>
  <si>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</si>
  <si>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</si>
  <si>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</si>
  <si>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</si>
  <si>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</si>
  <si>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</si>
  <si>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</si>
  <si>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</si>
  <si>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</si>
  <si>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</si>
  <si>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</si>
  <si>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</si>
  <si>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</si>
  <si>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</si>
  <si>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</si>
  <si>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</si>
  <si>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</si>
  <si>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</si>
  <si>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</si>
  <si>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</si>
  <si>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</si>
  <si>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</si>
  <si>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</si>
  <si>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</si>
  <si>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</si>
  <si>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</si>
  <si>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</si>
  <si>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</si>
  <si>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</si>
  <si>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</si>
  <si>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</si>
  <si>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</si>
  <si>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</si>
  <si>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</si>
  <si>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</si>
  <si>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</si>
  <si>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</si>
  <si>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</si>
  <si>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</si>
  <si>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</si>
  <si>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</si>
  <si>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</si>
  <si>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</si>
  <si>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</si>
  <si>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</si>
  <si>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</si>
  <si>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</si>
  <si>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</si>
  <si>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</si>
  <si>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</si>
  <si>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</si>
  <si>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</si>
  <si>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</si>
  <si>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</si>
  <si>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</si>
  <si>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</si>
  <si>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</si>
  <si>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</si>
  <si>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</si>
  <si>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</si>
  <si>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</si>
  <si>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</si>
  <si>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</si>
  <si>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</si>
  <si>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</si>
  <si>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</si>
  <si>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</si>
  <si>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</si>
  <si>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</si>
  <si>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</si>
  <si>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</si>
  <si>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</si>
  <si>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</si>
  <si>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</si>
  <si>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</si>
  <si>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</si>
  <si>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</si>
  <si>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</si>
  <si>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</si>
  <si>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</si>
  <si>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</si>
  <si>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</si>
  <si>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</si>
  <si>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</si>
  <si>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</si>
  <si>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</si>
  <si>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</si>
  <si>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</si>
  <si>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</si>
  <si>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</si>
  <si>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</si>
  <si>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</si>
  <si>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</si>
  <si>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</si>
  <si>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</si>
  <si>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</si>
  <si>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</si>
  <si>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</si>
  <si>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</si>
  <si>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</si>
  <si>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</si>
  <si>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</si>
  <si>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</si>
  <si>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</si>
  <si>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</si>
  <si>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</si>
  <si>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</si>
  <si>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</si>
  <si>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</si>
  <si>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</si>
  <si>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</si>
  <si>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</si>
  <si>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</si>
  <si>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</si>
  <si>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</si>
  <si>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</si>
  <si>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</si>
  <si>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</si>
  <si>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</si>
  <si>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</si>
  <si>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</si>
  <si>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</si>
  <si>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</si>
  <si>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</si>
  <si>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</si>
  <si>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</si>
  <si>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</si>
  <si>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</si>
  <si>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</si>
  <si>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</si>
  <si>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</si>
  <si>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</si>
  <si>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</si>
  <si>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</si>
  <si>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</si>
  <si>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</si>
  <si>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</si>
  <si>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</si>
  <si>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</si>
  <si>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</si>
  <si>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</si>
  <si>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</si>
  <si>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</si>
  <si>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</si>
  <si>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</si>
  <si>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</si>
  <si>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</si>
  <si>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</si>
  <si>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</si>
  <si>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</si>
  <si>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</si>
  <si>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</si>
  <si>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</si>
  <si>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</si>
  <si>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</si>
  <si>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</si>
  <si>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</si>
  <si>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</si>
  <si>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</si>
  <si>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</si>
  <si>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</si>
  <si>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</si>
  <si>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</si>
  <si>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</si>
  <si>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</si>
  <si>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</si>
  <si>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</si>
  <si>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</si>
  <si>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</si>
  <si>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</si>
  <si>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</si>
  <si>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</si>
  <si>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</si>
  <si>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</si>
  <si>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</si>
  <si>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</si>
  <si>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</si>
  <si>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</si>
  <si>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</si>
  <si>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</si>
  <si>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</si>
  <si>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</si>
  <si>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</si>
  <si>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</si>
  <si>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</si>
  <si>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</si>
  <si>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</si>
  <si>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</si>
  <si>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</si>
  <si>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</si>
  <si>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</si>
  <si>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</si>
  <si>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</si>
  <si>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</si>
  <si>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</si>
  <si>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</si>
  <si>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</si>
  <si>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</si>
  <si>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</si>
  <si>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</si>
  <si>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</si>
  <si>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</si>
  <si>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</si>
  <si>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</si>
  <si>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</si>
  <si>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</si>
  <si>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</si>
  <si>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</si>
  <si>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</si>
  <si>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</si>
  <si>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</si>
  <si>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</si>
  <si>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</si>
  <si>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</si>
  <si>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</si>
  <si>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</si>
  <si>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</si>
  <si>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</si>
  <si>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</si>
  <si>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</si>
  <si>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</si>
  <si>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</si>
  <si>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</si>
  <si>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</si>
  <si>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</si>
  <si>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</si>
  <si>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</si>
  <si>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</si>
  <si>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</si>
  <si>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</si>
  <si>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</si>
  <si>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</si>
  <si>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</si>
  <si>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</si>
  <si>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</si>
  <si>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</si>
  <si>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</si>
  <si>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</si>
  <si>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</si>
  <si>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</si>
  <si>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</si>
  <si>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</si>
  <si>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</si>
  <si>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</si>
  <si>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</si>
  <si>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</si>
  <si>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</si>
  <si>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</si>
  <si>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</si>
  <si>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</si>
  <si>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</si>
  <si>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</si>
  <si>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</si>
  <si>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</si>
  <si>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</si>
  <si>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</si>
  <si>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</si>
  <si>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</si>
  <si>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</si>
  <si>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</si>
  <si>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</si>
  <si>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</si>
  <si>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</si>
  <si>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</si>
  <si>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</si>
  <si>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</si>
  <si>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</si>
  <si>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</si>
  <si>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</si>
  <si>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</si>
  <si>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</si>
  <si>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</si>
  <si>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</si>
  <si>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</si>
  <si>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</si>
  <si>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</si>
  <si>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</si>
  <si>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</si>
  <si>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</si>
  <si>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</si>
  <si>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</si>
  <si>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</si>
  <si>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</si>
  <si>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</si>
  <si>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</si>
  <si>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</si>
  <si>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</si>
  <si>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</si>
  <si>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</si>
  <si>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</si>
  <si>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</si>
  <si>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</si>
  <si>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</si>
  <si>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</si>
  <si>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</si>
  <si>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</si>
  <si>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</si>
  <si>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</si>
  <si>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</si>
  <si>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</si>
  <si>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</si>
  <si>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</si>
  <si>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</si>
  <si>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</si>
  <si>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</si>
  <si>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</si>
  <si>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</si>
  <si>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</si>
  <si>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</si>
  <si>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</si>
  <si>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</si>
  <si>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</si>
  <si>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</si>
  <si>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</si>
  <si>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</si>
  <si>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</si>
  <si>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</si>
  <si>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</si>
  <si>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</si>
  <si>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</si>
  <si>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</si>
  <si>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</si>
  <si>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</si>
  <si>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</si>
  <si>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</si>
  <si>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</si>
  <si>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</si>
  <si>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</si>
  <si>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</si>
  <si>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</si>
  <si>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</si>
  <si>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</si>
  <si>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</si>
  <si>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</si>
  <si>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</si>
  <si>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</si>
  <si>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</si>
  <si>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</si>
  <si>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</si>
  <si>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</si>
  <si>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</si>
  <si>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</si>
  <si>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</si>
  <si>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</si>
  <si>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</si>
  <si>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</si>
  <si>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</si>
  <si>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</si>
  <si>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</si>
  <si>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</si>
  <si>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</si>
  <si>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</si>
  <si>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</si>
  <si>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</si>
  <si>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</si>
  <si>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</si>
  <si>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</si>
  <si>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</si>
  <si>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</si>
  <si>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</si>
  <si>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</si>
  <si>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</si>
  <si>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</si>
  <si>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</si>
  <si>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</si>
  <si>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</si>
  <si>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</si>
  <si>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</si>
  <si>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</si>
  <si>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</si>
  <si>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</si>
  <si>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</si>
  <si>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</si>
  <si>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</si>
  <si>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</si>
  <si>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</si>
  <si>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</si>
  <si>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</si>
  <si>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</si>
  <si>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</si>
  <si>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</si>
  <si>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</si>
  <si>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</si>
  <si>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</si>
  <si>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</si>
  <si>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</si>
  <si>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</si>
  <si>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</si>
  <si>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</si>
  <si>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</si>
  <si>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</si>
  <si>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</si>
  <si>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</si>
  <si>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</si>
  <si>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</si>
  <si>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</si>
  <si>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</si>
  <si>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</si>
  <si>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</si>
  <si>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</si>
  <si>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</si>
  <si>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</si>
  <si>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</si>
  <si>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</si>
  <si>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</si>
  <si>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</si>
  <si>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</si>
  <si>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</si>
  <si>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</si>
  <si>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</si>
  <si>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</si>
  <si>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</si>
  <si>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</si>
  <si>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</si>
  <si>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</si>
  <si>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</si>
  <si>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</si>
  <si>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</si>
  <si>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</si>
  <si>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</si>
  <si>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</si>
  <si>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</si>
  <si>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</si>
  <si>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</si>
  <si>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</si>
  <si>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</si>
  <si>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</si>
  <si>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</si>
  <si>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</si>
  <si>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</si>
  <si>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</si>
  <si>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</si>
  <si>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</si>
  <si>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</si>
  <si>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</si>
  <si>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</si>
  <si>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</si>
  <si>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</si>
  <si>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</si>
  <si>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</si>
  <si>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</si>
  <si>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</si>
  <si>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</si>
  <si>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</si>
  <si>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</si>
  <si>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</si>
  <si>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</si>
  <si>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</si>
  <si>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</si>
  <si>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</si>
  <si>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</si>
  <si>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</si>
  <si>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</si>
  <si>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</si>
  <si>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</si>
  <si>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</si>
  <si>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</si>
  <si>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</si>
  <si>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</si>
  <si>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</si>
  <si>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</si>
  <si>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</si>
  <si>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</si>
  <si>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</si>
  <si>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</si>
  <si>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</si>
  <si>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</si>
  <si>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</si>
  <si>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</si>
  <si>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</si>
  <si>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</si>
  <si>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</si>
  <si>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</si>
  <si>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</si>
  <si>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</si>
  <si>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</si>
  <si>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</si>
  <si>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</si>
  <si>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</si>
  <si>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</si>
  <si>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</si>
  <si>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</si>
  <si>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</si>
  <si>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</si>
  <si>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</si>
  <si>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</si>
  <si>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</si>
  <si>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</si>
  <si>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</si>
  <si>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</si>
  <si>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</si>
  <si>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</si>
  <si>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</si>
  <si>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</si>
  <si>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</si>
  <si>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</si>
  <si>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</si>
  <si>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</si>
  <si>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</si>
  <si>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</si>
  <si>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</si>
  <si>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</si>
  <si>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</si>
  <si>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</si>
  <si>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</si>
  <si>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</si>
  <si>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</si>
  <si>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</si>
  <si>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</si>
  <si>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</si>
  <si>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</si>
  <si>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</si>
  <si>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</si>
  <si>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</si>
  <si>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</si>
  <si>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</si>
  <si>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</si>
  <si>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</si>
  <si>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</si>
  <si>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</si>
  <si>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</si>
  <si>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</si>
  <si>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</si>
  <si>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</si>
  <si>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</si>
  <si>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</si>
  <si>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</si>
  <si>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</si>
  <si>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</si>
  <si>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</si>
  <si>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</si>
  <si>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</si>
  <si>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</si>
  <si>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</si>
  <si>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</si>
  <si>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</si>
  <si>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</si>
  <si>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</si>
  <si>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</si>
  <si>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</si>
  <si>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</si>
  <si>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</si>
  <si>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</si>
  <si>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</si>
  <si>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</si>
  <si>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</si>
  <si>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</si>
  <si>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</si>
  <si>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</si>
  <si>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</si>
  <si>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</si>
  <si>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</si>
  <si>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</si>
  <si>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</si>
  <si>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</si>
  <si>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</si>
  <si>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</si>
  <si>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</si>
  <si>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</si>
  <si>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</si>
  <si>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</si>
  <si>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</si>
  <si>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</si>
  <si>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</si>
  <si>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</si>
  <si>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</si>
  <si>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</si>
  <si>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</si>
  <si>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</si>
  <si>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</si>
  <si>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</si>
  <si>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</si>
  <si>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</si>
  <si>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</si>
  <si>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</si>
  <si>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</si>
  <si>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</si>
  <si>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</si>
  <si>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</si>
  <si>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</si>
  <si>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</si>
  <si>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</si>
  <si>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</si>
  <si>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</si>
  <si>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</si>
  <si>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</si>
  <si>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</si>
  <si>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</si>
  <si>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</si>
  <si>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</si>
  <si>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</si>
  <si>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</si>
  <si>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</si>
  <si>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</si>
  <si>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</si>
  <si>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</si>
  <si>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</si>
  <si>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</si>
  <si>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</si>
  <si>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</si>
  <si>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</si>
  <si>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</si>
  <si>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</si>
  <si>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</si>
  <si>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</si>
  <si>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</si>
  <si>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</si>
  <si>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</si>
  <si>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</si>
  <si>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</si>
  <si>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</si>
  <si>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</si>
  <si>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</si>
  <si>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</si>
  <si>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</si>
  <si>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</si>
  <si>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</si>
  <si>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</si>
  <si>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</si>
  <si>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</si>
  <si>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</si>
  <si>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</si>
  <si>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</si>
  <si>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</si>
  <si>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</si>
  <si>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</si>
  <si>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</si>
  <si>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</si>
  <si>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</si>
  <si>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</si>
  <si>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</si>
  <si>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</si>
  <si>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</si>
  <si>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</si>
  <si>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</si>
  <si>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</si>
  <si>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</si>
  <si>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</si>
  <si>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</si>
  <si>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</si>
  <si>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</si>
  <si>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</si>
  <si>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</si>
  <si>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</si>
  <si>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</si>
  <si>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</si>
  <si>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</si>
  <si>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</si>
  <si>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</si>
  <si>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</si>
  <si>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</si>
  <si>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</si>
  <si>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</si>
  <si>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</si>
  <si>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</si>
  <si>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</si>
  <si>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</si>
  <si>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</si>
  <si>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</si>
  <si>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</si>
  <si>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</si>
  <si>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</si>
  <si>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</si>
  <si>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</si>
  <si>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</si>
  <si>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</si>
  <si>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</si>
  <si>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</si>
  <si>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</si>
  <si>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</si>
  <si>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</si>
  <si>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</si>
  <si>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</si>
  <si>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</si>
  <si>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</si>
  <si>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</si>
  <si>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</si>
  <si>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</si>
  <si>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</si>
  <si>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</si>
  <si>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</si>
  <si>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</si>
  <si>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</si>
  <si>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</si>
  <si>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</si>
  <si>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</si>
  <si>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</si>
  <si>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</si>
  <si>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</si>
  <si>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</si>
  <si>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</si>
  <si>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</si>
  <si>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</si>
  <si>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</si>
  <si>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</si>
  <si>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</si>
  <si>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</si>
  <si>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</si>
  <si>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</si>
  <si>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</si>
  <si>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</si>
  <si>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</si>
  <si>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</si>
  <si>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</si>
  <si>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</si>
  <si>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</si>
  <si>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</si>
  <si>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</si>
  <si>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</si>
  <si>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</si>
  <si>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</si>
  <si>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</si>
  <si>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</si>
  <si>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</si>
  <si>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</si>
  <si>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</si>
  <si>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</si>
  <si>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</si>
  <si>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</si>
  <si>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</si>
  <si>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</si>
  <si>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</si>
  <si>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</si>
  <si>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</si>
  <si>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</si>
  <si>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</si>
  <si>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</si>
  <si>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</si>
  <si>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</si>
  <si>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</si>
  <si>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</si>
  <si>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</si>
  <si>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</si>
  <si>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</si>
  <si>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</si>
  <si>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</si>
  <si>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</si>
  <si>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</si>
  <si>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</si>
  <si>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</si>
  <si>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</si>
  <si>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</si>
  <si>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</si>
  <si>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</si>
  <si>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</si>
  <si>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</si>
  <si>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</si>
  <si>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</si>
  <si>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</si>
  <si>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</si>
  <si>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</si>
  <si>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</si>
  <si>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</si>
  <si>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</si>
  <si>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</si>
  <si>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</si>
  <si>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</si>
  <si>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</si>
  <si>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</si>
  <si>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</si>
  <si>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</si>
  <si>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</si>
  <si>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</si>
  <si>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</si>
  <si>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</si>
  <si>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</si>
  <si>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</si>
  <si>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</si>
  <si>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</si>
  <si>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</si>
  <si>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</si>
  <si>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</si>
  <si>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</si>
  <si>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</si>
  <si>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</si>
  <si>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</si>
  <si>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</si>
  <si>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</si>
  <si>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</si>
  <si>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</si>
  <si>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</si>
  <si>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</si>
  <si>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</si>
  <si>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</si>
  <si>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</si>
  <si>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</si>
  <si>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</si>
  <si>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</si>
  <si>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</si>
  <si>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</si>
  <si>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</si>
  <si>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</si>
  <si>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</si>
  <si>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</si>
  <si>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</si>
  <si>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</si>
  <si>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</si>
  <si>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</si>
  <si>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</si>
  <si>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</si>
  <si>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</si>
  <si>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</si>
  <si>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</si>
  <si>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</si>
  <si>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</si>
  <si>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</si>
  <si>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</si>
  <si>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</si>
  <si>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</si>
  <si>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</si>
  <si>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</si>
  <si>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</si>
  <si>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</si>
  <si>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</si>
  <si>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</si>
  <si>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</si>
  <si>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</si>
  <si>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</si>
  <si>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</si>
  <si>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</si>
  <si>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</si>
  <si>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</si>
  <si>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</si>
  <si>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</si>
  <si>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</si>
  <si>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</si>
  <si>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</si>
  <si>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</si>
  <si>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</si>
  <si>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</si>
  <si>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</si>
  <si>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</si>
  <si>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</si>
  <si>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</si>
  <si>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</si>
  <si>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</si>
  <si>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</si>
  <si>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</si>
  <si>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</si>
  <si>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</si>
  <si>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</si>
  <si>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</si>
  <si>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</si>
  <si>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</si>
  <si>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</si>
  <si>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</si>
  <si>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</si>
  <si>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</si>
  <si>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</si>
  <si>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</si>
  <si>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</si>
  <si>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</si>
  <si>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</si>
  <si>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</si>
  <si>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</si>
  <si>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</si>
  <si>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</si>
  <si>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</si>
  <si>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</si>
  <si>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</si>
  <si>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</si>
  <si>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</si>
  <si>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</si>
  <si>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</si>
  <si>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</si>
  <si>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</si>
  <si>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</si>
  <si>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</si>
  <si>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</si>
  <si>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</si>
  <si>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</si>
  <si>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</si>
  <si>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</si>
  <si>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</si>
  <si>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</si>
  <si>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</si>
  <si>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</si>
  <si>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</si>
  <si>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</si>
  <si>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</si>
  <si>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</si>
  <si>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</si>
  <si>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</si>
  <si>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</si>
  <si>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</si>
  <si>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</si>
  <si>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</si>
  <si>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</si>
  <si>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</si>
  <si>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</si>
  <si>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</si>
  <si>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</si>
  <si>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</si>
  <si>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</si>
  <si>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</si>
  <si>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</si>
  <si>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</si>
  <si>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</si>
  <si>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</si>
  <si>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</si>
  <si>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</si>
  <si>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</si>
  <si>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</si>
  <si>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</si>
  <si>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</si>
  <si>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</si>
  <si>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</si>
  <si>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</si>
  <si>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</si>
  <si>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</si>
  <si>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</si>
  <si>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</si>
  <si>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</si>
  <si>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</si>
  <si>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</si>
  <si>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</si>
  <si>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</si>
  <si>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</si>
  <si>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</si>
  <si>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</si>
  <si>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</si>
  <si>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</si>
  <si>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</si>
  <si>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</si>
  <si>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</si>
  <si>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</si>
  <si>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</si>
  <si>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</si>
  <si>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</si>
  <si>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</si>
  <si>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</si>
  <si>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</si>
  <si>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</si>
  <si>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</si>
  <si>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</si>
  <si>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</si>
  <si>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</si>
  <si>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</si>
  <si>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</si>
  <si>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</si>
  <si>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</si>
  <si>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</si>
  <si>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</si>
  <si>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</si>
  <si>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</si>
  <si>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</si>
  <si>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</si>
  <si>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</si>
  <si>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</si>
  <si>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</si>
  <si>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</si>
  <si>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</si>
  <si>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</si>
  <si>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</si>
  <si>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</si>
  <si>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</si>
  <si>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</si>
  <si>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</si>
  <si>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</si>
  <si>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</si>
  <si>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</si>
  <si>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</si>
  <si>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</si>
  <si>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</si>
  <si>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</si>
  <si>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</si>
  <si>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</si>
  <si>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</si>
  <si>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</si>
  <si>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</si>
  <si>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</si>
  <si>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</si>
  <si>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</si>
  <si>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</si>
  <si>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</si>
  <si>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</si>
  <si>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</si>
  <si>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</si>
  <si>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</si>
  <si>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</si>
  <si>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</si>
  <si>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</si>
  <si>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</si>
  <si>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</si>
  <si>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</si>
  <si>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</si>
  <si>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</si>
  <si>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</si>
  <si>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</si>
  <si>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</si>
  <si>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</si>
  <si>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</si>
  <si>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</si>
  <si>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</si>
  <si>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</si>
  <si>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</si>
  <si>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</si>
  <si>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</si>
  <si>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</si>
  <si>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</si>
  <si>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</si>
  <si>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</si>
  <si>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</si>
  <si>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</si>
  <si>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</si>
  <si>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</si>
  <si>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</si>
  <si>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</si>
  <si>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</si>
  <si>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</si>
  <si>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</si>
  <si>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</si>
  <si>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</si>
  <si>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</si>
  <si>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</si>
  <si>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</si>
  <si>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</si>
  <si>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</si>
  <si>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</si>
  <si>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</si>
  <si>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</si>
  <si>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</si>
  <si>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</si>
  <si>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</si>
  <si>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</si>
  <si>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</si>
  <si>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</si>
  <si>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</si>
  <si>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</si>
  <si>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</si>
  <si>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</si>
  <si>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</si>
  <si>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</si>
  <si>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</si>
  <si>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</si>
  <si>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</si>
  <si>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</si>
  <si>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</si>
  <si>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</si>
  <si>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</si>
  <si>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</si>
  <si>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</si>
  <si>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</si>
  <si>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</si>
  <si>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</si>
  <si>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</si>
  <si>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</si>
  <si>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</si>
  <si>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</si>
  <si>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</si>
  <si>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</si>
  <si>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</si>
  <si>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</si>
  <si>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</si>
  <si>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</si>
  <si>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</si>
  <si>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</si>
  <si>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</si>
  <si>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</si>
  <si>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</si>
  <si>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</si>
  <si>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</si>
  <si>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</si>
  <si>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</si>
  <si>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</si>
  <si>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</si>
  <si>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</si>
  <si>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</si>
  <si>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</si>
  <si>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</si>
  <si>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</si>
  <si>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</si>
  <si>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</si>
  <si>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</si>
  <si>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</si>
  <si>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</si>
  <si>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</si>
  <si>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</si>
  <si>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</si>
  <si>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</si>
  <si>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</si>
  <si>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</si>
  <si>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</si>
  <si>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</si>
  <si>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</si>
  <si>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</si>
  <si>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</si>
  <si>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</si>
  <si>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</si>
  <si>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</si>
  <si>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</si>
  <si>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</si>
  <si>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</si>
  <si>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</si>
  <si>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</si>
  <si>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</si>
  <si>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</si>
  <si>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</si>
  <si>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</si>
  <si>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</si>
  <si>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</si>
  <si>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</si>
  <si>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</si>
  <si>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</si>
  <si>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</si>
  <si>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</si>
  <si>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</si>
  <si>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</si>
  <si>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</si>
  <si>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</si>
  <si>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</si>
  <si>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</si>
  <si>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</si>
  <si>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</si>
  <si>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</si>
  <si>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</si>
  <si>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</si>
  <si>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</si>
  <si>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</si>
  <si>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</si>
  <si>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</si>
  <si>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</si>
  <si>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</si>
  <si>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</si>
  <si>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</si>
  <si>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</si>
  <si>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</si>
  <si>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</si>
  <si>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</si>
  <si>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</si>
  <si>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</si>
  <si>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</si>
  <si>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</si>
  <si>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</si>
  <si>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</si>
  <si>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</si>
  <si>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</si>
  <si>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</si>
  <si>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</si>
  <si>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</si>
  <si>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</si>
  <si>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</si>
  <si>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</si>
  <si>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</si>
  <si>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</si>
  <si>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</si>
  <si>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</si>
  <si>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</si>
  <si>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</si>
  <si>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</si>
  <si>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</si>
  <si>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</si>
  <si>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</si>
  <si>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</si>
  <si>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</si>
  <si>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</si>
  <si>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</si>
  <si>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</si>
  <si>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</si>
  <si>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</si>
  <si>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</si>
  <si>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</si>
  <si>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</si>
  <si>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</si>
  <si>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</si>
  <si>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</si>
  <si>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</si>
  <si>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</si>
  <si>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</si>
  <si>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</si>
  <si>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</si>
  <si>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</si>
  <si>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</si>
  <si>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</si>
  <si>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</si>
  <si>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</si>
  <si>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</si>
  <si>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</si>
  <si>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</si>
  <si>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</si>
  <si>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</si>
  <si>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</si>
  <si>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</si>
  <si>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</si>
  <si>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</si>
  <si>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</si>
  <si>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</si>
  <si>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</si>
  <si>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</si>
  <si>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</si>
  <si>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</si>
  <si>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</si>
  <si>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</si>
  <si>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</si>
  <si>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</si>
  <si>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</si>
  <si>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</si>
  <si>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</si>
  <si>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</si>
  <si>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</si>
  <si>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</si>
  <si>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</si>
  <si>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</si>
  <si>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</si>
  <si>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</si>
  <si>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</si>
  <si>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</si>
  <si>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</si>
  <si>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</si>
  <si>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</si>
  <si>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</si>
  <si>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</si>
  <si>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</si>
  <si>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</si>
  <si>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</si>
  <si>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</si>
  <si>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</si>
  <si>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</si>
  <si>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</si>
  <si>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</si>
  <si>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</si>
  <si>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</si>
  <si>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</si>
  <si>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</si>
  <si>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</si>
  <si>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</si>
  <si>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</si>
  <si>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</si>
  <si>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</si>
  <si>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</si>
  <si>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</si>
  <si>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</si>
  <si>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</si>
  <si>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</si>
  <si>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</si>
  <si>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</si>
  <si>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</si>
  <si>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</si>
  <si>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</si>
  <si>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</si>
  <si>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</si>
  <si>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</si>
  <si>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</si>
  <si>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</si>
  <si>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</si>
  <si>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</si>
  <si>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</si>
  <si>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</si>
  <si>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</si>
  <si>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</si>
  <si>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</si>
  <si>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</si>
  <si>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</si>
  <si>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</si>
  <si>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</si>
  <si>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</si>
  <si>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</si>
  <si>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</si>
  <si>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</si>
  <si>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</si>
  <si>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</si>
  <si>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</si>
  <si>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</si>
  <si>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</si>
  <si>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</si>
  <si>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</si>
  <si>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</si>
  <si>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</si>
  <si>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</si>
  <si>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</si>
  <si>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</si>
  <si>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</si>
  <si>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</si>
  <si>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</si>
  <si>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</si>
  <si>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</si>
  <si>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</si>
  <si>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</si>
  <si>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</si>
  <si>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</si>
  <si>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</si>
  <si>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</si>
  <si>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</si>
  <si>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</si>
  <si>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</si>
  <si>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</si>
  <si>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</si>
  <si>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</si>
  <si>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</si>
  <si>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</si>
  <si>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</si>
  <si>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</si>
  <si>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</si>
  <si>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</si>
  <si>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</si>
  <si>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</si>
  <si>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</si>
  <si>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</si>
  <si>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</si>
  <si>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</si>
  <si>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</si>
  <si>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</si>
  <si>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</si>
  <si>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</si>
  <si>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</si>
  <si>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</si>
  <si>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</si>
  <si>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</si>
  <si>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</si>
  <si>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</si>
  <si>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</si>
  <si>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</si>
  <si>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</si>
  <si>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</si>
  <si>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</si>
  <si>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</si>
  <si>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</si>
  <si>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</si>
  <si>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</si>
  <si>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</si>
  <si>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</si>
  <si>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</si>
  <si>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</si>
  <si>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</si>
  <si>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</si>
  <si>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</si>
  <si>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</si>
  <si>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</si>
  <si>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</si>
  <si>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</si>
  <si>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</si>
  <si>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</si>
  <si>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</si>
  <si>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</si>
  <si>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</si>
  <si>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</si>
  <si>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</si>
  <si>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</si>
  <si>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</si>
  <si>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</si>
  <si>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</si>
  <si>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</si>
  <si>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</si>
  <si>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</si>
  <si>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</si>
  <si>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</si>
  <si>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</si>
  <si>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</si>
  <si>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</si>
  <si>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</si>
  <si>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</si>
  <si>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</si>
  <si>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</si>
  <si>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</si>
  <si>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</si>
  <si>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</si>
  <si>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</si>
  <si>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</si>
  <si>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</si>
  <si>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</si>
  <si>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</si>
  <si>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</si>
  <si>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</si>
  <si>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</si>
  <si>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</si>
  <si>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</si>
  <si>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</si>
  <si>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</si>
  <si>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</si>
  <si>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</si>
  <si>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</si>
  <si>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</si>
  <si>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</si>
  <si>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</si>
  <si>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</si>
  <si>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</si>
  <si>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</si>
  <si>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</si>
  <si>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</si>
  <si>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</si>
  <si>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</si>
  <si>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</si>
  <si>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</si>
  <si>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</si>
  <si>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</si>
  <si>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</si>
  <si>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</si>
  <si>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</si>
  <si>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</si>
  <si>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</si>
  <si>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</si>
  <si>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</si>
  <si>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</si>
  <si>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</si>
  <si>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</si>
  <si>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</si>
  <si>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</si>
  <si>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</si>
  <si>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</si>
  <si>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</si>
  <si>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</si>
  <si>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</si>
  <si>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</si>
  <si>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</si>
  <si>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</si>
  <si>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</si>
  <si>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</si>
  <si>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</si>
  <si>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</si>
  <si>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</si>
  <si>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</si>
  <si>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</si>
  <si>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</si>
  <si>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</si>
  <si>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</si>
  <si>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</si>
  <si>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</si>
  <si>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</si>
  <si>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</si>
  <si>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</si>
  <si>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</si>
  <si>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</si>
  <si>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</si>
  <si>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</si>
  <si>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</si>
  <si>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</si>
  <si>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</si>
  <si>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</si>
  <si>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</si>
  <si>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</si>
  <si>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</si>
  <si>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</si>
  <si>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</si>
  <si>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</si>
  <si>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</si>
  <si>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</si>
  <si>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</si>
  <si>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</si>
  <si>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</si>
  <si>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</si>
  <si>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</si>
  <si>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</si>
  <si>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</si>
  <si>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</si>
  <si>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</si>
  <si>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</si>
  <si>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</si>
  <si>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</si>
  <si>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</si>
  <si>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</si>
  <si>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</si>
  <si>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</si>
  <si>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</si>
  <si>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</si>
  <si>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</si>
  <si>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</si>
  <si>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</si>
  <si>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</si>
  <si>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</si>
  <si>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</si>
  <si>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</si>
  <si>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</si>
  <si>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</si>
  <si>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</si>
  <si>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</si>
  <si>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</si>
  <si>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</si>
  <si>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</si>
  <si>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</si>
  <si>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</si>
  <si>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</si>
  <si>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</si>
  <si>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</si>
  <si>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</si>
  <si>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</si>
  <si>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</si>
  <si>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</si>
  <si>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</si>
  <si>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</si>
  <si>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</si>
  <si>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</si>
  <si>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</si>
  <si>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</si>
  <si>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</si>
  <si>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</si>
  <si>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</si>
  <si>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</si>
  <si>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</si>
  <si>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</si>
  <si>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</si>
  <si>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</si>
  <si>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</si>
  <si>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</si>
  <si>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</si>
  <si>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</si>
  <si>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</si>
  <si>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</si>
  <si>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</si>
  <si>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</si>
  <si>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</si>
  <si>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</si>
  <si>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</si>
  <si>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</si>
  <si>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</si>
  <si>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</si>
  <si>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</si>
  <si>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</si>
  <si>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</si>
  <si>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</si>
  <si>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</si>
  <si>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</si>
  <si>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</si>
  <si>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</si>
  <si>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</si>
  <si>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</si>
  <si>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</si>
  <si>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</si>
  <si>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</si>
  <si>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</si>
  <si>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</si>
  <si>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</si>
  <si>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</si>
  <si>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</si>
  <si>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</si>
  <si>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</si>
  <si>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</si>
  <si>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</si>
  <si>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</si>
  <si>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</si>
  <si>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</si>
  <si>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</si>
  <si>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</si>
  <si>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</si>
  <si>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</si>
  <si>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</si>
  <si>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</si>
  <si>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</si>
  <si>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</si>
  <si>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</si>
  <si>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</si>
  <si>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</si>
  <si>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</si>
  <si>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</si>
  <si>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</si>
  <si>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</si>
  <si>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</si>
  <si>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</si>
  <si>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</si>
  <si>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</si>
  <si>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</si>
  <si>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</si>
  <si>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</si>
  <si>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</si>
  <si>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</si>
  <si>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</si>
  <si>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</si>
  <si>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</si>
  <si>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</si>
  <si>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</si>
  <si>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</si>
  <si>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</si>
  <si>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</si>
  <si>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</si>
  <si>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</si>
  <si>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</si>
  <si>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</si>
  <si>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</si>
  <si>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</si>
  <si>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</si>
  <si>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</si>
  <si>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</si>
  <si>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</si>
  <si>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</si>
  <si>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</si>
  <si>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</si>
  <si>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</si>
  <si>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</si>
  <si>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</si>
  <si>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</si>
  <si>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</si>
  <si>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</si>
  <si>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</si>
  <si>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</si>
  <si>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</si>
  <si>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</si>
  <si>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</si>
  <si>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</si>
  <si>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</si>
  <si>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</si>
  <si>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</si>
  <si>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</si>
  <si>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</si>
  <si>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</si>
  <si>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</si>
  <si>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</si>
  <si>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</si>
  <si>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</si>
  <si>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</si>
  <si>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</si>
  <si>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</si>
  <si>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</si>
  <si>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</si>
  <si>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</si>
  <si>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</si>
  <si>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</si>
  <si>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</si>
  <si>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</si>
  <si>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</si>
  <si>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</si>
  <si>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</si>
  <si>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</si>
  <si>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</si>
  <si>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</si>
  <si>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</si>
  <si>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</si>
  <si>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</si>
  <si>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</si>
  <si>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</si>
  <si>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</si>
  <si>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</si>
  <si>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</si>
  <si>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</si>
  <si>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</si>
  <si>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</si>
  <si>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</si>
  <si>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</si>
  <si>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</si>
  <si>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</si>
  <si>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</si>
  <si>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</si>
  <si>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</si>
  <si>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</si>
  <si>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</si>
  <si>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</si>
  <si>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</si>
  <si>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</si>
  <si>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</si>
  <si>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</si>
  <si>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</si>
  <si>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</si>
  <si>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</si>
  <si>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</si>
  <si>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</si>
  <si>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</si>
  <si>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</si>
  <si>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</si>
  <si>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</si>
  <si>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</si>
  <si>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</si>
  <si>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</si>
  <si>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</si>
  <si>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</si>
  <si>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</si>
  <si>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</si>
  <si>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</si>
  <si>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</si>
  <si>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</si>
  <si>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</si>
  <si>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</si>
  <si>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</si>
  <si>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</si>
  <si>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</si>
  <si>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</si>
  <si>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</si>
  <si>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</si>
  <si>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</si>
  <si>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</si>
  <si>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</si>
  <si>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</si>
  <si>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</si>
  <si>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</si>
  <si>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</si>
  <si>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</si>
  <si>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</si>
  <si>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</si>
  <si>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</si>
  <si>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</si>
  <si>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</si>
  <si>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</si>
  <si>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</si>
  <si>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</si>
  <si>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</si>
  <si>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</si>
  <si>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</si>
  <si>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</si>
  <si>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</si>
  <si>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</si>
  <si>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</si>
  <si>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</si>
  <si>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</si>
  <si>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</si>
  <si>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</si>
  <si>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</si>
  <si>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</si>
  <si>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</si>
  <si>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</si>
  <si>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</si>
  <si>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</si>
  <si>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</si>
  <si>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</si>
  <si>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</si>
  <si>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</si>
  <si>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</si>
  <si>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</si>
  <si>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</si>
  <si>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</si>
  <si>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</si>
  <si>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</si>
  <si>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</si>
  <si>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</si>
  <si>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</si>
  <si>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</si>
  <si>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</si>
  <si>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</si>
  <si>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</si>
  <si>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</si>
  <si>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</si>
  <si>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</si>
  <si>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</si>
  <si>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</si>
  <si>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</si>
  <si>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</si>
  <si>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</si>
  <si>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</si>
  <si>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</si>
  <si>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</si>
  <si>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</si>
  <si>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</si>
  <si>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</si>
  <si>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</si>
  <si>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</si>
  <si>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</si>
  <si>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</si>
  <si>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</si>
  <si>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</si>
  <si>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</si>
  <si>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</si>
  <si>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</si>
  <si>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</si>
  <si>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</si>
  <si>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</si>
  <si>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</si>
  <si>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</si>
  <si>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</si>
  <si>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</si>
  <si>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</si>
  <si>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</si>
  <si>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</si>
  <si>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</si>
  <si>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</si>
  <si>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</si>
  <si>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</si>
  <si>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</si>
  <si>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</si>
  <si>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</si>
  <si>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</si>
  <si>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</si>
  <si>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</si>
  <si>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</si>
  <si>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</si>
  <si>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</si>
  <si>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</si>
  <si>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</si>
  <si>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</si>
  <si>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</si>
  <si>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</si>
  <si>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</si>
  <si>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</si>
  <si>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</si>
  <si>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</si>
  <si>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</si>
  <si>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</si>
  <si>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</si>
  <si>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</si>
  <si>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</si>
  <si>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</si>
  <si>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</si>
  <si>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</si>
  <si>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</si>
  <si>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</si>
  <si>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</si>
  <si>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</si>
  <si>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</si>
  <si>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</si>
  <si>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</si>
  <si>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</si>
  <si>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</si>
  <si>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</si>
  <si>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</si>
  <si>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</si>
  <si>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</si>
  <si>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</si>
  <si>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</si>
  <si>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</si>
  <si>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</si>
  <si>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</si>
  <si>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</si>
  <si>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</si>
  <si>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</si>
  <si>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</si>
  <si>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</si>
  <si>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</si>
  <si>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</si>
  <si>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</si>
  <si>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</si>
  <si>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</si>
  <si>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</si>
  <si>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</si>
  <si>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</si>
  <si>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</si>
  <si>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</si>
  <si>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</si>
  <si>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</si>
  <si>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</si>
  <si>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</si>
  <si>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</si>
  <si>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</si>
  <si>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</si>
  <si>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</si>
  <si>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</si>
  <si>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</si>
  <si>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</si>
  <si>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</si>
  <si>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</si>
  <si>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</si>
  <si>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</si>
  <si>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</si>
  <si>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</si>
  <si>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</si>
  <si>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</si>
  <si>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</si>
  <si>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</si>
  <si>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</si>
  <si>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</si>
  <si>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</si>
  <si>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</si>
  <si>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</si>
  <si>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</si>
  <si>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</si>
  <si>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</si>
  <si>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</si>
  <si>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</si>
  <si>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</si>
  <si>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</si>
  <si>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</si>
  <si>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</si>
  <si>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</si>
  <si>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</si>
  <si>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</si>
  <si>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</si>
  <si>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</si>
  <si>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</si>
  <si>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</si>
  <si>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</si>
  <si>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</si>
  <si>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</si>
  <si>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</si>
  <si>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</si>
  <si>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</si>
  <si>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</si>
  <si>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</si>
  <si>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</si>
  <si>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</si>
  <si>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</si>
  <si>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</si>
  <si>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</si>
  <si>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</si>
  <si>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</si>
  <si>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</si>
  <si>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</si>
  <si>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</si>
  <si>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</si>
  <si>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</si>
  <si>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</si>
  <si>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</si>
  <si>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</si>
  <si>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</si>
  <si>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</si>
  <si>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</si>
  <si>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</si>
  <si>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</si>
  <si>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</si>
  <si>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</si>
  <si>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</si>
  <si>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</si>
  <si>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</si>
  <si>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</si>
  <si>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</si>
  <si>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PALACIO KEVIN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</si>
  <si>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</si>
  <si>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</si>
  <si>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</si>
  <si>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</si>
  <si>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</si>
  <si>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</si>
  <si>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</si>
  <si>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</si>
  <si>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</si>
  <si>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</si>
  <si>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</si>
  <si>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</si>
  <si>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</si>
  <si>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</si>
  <si>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</si>
  <si>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</si>
  <si>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</si>
  <si>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</si>
  <si>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</si>
  <si>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</si>
  <si>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</si>
  <si>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</si>
  <si>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</si>
  <si>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</si>
  <si>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</si>
  <si>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</si>
  <si>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</si>
  <si>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 xml:space="preserve">QUIROGA JONATHAN </t>
  </si>
  <si>
    <t xml:space="preserve">MORINGIO SILVIA </t>
  </si>
  <si>
    <t xml:space="preserve">REUQUE JOAQUIN </t>
  </si>
  <si>
    <t xml:space="preserve">FIGUEROA EZEQUIEL </t>
  </si>
  <si>
    <t>PERALTA GABRIEL</t>
  </si>
  <si>
    <t xml:space="preserve">GARNICA FRANCO </t>
  </si>
  <si>
    <t xml:space="preserve">ROMANO NICOLE </t>
  </si>
  <si>
    <t xml:space="preserve">COLLANTES BRIAN </t>
  </si>
  <si>
    <t xml:space="preserve">VELAZQUEZ LUCAS </t>
  </si>
  <si>
    <t xml:space="preserve">CEJAS SILVIA </t>
  </si>
  <si>
    <t>VELENTIN GOMEZ 5606</t>
  </si>
  <si>
    <t xml:space="preserve">GONZALEZ CATAN </t>
  </si>
  <si>
    <t>06.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</si>
</sst>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Listados%20de%20Ventas%20Online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  <row r="4334">
          <cell r="A4334" t="str">
            <v>8708651</v>
          </cell>
          <cell r="B4334" t="str">
            <v>CHALECO TACTICO MOLLE AIRSOFT/PAINTBALL</v>
          </cell>
          <cell r="C4334" t="str">
            <v>NI IDEA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14168</v>
      </c>
      <c r="E1" s="220" t="s">
        <v>14164</v>
      </c>
      <c r="F1" s="220" t="s">
        <v>7696</v>
      </c>
      <c r="G1" s="220" t="s">
        <v>14165</v>
      </c>
      <c r="H1" s="220" t="s">
        <v>14167</v>
      </c>
      <c r="I1" s="220" t="s">
        <v>14166</v>
      </c>
      <c r="J1" s="220" t="s">
        <v>14169</v>
      </c>
      <c r="K1" s="220" t="s">
        <v>14170</v>
      </c>
      <c r="L1" s="220" t="s">
        <v>14171</v>
      </c>
      <c r="M1" s="220" t="s">
        <v>14172</v>
      </c>
      <c r="N1" s="171" t="s">
        <v>14175</v>
      </c>
      <c r="O1" s="171" t="s">
        <v>14174</v>
      </c>
      <c r="P1" s="171" t="s">
        <v>14173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/>
      <c r="B2" s="117"/>
      <c r="C2" s="118"/>
      <c r="D2" s="115" t="str">
        <f>IFERROR(VLOOKUP(C2,LINCE!$A$1:$C$12000,3,FALSE),"")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8"/>
      <c r="P2" s="218"/>
      <c r="Q2" s="113"/>
      <c r="R2" s="196"/>
      <c r="S2" s="119"/>
      <c r="T2" s="119"/>
      <c r="U2" s="113"/>
      <c r="V2" s="135"/>
      <c r="W2" s="134" t="s">
        <v>10440</v>
      </c>
    </row>
    <row r="3" spans="1:23" x14ac:dyDescent="0.25">
      <c r="A3" s="193"/>
      <c r="B3" s="117"/>
      <c r="C3" s="118"/>
      <c r="D3" s="115" t="str">
        <f>IFERROR(VLOOKUP(C3,LINCE!$A$1:$C$12000,3,FALSE),"")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8"/>
      <c r="P3" s="218"/>
      <c r="Q3" s="113"/>
      <c r="R3" s="113"/>
      <c r="S3" s="119"/>
      <c r="T3" s="119"/>
      <c r="U3" s="113"/>
      <c r="V3" s="113"/>
    </row>
    <row r="4" spans="1:23" x14ac:dyDescent="0.25">
      <c r="A4" s="193"/>
      <c r="B4" s="117"/>
      <c r="C4" s="118"/>
      <c r="D4" s="115" t="str">
        <f>IFERROR(VLOOKUP(C4,LINCE!$A$1:$C$12000,3,FALSE),"")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8"/>
      <c r="P4" s="218"/>
      <c r="Q4" s="113"/>
      <c r="R4" s="113"/>
      <c r="S4" s="119"/>
      <c r="T4" s="119"/>
      <c r="U4" s="113"/>
      <c r="V4" s="113"/>
    </row>
    <row r="5" spans="1:23" x14ac:dyDescent="0.25">
      <c r="A5" s="193"/>
      <c r="B5" s="117"/>
      <c r="C5" s="118"/>
      <c r="D5" s="115" t="str">
        <f>IFERROR(VLOOKUP(C5,LINCE!$A$1:$C$12000,3,FALSE),"")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/>
      <c r="B6" s="117"/>
      <c r="C6" s="118"/>
      <c r="D6" s="115" t="str">
        <f>IFERROR(VLOOKUP(C6,LINCE!$A$1:$C$12000,3,FALSE),"")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8"/>
      <c r="P6" s="218"/>
      <c r="Q6" s="113"/>
      <c r="R6" s="113"/>
      <c r="S6" s="119"/>
      <c r="T6" s="119"/>
      <c r="U6" s="113"/>
      <c r="V6" s="113"/>
    </row>
    <row r="7" spans="1:23" x14ac:dyDescent="0.25">
      <c r="A7" s="216"/>
      <c r="B7" s="117"/>
      <c r="C7" s="118"/>
      <c r="D7" s="115" t="str">
        <f>IFERROR(VLOOKUP(C7,LINCE!$A$1:$C$12000,3,FALSE),"")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193"/>
      <c r="B8" s="117"/>
      <c r="C8" s="118"/>
      <c r="D8" s="115" t="str">
        <f>IFERROR(VLOOKUP(C8,LINCE!$A$1:$C$12000,3,FALSE),"")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193"/>
      <c r="B9" s="117"/>
      <c r="C9" s="118"/>
      <c r="D9" s="115" t="str">
        <f>IFERROR(VLOOKUP(C9,LINCE!$A$1:$C$12000,3,FALSE),"")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/>
      <c r="B10" s="117"/>
      <c r="C10" s="118"/>
      <c r="D10" s="115" t="str">
        <f>IFERROR(VLOOKUP(C10,LINCE!$A$1:$C$12000,3,FALSE),"")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8"/>
      <c r="P10" s="218"/>
      <c r="Q10" s="113"/>
      <c r="R10" s="196"/>
      <c r="S10" s="119"/>
      <c r="T10" s="119"/>
      <c r="U10" s="113"/>
      <c r="V10" s="113"/>
    </row>
    <row r="11" spans="1:23" x14ac:dyDescent="0.25">
      <c r="A11" s="215"/>
      <c r="B11" s="117"/>
      <c r="C11" s="118"/>
      <c r="D11" s="115" t="str">
        <f>IFERROR(VLOOKUP(C11,LINCE!$A$1:$C$12000,3,FALSE),"")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/>
      <c r="B12" s="117"/>
      <c r="C12" s="118"/>
      <c r="D12" s="115" t="str">
        <f>IFERROR(VLOOKUP(C12,LINCE!$A$1:$C$12000,3,FALSE),"")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8"/>
      <c r="P12" s="218"/>
      <c r="Q12" s="113"/>
      <c r="R12" s="113"/>
      <c r="S12" s="119"/>
      <c r="T12" s="119"/>
      <c r="U12" s="113"/>
      <c r="V12" s="113"/>
    </row>
    <row r="13" spans="1:23" x14ac:dyDescent="0.25">
      <c r="A13" s="216"/>
      <c r="B13" s="117"/>
      <c r="C13" s="118"/>
      <c r="D13" s="115" t="str">
        <f>IFERROR(VLOOKUP(C13,LINCE!$A$1:$C$12000,3,FALSE),"")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/>
      <c r="B14" s="117"/>
      <c r="C14" s="118"/>
      <c r="D14" s="115" t="str">
        <f>IFERROR(VLOOKUP(C14,LINCE!$A$1:$C$12000,3,FALSE),"")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8"/>
      <c r="P14" s="218"/>
      <c r="Q14" s="113"/>
      <c r="R14" s="113"/>
      <c r="S14" s="119"/>
      <c r="T14" s="119"/>
      <c r="U14" s="113"/>
      <c r="V14" s="113"/>
    </row>
    <row r="15" spans="1:23" x14ac:dyDescent="0.25">
      <c r="A15" s="193"/>
      <c r="B15" s="117"/>
      <c r="C15" s="118"/>
      <c r="D15" s="115" t="str">
        <f>IFERROR(VLOOKUP(C15,LINCE!$A$1:$C$12000,3,FALSE),"")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/>
      <c r="D16" s="115" t="str">
        <f>IFERROR(VLOOKUP(C16,LINCE!$A$1:$C$12000,3,FALSE),"")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/>
      <c r="D17" s="115" t="str">
        <f>IFERROR(VLOOKUP(C17,LINCE!$A$1:$C$12000,3,FALSE),"")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/>
      <c r="B18" s="117"/>
      <c r="C18" s="118"/>
      <c r="D18" s="115" t="str">
        <f>IFERROR(VLOOKUP(C18,LINCE!$A$1:$C$12000,3,FALSE),"")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8"/>
      <c r="P18" s="218"/>
      <c r="Q18" s="113"/>
      <c r="R18" s="113"/>
      <c r="S18" s="119"/>
      <c r="T18" s="119"/>
      <c r="U18" s="113"/>
      <c r="V18" s="113"/>
    </row>
    <row r="19" spans="1:22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8"/>
      <c r="P21" s="218"/>
      <c r="Q21" s="113"/>
      <c r="R21" s="113"/>
      <c r="S21" s="119"/>
      <c r="T21" s="119"/>
      <c r="U21" s="113"/>
      <c r="V21" s="113"/>
    </row>
    <row r="22" spans="1:22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8"/>
      <c r="P23" s="218"/>
      <c r="Q23" s="113"/>
      <c r="R23" s="113"/>
      <c r="S23" s="119"/>
      <c r="T23" s="119"/>
      <c r="U23" s="113"/>
      <c r="V23" s="113"/>
    </row>
    <row r="24" spans="1:22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8"/>
      <c r="P25" s="218"/>
      <c r="Q25" s="113"/>
      <c r="R25" s="113"/>
      <c r="S25" s="119"/>
      <c r="T25" s="119"/>
      <c r="U25" s="113"/>
      <c r="V25" s="113"/>
    </row>
    <row r="26" spans="1:22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223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7393</v>
      </c>
      <c r="C35" s="172"/>
      <c r="D35" s="224" t="s">
        <v>7956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opLeftCell="A21" workbookViewId="0">
      <selection activeCell="B35" sqref="B35:C35"/>
    </sheetView>
  </sheetViews>
  <sheetFormatPr baseColWidth="10" defaultRowHeight="15" x14ac:dyDescent="0.25"/>
  <cols>
    <col min="1" max="1" width="20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14179</v>
      </c>
      <c r="B2" s="208" t="str">
        <f>VLOOKUP(C2,[1]Sheet1!$A$2:$G$10000, 2, FALSE)</f>
        <v>CAMP INVEST AZUL RER</v>
      </c>
      <c r="C2" s="222" t="s">
        <v>2662</v>
      </c>
      <c r="D2" s="208"/>
      <c r="E2" s="208" t="s">
        <v>7718</v>
      </c>
      <c r="F2" s="208">
        <v>1</v>
      </c>
      <c r="G2" s="208" t="str">
        <f>VLOOKUP(C2,[1]Sheet1!$A$2:$G$10000, 3, FALSE)</f>
        <v>01. TERRAZA</v>
      </c>
    </row>
    <row r="3" spans="1:7" x14ac:dyDescent="0.25">
      <c r="A3" s="208"/>
      <c r="B3" s="208" t="str">
        <f>VLOOKUP(C3,[1]Sheet1!$A$2:$G$10000, 2, FALSE)</f>
        <v>PORTA CRED CUERO COLGANTE 1027 TB</v>
      </c>
      <c r="C3" s="222" t="s">
        <v>4651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 t="s">
        <v>14180</v>
      </c>
      <c r="B4" s="208" t="str">
        <f>VLOOKUP(C4,[1]Sheet1!$A$2:$G$10000, 2, FALSE)</f>
        <v>BORCEGUI TACTICO RERDA LMGE CC</v>
      </c>
      <c r="C4" s="222" t="s">
        <v>4168</v>
      </c>
      <c r="D4" s="208"/>
      <c r="E4" s="208">
        <v>36</v>
      </c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14181</v>
      </c>
      <c r="B5" s="208" t="str">
        <f>VLOOKUP(C5,[1]Sheet1!$A$2:$G$10000, 2, FALSE)</f>
        <v>BORCEGUI TODO CUERO RERDA RER</v>
      </c>
      <c r="C5" s="222" t="s">
        <v>4149</v>
      </c>
      <c r="D5" s="208"/>
      <c r="E5" s="208">
        <v>45</v>
      </c>
      <c r="F5" s="208">
        <v>1</v>
      </c>
      <c r="G5" s="208" t="str">
        <f>VLOOKUP(C5,[1]Sheet1!$A$2:$G$10000, 3, FALSE)</f>
        <v>01. TERRAZA</v>
      </c>
    </row>
    <row r="6" spans="1:7" x14ac:dyDescent="0.25">
      <c r="A6" s="208" t="s">
        <v>14185</v>
      </c>
      <c r="B6" s="208" t="str">
        <f>VLOOKUP(C6,[1]Sheet1!$A$2:$G$10000, 2, FALSE)</f>
        <v>BORCEGUI TACTICO RERDA LMGE CC</v>
      </c>
      <c r="C6" s="222" t="s">
        <v>4168</v>
      </c>
      <c r="D6" s="208"/>
      <c r="E6" s="208">
        <v>42</v>
      </c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14177</v>
      </c>
      <c r="B7" s="208" t="str">
        <f>VLOOKUP(C7,[1]Sheet1!$A$2:$G$10000, 2, FALSE)</f>
        <v>CHOMBA MC CIERRE AZ 3XS/2XL RER</v>
      </c>
      <c r="C7" s="222" t="s">
        <v>1135</v>
      </c>
      <c r="D7" s="208"/>
      <c r="E7" s="208" t="s">
        <v>7724</v>
      </c>
      <c r="F7" s="208">
        <v>1</v>
      </c>
      <c r="G7" s="208" t="str">
        <f>VLOOKUP(C7,[1]Sheet1!$A$2:$G$10000, 3, FALSE)</f>
        <v>04. 4TOPISO</v>
      </c>
    </row>
    <row r="8" spans="1:7" x14ac:dyDescent="0.25">
      <c r="A8" s="208" t="s">
        <v>14182</v>
      </c>
      <c r="B8" s="208" t="str">
        <f>VLOOKUP(C8,[1]Sheet1!$A$2:$G$10000, 2, FALSE)</f>
        <v>CHOMBA MC CIERRE NE 3XS/2XL RER</v>
      </c>
      <c r="C8" s="222" t="s">
        <v>1218</v>
      </c>
      <c r="D8" s="208"/>
      <c r="E8" s="208" t="s">
        <v>7718</v>
      </c>
      <c r="F8" s="208">
        <v>2</v>
      </c>
      <c r="G8" s="208" t="str">
        <f>VLOOKUP(C8,[1]Sheet1!$A$2:$G$10000, 3, FALSE)</f>
        <v>04. 4TOPISO</v>
      </c>
    </row>
    <row r="9" spans="1:7" x14ac:dyDescent="0.25">
      <c r="A9" s="208"/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CHOMBA MC CIERRE NE 3XS/2XL RER</v>
      </c>
      <c r="C10" s="222" t="s">
        <v>1218</v>
      </c>
      <c r="D10" s="208"/>
      <c r="E10" s="208" t="s">
        <v>7728</v>
      </c>
      <c r="F10" s="208">
        <v>2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CHOMBA MC CIERRE NE 3XL/5XL RER</v>
      </c>
      <c r="C11" s="222" t="s">
        <v>1230</v>
      </c>
      <c r="D11" s="208"/>
      <c r="E11" s="208" t="s">
        <v>7740</v>
      </c>
      <c r="F11" s="208">
        <v>1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CHOMBA MC CIERRE AZ 3XS/2XL RER</v>
      </c>
      <c r="C12" s="222" t="s">
        <v>1135</v>
      </c>
      <c r="D12" s="208"/>
      <c r="E12" s="208" t="s">
        <v>7736</v>
      </c>
      <c r="F12" s="208">
        <v>1</v>
      </c>
      <c r="G12" s="208" t="str">
        <f>VLOOKUP(C12,[1]Sheet1!$A$2:$G$10000, 3, FALSE)</f>
        <v>04. 4TOPISO</v>
      </c>
    </row>
    <row r="13" spans="1:7" x14ac:dyDescent="0.25">
      <c r="A13" s="208" t="s">
        <v>14183</v>
      </c>
      <c r="B13" s="208" t="str">
        <f>VLOOKUP(C13,[1]Sheet1!$A$2:$G$10000, 2, FALSE)</f>
        <v>REMERA MC COMBAT NEGRA</v>
      </c>
      <c r="C13" s="222" t="s">
        <v>1256</v>
      </c>
      <c r="D13" s="208"/>
      <c r="E13" s="208" t="s">
        <v>7718</v>
      </c>
      <c r="F13" s="208">
        <v>2</v>
      </c>
      <c r="G13" s="208" t="str">
        <f>VLOOKUP(C13,[1]Sheet1!$A$2:$G$10000, 3, FALSE)</f>
        <v>04. 4TOPISO</v>
      </c>
    </row>
    <row r="14" spans="1:7" x14ac:dyDescent="0.25">
      <c r="A14" s="208" t="s">
        <v>14178</v>
      </c>
      <c r="B14" s="208" t="str">
        <f>VLOOKUP(C14,[1]Sheet1!$A$2:$G$10000, 2, FALSE)</f>
        <v>BOMB CLAS GAB NEGRA DAMA/SPANDE 34/48RER</v>
      </c>
      <c r="C14" s="222" t="s">
        <v>413</v>
      </c>
      <c r="D14" s="208"/>
      <c r="E14" s="208">
        <v>48</v>
      </c>
      <c r="F14" s="208">
        <v>1</v>
      </c>
      <c r="G14" s="208" t="str">
        <f>VLOOKUP(C14,[1]Sheet1!$A$2:$G$10000, 3, FALSE)</f>
        <v>06. 2DO PISO</v>
      </c>
    </row>
    <row r="15" spans="1:7" x14ac:dyDescent="0.25">
      <c r="A15" s="208" t="s">
        <v>14184</v>
      </c>
      <c r="B15" s="208" t="str">
        <f>VLOOKUP(C15,[1]Sheet1!$A$2:$G$10000, 2, FALSE)</f>
        <v>RIÑONERA MZ-RJ-B04 8.5L FRONT-3</v>
      </c>
      <c r="C15" s="222" t="s">
        <v>6814</v>
      </c>
      <c r="D15" s="208" t="s">
        <v>14189</v>
      </c>
      <c r="E15" s="208"/>
      <c r="F15" s="208">
        <v>1</v>
      </c>
      <c r="G15" s="208" t="str">
        <f>VLOOKUP(C15,[1]Sheet1!$A$2:$G$10000, 3, FALSE)</f>
        <v>06. 2DO PISO</v>
      </c>
    </row>
    <row r="16" spans="1:7" x14ac:dyDescent="0.25">
      <c r="A16" s="208" t="s">
        <v>14186</v>
      </c>
      <c r="B16" s="208" t="str">
        <f>VLOOKUP(C16,[1]Sheet1!$A$2:$G$10000, 2, FALSE)</f>
        <v>BOMB AMER RIP AZUL 50/54 RER</v>
      </c>
      <c r="C16" s="222" t="s">
        <v>815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/>
      <c r="B17" s="208"/>
      <c r="C17" s="222" t="s">
        <v>14176</v>
      </c>
      <c r="D17" s="208"/>
      <c r="E17" s="208"/>
      <c r="F17" s="208"/>
      <c r="G17" s="208"/>
    </row>
    <row r="18" spans="1:7" x14ac:dyDescent="0.25">
      <c r="A18" s="208"/>
      <c r="B18" s="208"/>
      <c r="C18" s="222" t="s">
        <v>14176</v>
      </c>
      <c r="D18" s="208"/>
      <c r="E18" s="208"/>
      <c r="F18" s="208"/>
      <c r="G18" s="208"/>
    </row>
    <row r="19" spans="1:7" x14ac:dyDescent="0.25">
      <c r="A19" s="208"/>
      <c r="B19" s="208"/>
      <c r="C19" s="222" t="s">
        <v>14176</v>
      </c>
      <c r="D19" s="208"/>
      <c r="E19" s="208"/>
      <c r="F19" s="208"/>
      <c r="G19" s="208"/>
    </row>
    <row r="20" spans="1:7" x14ac:dyDescent="0.25">
      <c r="A20" s="208"/>
      <c r="B20" s="208"/>
      <c r="C20" s="222" t="s">
        <v>14176</v>
      </c>
      <c r="D20" s="208"/>
      <c r="E20" s="208"/>
      <c r="F20" s="208"/>
      <c r="G20" s="208"/>
    </row>
    <row r="21" spans="1:7" x14ac:dyDescent="0.25">
      <c r="A21" s="208"/>
      <c r="B21" s="208"/>
      <c r="C21" s="222" t="s">
        <v>14176</v>
      </c>
      <c r="D21" s="208"/>
      <c r="E21" s="208"/>
      <c r="F21" s="208"/>
      <c r="G21" s="208"/>
    </row>
    <row r="22" spans="1:7" x14ac:dyDescent="0.25">
      <c r="A22" s="208"/>
      <c r="B22" s="208"/>
      <c r="C22" s="222" t="s">
        <v>14176</v>
      </c>
      <c r="D22" s="208"/>
      <c r="E22" s="208"/>
      <c r="F22" s="208"/>
      <c r="G22" s="208"/>
    </row>
    <row r="23" spans="1:7" x14ac:dyDescent="0.25">
      <c r="A23" s="208"/>
      <c r="B23" s="208"/>
      <c r="C23" s="222" t="s">
        <v>14176</v>
      </c>
      <c r="D23" s="208"/>
      <c r="E23" s="208"/>
      <c r="F23" s="208"/>
      <c r="G23" s="208"/>
    </row>
    <row r="24" spans="1:7" x14ac:dyDescent="0.25">
      <c r="A24" s="208"/>
      <c r="B24" s="208"/>
      <c r="C24" s="222" t="s">
        <v>14176</v>
      </c>
      <c r="D24" s="208"/>
      <c r="E24" s="208"/>
      <c r="F24" s="208"/>
      <c r="G24" s="208"/>
    </row>
    <row r="25" spans="1:7" x14ac:dyDescent="0.25">
      <c r="A25" s="208"/>
      <c r="B25" s="208"/>
      <c r="C25" s="222" t="s">
        <v>14176</v>
      </c>
      <c r="D25" s="208"/>
      <c r="E25" s="208"/>
      <c r="F25" s="208"/>
      <c r="G25" s="208"/>
    </row>
    <row r="26" spans="1:7" x14ac:dyDescent="0.25">
      <c r="A26" s="208"/>
      <c r="B26" s="208"/>
      <c r="C26" s="222" t="s">
        <v>14176</v>
      </c>
      <c r="D26" s="208"/>
      <c r="E26" s="208"/>
      <c r="F26" s="208"/>
      <c r="G26" s="208"/>
    </row>
    <row r="27" spans="1:7" x14ac:dyDescent="0.25">
      <c r="A27" s="208"/>
      <c r="B27" s="208"/>
      <c r="C27" s="222" t="s">
        <v>14176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14176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14176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14176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14176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14176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14176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14176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10</v>
      </c>
      <c r="D35" s="208"/>
      <c r="E35" s="209" t="s">
        <v>13997</v>
      </c>
      <c r="F35" s="209">
        <f>SUM(F2:F34)</f>
        <v>20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13908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13909</v>
      </c>
      <c r="B4" s="253"/>
      <c r="C4" s="253"/>
      <c r="D4" s="253"/>
      <c r="E4" s="253"/>
      <c r="F4" s="177"/>
      <c r="G4" s="258" t="s">
        <v>13910</v>
      </c>
      <c r="H4" s="259"/>
      <c r="I4" s="189">
        <f ca="1">TODAY()</f>
        <v>45232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13911</v>
      </c>
      <c r="B6" s="251"/>
      <c r="C6" s="251"/>
      <c r="D6" s="251"/>
      <c r="E6" s="251"/>
      <c r="F6" s="251"/>
      <c r="G6" s="254" t="s">
        <v>13912</v>
      </c>
      <c r="H6" s="251"/>
      <c r="I6" s="255"/>
    </row>
    <row r="7" spans="1:9" ht="15" customHeight="1" x14ac:dyDescent="0.25">
      <c r="A7" s="225" t="s">
        <v>13913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13913</v>
      </c>
      <c r="H7" s="226"/>
      <c r="I7" s="256"/>
    </row>
    <row r="8" spans="1:9" ht="15" customHeight="1" x14ac:dyDescent="0.25">
      <c r="A8" s="227" t="s">
        <v>13914</v>
      </c>
      <c r="B8" s="228"/>
      <c r="C8" s="228"/>
      <c r="D8" s="228"/>
      <c r="E8" s="231"/>
      <c r="F8" s="232"/>
      <c r="G8" s="227" t="s">
        <v>13914</v>
      </c>
      <c r="H8" s="228"/>
      <c r="I8" s="257"/>
    </row>
    <row r="9" spans="1:9" ht="15" customHeight="1" x14ac:dyDescent="0.25">
      <c r="A9" s="225" t="s">
        <v>13915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13915</v>
      </c>
      <c r="H9" s="226"/>
      <c r="I9" s="248"/>
    </row>
    <row r="10" spans="1:9" ht="15" customHeight="1" x14ac:dyDescent="0.25">
      <c r="A10" s="227" t="s">
        <v>13916</v>
      </c>
      <c r="B10" s="228"/>
      <c r="C10" s="228"/>
      <c r="D10" s="228"/>
      <c r="E10" s="231"/>
      <c r="F10" s="232"/>
      <c r="G10" s="227" t="s">
        <v>13916</v>
      </c>
      <c r="H10" s="228"/>
      <c r="I10" s="249"/>
    </row>
    <row r="11" spans="1:9" ht="18.75" x14ac:dyDescent="0.25">
      <c r="A11" s="225" t="s">
        <v>13931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13931</v>
      </c>
      <c r="H11" s="226"/>
      <c r="I11" s="184"/>
    </row>
    <row r="12" spans="1:9" ht="15.75" x14ac:dyDescent="0.25">
      <c r="A12" s="227" t="s">
        <v>13932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13932</v>
      </c>
      <c r="H12" s="228"/>
      <c r="I12" s="197"/>
    </row>
    <row r="13" spans="1:9" ht="19.5" customHeight="1" x14ac:dyDescent="0.25">
      <c r="A13" s="225" t="s">
        <v>13917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13917</v>
      </c>
      <c r="H13" s="226"/>
      <c r="I13" s="240"/>
    </row>
    <row r="14" spans="1:9" ht="15" customHeight="1" x14ac:dyDescent="0.25">
      <c r="A14" s="227" t="s">
        <v>13918</v>
      </c>
      <c r="B14" s="228"/>
      <c r="C14" s="228"/>
      <c r="D14" s="228"/>
      <c r="E14" s="231"/>
      <c r="F14" s="232"/>
      <c r="G14" s="227" t="s">
        <v>13918</v>
      </c>
      <c r="H14" s="228"/>
      <c r="I14" s="241"/>
    </row>
    <row r="15" spans="1:9" ht="15" customHeight="1" x14ac:dyDescent="0.25">
      <c r="A15" s="225" t="s">
        <v>13919</v>
      </c>
      <c r="B15" s="226"/>
      <c r="C15" s="226"/>
      <c r="D15" s="226"/>
      <c r="E15" s="229" t="s">
        <v>13920</v>
      </c>
      <c r="F15" s="230"/>
      <c r="G15" s="225" t="s">
        <v>13919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13921</v>
      </c>
      <c r="B16" s="228"/>
      <c r="C16" s="228"/>
      <c r="D16" s="228"/>
      <c r="E16" s="231"/>
      <c r="F16" s="232"/>
      <c r="G16" s="227" t="s">
        <v>13921</v>
      </c>
      <c r="H16" s="228"/>
      <c r="I16" s="232"/>
    </row>
    <row r="17" spans="1:9" ht="20.100000000000001" customHeight="1" x14ac:dyDescent="0.25">
      <c r="A17" s="225" t="s">
        <v>13922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13922</v>
      </c>
      <c r="H17" s="226"/>
      <c r="I17" s="246"/>
    </row>
    <row r="18" spans="1:9" ht="20.100000000000001" customHeight="1" x14ac:dyDescent="0.25">
      <c r="A18" s="227" t="s">
        <v>13923</v>
      </c>
      <c r="B18" s="228"/>
      <c r="C18" s="228"/>
      <c r="D18" s="228"/>
      <c r="E18" s="244"/>
      <c r="F18" s="245"/>
      <c r="G18" s="227" t="s">
        <v>13923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9" t="s">
        <v>13926</v>
      </c>
      <c r="F20" s="239"/>
      <c r="G20" s="239"/>
      <c r="H20" s="185" t="s">
        <v>14161</v>
      </c>
      <c r="I20" s="185" t="s">
        <v>14162</v>
      </c>
    </row>
    <row r="21" spans="1:9" x14ac:dyDescent="0.25">
      <c r="A21" s="198"/>
      <c r="B21" s="198"/>
      <c r="C21" s="202"/>
      <c r="D21" s="202"/>
      <c r="E21" s="233" t="str">
        <f>IFERROR(VLOOKUP(B21,LINCE!$A$1:$F$12000,3,FALSE),"")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IFERROR(VLOOKUP(B22,LINCE!$A$1:$F$12000,3,FALSE),"")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IFERROR(VLOOKUP(B23,LINCE!$A$1:$F$12000,3,FALSE),"")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IFERROR(VLOOKUP(B24,LINCE!$A$1:$F$12000,3,FALSE),"")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IFERROR(VLOOKUP(B25,LINCE!$A$1:$F$12000,3,FALSE),"")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IFERROR(VLOOKUP(B26,LINCE!$A$1:$F$12000,3,FALSE),"")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IFERROR(VLOOKUP(B27,LINCE!$A$1:$F$12000,3,FALSE),"")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IFERROR(VLOOKUP(B28,LINCE!$A$1:$F$12000,3,FALSE),"")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IFERROR(VLOOKUP(B29,LINCE!$A$1:$F$12000,3,FALSE),"")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IFERROR(VLOOKUP(B30,LINCE!$A$1:$F$12000,3,FALSE),"")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IFERROR(VLOOKUP(B31,LINCE!$A$1:$F$12000,3,FALSE),"")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IFERROR(VLOOKUP(B32,LINCE!$A$1:$F$12000,3,FALSE),"")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IFERROR(VLOOKUP(B33,LINCE!$A$1:$F$12000,3,FALSE),"")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IFERROR(VLOOKUP(B34,LINCE!$A$1:$F$12000,3,FALSE),"")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IFERROR(VLOOKUP(B35,LINCE!$A$1:$F$12000,3,FALSE),"")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IFERROR(VLOOKUP(B36,LINCE!$A$1:$F$12000,3,FALSE),"")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IFERROR(VLOOKUP(B37,LINCE!$A$1:$F$12000,3,FALSE),"")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IFERROR(VLOOKUP(B38,LINCE!$A$1:$F$12000,3,FALSE),"")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IFERROR(VLOOKUP(B39,LINCE!$A$1:$F$12000,3,FALSE),"")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IFERROR(VLOOKUP(B40,LINCE!$A$1:$F$12000,3,FALSE),"")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IFERROR(VLOOKUP(B41,LINCE!$A$1:$F$12000,3,FALSE),"")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IFERROR(VLOOKUP(B42,LINCE!$A$1:$F$12000,3,FALSE),"")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IFERROR(VLOOKUP(B43,LINCE!$A$1:$F$12000,3,FALSE),"")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IFERROR(VLOOKUP(B44,LINCE!$A$1:$F$12000,3,FALSE),"")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IFERROR(VLOOKUP(B45,LINCE!$A$1:$F$12000,3,FALSE),"")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IFERROR(VLOOKUP(B46,LINCE!$A$1:$F$12000,3,FALSE),"")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IFERROR(VLOOKUP(B47,LINCE!$A$1:$F$12000,3,FALSE),"")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IFERROR(VLOOKUP(B48,LINCE!$A$1:$F$12000,3,FALSE),"")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IFERROR(VLOOKUP(B49,LINCE!$A$1:$F$12000,3,FALSE),"")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14163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13928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13929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13930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13127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13128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13129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13130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13131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13133</v>
      </c>
      <c r="M15" s="266"/>
      <c r="N15" s="266"/>
      <c r="O15" s="266"/>
      <c r="P15" s="267">
        <v>44258473</v>
      </c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 t="s">
        <v>14183</v>
      </c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 t="s">
        <v>14187</v>
      </c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13134</v>
      </c>
      <c r="D21" s="272"/>
      <c r="E21" s="273">
        <v>1759</v>
      </c>
      <c r="F21" s="274"/>
      <c r="G21" s="275" t="s">
        <v>14188</v>
      </c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7968</v>
      </c>
      <c r="D23" s="276"/>
      <c r="E23" s="276"/>
      <c r="F23" s="276"/>
      <c r="G23" s="276"/>
      <c r="H23" s="276"/>
      <c r="I23" s="276"/>
      <c r="J23" s="276"/>
      <c r="K23" s="31"/>
      <c r="L23" s="277" t="s">
        <v>13135</v>
      </c>
      <c r="M23" s="277"/>
      <c r="N23" s="277"/>
      <c r="O23" s="277"/>
      <c r="P23" s="278">
        <v>1165640204</v>
      </c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13127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13128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13129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13130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13150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13151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13152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 t="s">
        <v>14186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13133</v>
      </c>
      <c r="P16" s="362"/>
      <c r="Q16" s="362"/>
      <c r="R16" s="363">
        <v>24656660</v>
      </c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13153</v>
      </c>
      <c r="D18" s="367"/>
      <c r="E18" s="367"/>
      <c r="F18" s="368" t="str">
        <f>VLOOKUP(S18,Sucursales!A:B,2,FALSE)</f>
        <v>VIEDMA</v>
      </c>
      <c r="G18" s="368"/>
      <c r="H18" s="368"/>
      <c r="I18" s="368"/>
      <c r="J18" s="368"/>
      <c r="K18" s="368"/>
      <c r="L18" s="368"/>
      <c r="M18" s="368"/>
      <c r="N18" s="79"/>
      <c r="O18" s="369" t="s">
        <v>7958</v>
      </c>
      <c r="P18" s="369"/>
      <c r="Q18" s="369"/>
      <c r="R18" s="369"/>
      <c r="S18" s="370" t="s">
        <v>11806</v>
      </c>
      <c r="T18" s="370"/>
      <c r="U18" s="371"/>
      <c r="V18" s="78"/>
    </row>
    <row r="19" spans="1:22" ht="14.1" customHeight="1" x14ac:dyDescent="0.25">
      <c r="A19" s="356"/>
      <c r="B19" s="75"/>
      <c r="C19" s="372" t="s">
        <v>13154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str">
        <f>VLOOKUP(S18,Sucursales!A:G,6,FALSE)</f>
        <v>R8500ZAA</v>
      </c>
      <c r="D20" s="375"/>
      <c r="E20" s="375"/>
      <c r="F20" s="375"/>
      <c r="H20" s="378" t="str">
        <f>VLOOKUP(S18,Sucursales!A:H,7,FALSE)</f>
        <v>VIEDMA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str">
        <f>VLOOKUP(S18,Sucursales!A:H,8,FALSE)</f>
        <v>RIO NEGRO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13155</v>
      </c>
      <c r="O22" s="383"/>
      <c r="P22" s="383"/>
      <c r="Q22" s="383"/>
      <c r="R22" s="384">
        <v>2920553674</v>
      </c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13127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13156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13128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13129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13130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13157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13158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13152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 t="s">
        <v>14149</v>
      </c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13133</v>
      </c>
      <c r="P16" s="362"/>
      <c r="Q16" s="362"/>
      <c r="R16" s="412">
        <v>42288678</v>
      </c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13159</v>
      </c>
      <c r="D18" s="368"/>
      <c r="E18" s="368"/>
      <c r="F18" s="368" t="str">
        <f>VLOOKUP(S18,Sucursales!A:B,2,FALSE)</f>
        <v>LIB. GRAL. SAN MARTIN</v>
      </c>
      <c r="G18" s="368"/>
      <c r="H18" s="368"/>
      <c r="I18" s="368"/>
      <c r="J18" s="368"/>
      <c r="K18" s="368"/>
      <c r="L18" s="368"/>
      <c r="M18" s="368"/>
      <c r="N18" s="79"/>
      <c r="O18" s="369" t="s">
        <v>7958</v>
      </c>
      <c r="P18" s="369"/>
      <c r="Q18" s="369"/>
      <c r="R18" s="369"/>
      <c r="S18" s="370" t="s">
        <v>11129</v>
      </c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str">
        <f>VLOOKUP(S18,Sucursales!A:G,6,FALSE)</f>
        <v>Y4512ZAB</v>
      </c>
      <c r="D20" s="375"/>
      <c r="E20" s="375"/>
      <c r="F20" s="375"/>
      <c r="H20" s="378" t="str">
        <f>VLOOKUP(S18,Sucursales!A:H,7,FALSE)</f>
        <v>LIB GRAL SAN MARTIN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str">
        <f>VLOOKUP(S18,Sucursales!A:H,8,FALSE)</f>
        <v>JUJUY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13155</v>
      </c>
      <c r="O22" s="383"/>
      <c r="P22" s="383"/>
      <c r="Q22" s="383"/>
      <c r="R22" s="413">
        <v>3886447862</v>
      </c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13130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13404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 t="s">
        <v>13937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13133</v>
      </c>
      <c r="P16" s="432"/>
      <c r="Q16" s="432"/>
      <c r="R16" s="363">
        <v>38476336</v>
      </c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13403</v>
      </c>
      <c r="D18" s="434"/>
      <c r="E18" s="434"/>
      <c r="F18" s="435">
        <f ca="1">TODAY()</f>
        <v>45232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13402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13155</v>
      </c>
      <c r="O22" s="449"/>
      <c r="P22" s="449"/>
      <c r="Q22" s="449"/>
      <c r="R22" s="384">
        <v>2613157782</v>
      </c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7957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A18" sqref="A1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14156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14152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14153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14157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14154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14155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14158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14159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14160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14150</v>
      </c>
    </row>
    <row r="6" spans="1:3" x14ac:dyDescent="0.25">
      <c r="A6" s="102"/>
      <c r="B6" s="102" t="s">
        <v>7935</v>
      </c>
      <c r="C6" s="102" t="s">
        <v>14151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2023-11-02T13:39:31Z</cp:lastPrinted>
  <dcterms:created xsi:type="dcterms:W3CDTF">2020-05-12T14:02:24Z</dcterms:created>
  <dcterms:modified xsi:type="dcterms:W3CDTF">2023-11-02T15:34:48Z</dcterms:modified>
</cp:coreProperties>
</file>