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<sst xmlns="http://schemas.openxmlformats.org/spreadsheetml/2006/main" count="22482" uniqueCount="14225">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</sst>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Descripción</v>
          </cell>
        </row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T1" zoomScaleNormal="100" workbookViewId="0">
      <pane ySplit="1" topLeftCell="A2" activePane="bottomLeft" state="frozen"/>
      <selection pane="bottomLeft" activeCell="V12" sqref="V1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opLeftCell="A21" workbookViewId="0">
      <selection activeCell="B35" sqref="B35:C35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9" t="s">
        <v>13908</v>
      </c>
      <c r="B2" s="250"/>
      <c r="C2" s="250"/>
      <c r="D2" s="250"/>
      <c r="E2" s="250"/>
      <c r="F2" s="250"/>
      <c r="G2" s="250"/>
      <c r="H2" s="250"/>
      <c r="I2" s="25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1" t="s">
        <v>13909</v>
      </c>
      <c r="B4" s="252"/>
      <c r="C4" s="252"/>
      <c r="D4" s="252"/>
      <c r="E4" s="252"/>
      <c r="F4" s="177"/>
      <c r="G4" s="257" t="s">
        <v>13910</v>
      </c>
      <c r="H4" s="258"/>
      <c r="I4" s="189">
        <f ca="1">TODAY()</f>
        <v>45197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3" t="s">
        <v>13911</v>
      </c>
      <c r="B6" s="250"/>
      <c r="C6" s="250"/>
      <c r="D6" s="250"/>
      <c r="E6" s="250"/>
      <c r="F6" s="250"/>
      <c r="G6" s="253" t="s">
        <v>13912</v>
      </c>
      <c r="H6" s="250"/>
      <c r="I6" s="254"/>
    </row>
    <row r="7" spans="1:9" ht="15" customHeight="1" x14ac:dyDescent="0.25">
      <c r="A7" s="224" t="s">
        <v>13913</v>
      </c>
      <c r="B7" s="225"/>
      <c r="C7" s="225"/>
      <c r="D7" s="225"/>
      <c r="E7" s="228" t="str">
        <f>Datos!B4 &amp; " "</f>
        <v xml:space="preserve">RERDA S.A. </v>
      </c>
      <c r="F7" s="229"/>
      <c r="G7" s="224" t="s">
        <v>13913</v>
      </c>
      <c r="H7" s="225"/>
      <c r="I7" s="255"/>
    </row>
    <row r="8" spans="1:9" ht="15" customHeight="1" x14ac:dyDescent="0.25">
      <c r="A8" s="226" t="s">
        <v>13914</v>
      </c>
      <c r="B8" s="227"/>
      <c r="C8" s="227"/>
      <c r="D8" s="227"/>
      <c r="E8" s="230"/>
      <c r="F8" s="231"/>
      <c r="G8" s="226" t="s">
        <v>13914</v>
      </c>
      <c r="H8" s="227"/>
      <c r="I8" s="256"/>
    </row>
    <row r="9" spans="1:9" ht="15" customHeight="1" x14ac:dyDescent="0.25">
      <c r="A9" s="224" t="s">
        <v>13915</v>
      </c>
      <c r="B9" s="225"/>
      <c r="C9" s="225"/>
      <c r="D9" s="225"/>
      <c r="E9" s="228" t="str">
        <f>Datos!B6 &amp; " " &amp; Datos!B7 &amp; " "</f>
        <v xml:space="preserve">San Martín 1665 </v>
      </c>
      <c r="F9" s="229"/>
      <c r="G9" s="224" t="s">
        <v>13915</v>
      </c>
      <c r="H9" s="225"/>
      <c r="I9" s="247"/>
    </row>
    <row r="10" spans="1:9" ht="15" customHeight="1" x14ac:dyDescent="0.25">
      <c r="A10" s="226" t="s">
        <v>13916</v>
      </c>
      <c r="B10" s="227"/>
      <c r="C10" s="227"/>
      <c r="D10" s="227"/>
      <c r="E10" s="230"/>
      <c r="F10" s="231"/>
      <c r="G10" s="226" t="s">
        <v>13916</v>
      </c>
      <c r="H10" s="227"/>
      <c r="I10" s="248"/>
    </row>
    <row r="11" spans="1:9" ht="18.75" x14ac:dyDescent="0.25">
      <c r="A11" s="224" t="s">
        <v>13931</v>
      </c>
      <c r="B11" s="225"/>
      <c r="C11" s="225"/>
      <c r="D11" s="225"/>
      <c r="E11" s="259" t="str">
        <f>Datos!B8 &amp; " "</f>
        <v xml:space="preserve">Mendoza </v>
      </c>
      <c r="F11" s="260"/>
      <c r="G11" s="224" t="s">
        <v>13931</v>
      </c>
      <c r="H11" s="225"/>
      <c r="I11" s="184"/>
    </row>
    <row r="12" spans="1:9" ht="15.75" x14ac:dyDescent="0.25">
      <c r="A12" s="226" t="s">
        <v>13932</v>
      </c>
      <c r="B12" s="227"/>
      <c r="C12" s="227"/>
      <c r="D12" s="227"/>
      <c r="E12" s="261" t="str">
        <f>Datos!B5 &amp; " "</f>
        <v xml:space="preserve">30535195869 </v>
      </c>
      <c r="F12" s="262"/>
      <c r="G12" s="226" t="s">
        <v>13932</v>
      </c>
      <c r="H12" s="227"/>
      <c r="I12" s="197"/>
    </row>
    <row r="13" spans="1:9" ht="19.5" customHeight="1" x14ac:dyDescent="0.25">
      <c r="A13" s="224" t="s">
        <v>13917</v>
      </c>
      <c r="B13" s="225"/>
      <c r="C13" s="225"/>
      <c r="D13" s="225"/>
      <c r="E13" s="228" t="str">
        <f>Datos!B9 &amp; " "</f>
        <v xml:space="preserve">Mendoza </v>
      </c>
      <c r="F13" s="229"/>
      <c r="G13" s="224" t="s">
        <v>13917</v>
      </c>
      <c r="H13" s="225"/>
      <c r="I13" s="239"/>
    </row>
    <row r="14" spans="1:9" ht="15" customHeight="1" x14ac:dyDescent="0.25">
      <c r="A14" s="226" t="s">
        <v>13918</v>
      </c>
      <c r="B14" s="227"/>
      <c r="C14" s="227"/>
      <c r="D14" s="227"/>
      <c r="E14" s="230"/>
      <c r="F14" s="231"/>
      <c r="G14" s="226" t="s">
        <v>13918</v>
      </c>
      <c r="H14" s="227"/>
      <c r="I14" s="240"/>
    </row>
    <row r="15" spans="1:9" ht="15" customHeight="1" x14ac:dyDescent="0.25">
      <c r="A15" s="224" t="s">
        <v>13919</v>
      </c>
      <c r="B15" s="225"/>
      <c r="C15" s="225"/>
      <c r="D15" s="225"/>
      <c r="E15" s="228" t="s">
        <v>13920</v>
      </c>
      <c r="F15" s="229"/>
      <c r="G15" s="224" t="s">
        <v>13919</v>
      </c>
      <c r="H15" s="225"/>
      <c r="I15" s="229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30"/>
      <c r="F16" s="231"/>
      <c r="G16" s="226" t="s">
        <v>13921</v>
      </c>
      <c r="H16" s="227"/>
      <c r="I16" s="231"/>
    </row>
    <row r="17" spans="1:9" ht="20.100000000000001" customHeight="1" x14ac:dyDescent="0.25">
      <c r="A17" s="224" t="s">
        <v>13922</v>
      </c>
      <c r="B17" s="225"/>
      <c r="C17" s="225"/>
      <c r="D17" s="225"/>
      <c r="E17" s="241" t="str">
        <f>Datos!B12 &amp; " "</f>
        <v xml:space="preserve">0261-4256567 | +549 2615117948 </v>
      </c>
      <c r="F17" s="242"/>
      <c r="G17" s="224" t="s">
        <v>13922</v>
      </c>
      <c r="H17" s="225"/>
      <c r="I17" s="245"/>
    </row>
    <row r="18" spans="1:9" ht="20.100000000000001" customHeight="1" x14ac:dyDescent="0.25">
      <c r="A18" s="226" t="s">
        <v>13923</v>
      </c>
      <c r="B18" s="227"/>
      <c r="C18" s="227"/>
      <c r="D18" s="227"/>
      <c r="E18" s="243"/>
      <c r="F18" s="244"/>
      <c r="G18" s="226" t="s">
        <v>13923</v>
      </c>
      <c r="H18" s="227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8" t="s">
        <v>13926</v>
      </c>
      <c r="F20" s="238"/>
      <c r="G20" s="238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32" t="str">
        <f>IFERROR(VLOOKUP(B21,LINCE!$A$1:$F$12000,3,FALSE),"")</f>
        <v/>
      </c>
      <c r="F21" s="233"/>
      <c r="G21" s="234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2" t="str">
        <f>IFERROR(VLOOKUP(B22,LINCE!$A$1:$F$12000,3,FALSE),"")</f>
        <v/>
      </c>
      <c r="F22" s="233"/>
      <c r="G22" s="234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2" t="str">
        <f>IFERROR(VLOOKUP(B23,LINCE!$A$1:$F$12000,3,FALSE),"")</f>
        <v/>
      </c>
      <c r="F23" s="233"/>
      <c r="G23" s="234"/>
      <c r="H23" s="201"/>
      <c r="I23" s="186"/>
    </row>
    <row r="24" spans="1:9" x14ac:dyDescent="0.25">
      <c r="A24" s="199"/>
      <c r="B24" s="199"/>
      <c r="C24" s="203"/>
      <c r="D24" s="203"/>
      <c r="E24" s="232" t="str">
        <f>IFERROR(VLOOKUP(B24,LINCE!$A$1:$F$12000,3,FALSE),"")</f>
        <v/>
      </c>
      <c r="F24" s="233"/>
      <c r="G24" s="234"/>
      <c r="H24" s="201"/>
      <c r="I24" s="186"/>
    </row>
    <row r="25" spans="1:9" x14ac:dyDescent="0.25">
      <c r="A25" s="199"/>
      <c r="B25" s="199"/>
      <c r="C25" s="203"/>
      <c r="D25" s="203"/>
      <c r="E25" s="232" t="str">
        <f>IFERROR(VLOOKUP(B25,LINCE!$A$1:$F$12000,3,FALSE),"")</f>
        <v/>
      </c>
      <c r="F25" s="233"/>
      <c r="G25" s="234"/>
      <c r="H25" s="201"/>
      <c r="I25" s="186"/>
    </row>
    <row r="26" spans="1:9" x14ac:dyDescent="0.25">
      <c r="A26" s="199"/>
      <c r="B26" s="199"/>
      <c r="C26" s="203"/>
      <c r="D26" s="203"/>
      <c r="E26" s="232" t="str">
        <f>IFERROR(VLOOKUP(B26,LINCE!$A$1:$F$12000,3,FALSE),"")</f>
        <v/>
      </c>
      <c r="F26" s="233"/>
      <c r="G26" s="234"/>
      <c r="H26" s="201"/>
      <c r="I26" s="186"/>
    </row>
    <row r="27" spans="1:9" x14ac:dyDescent="0.25">
      <c r="A27" s="199"/>
      <c r="B27" s="199"/>
      <c r="C27" s="203"/>
      <c r="D27" s="203"/>
      <c r="E27" s="232" t="str">
        <f>IFERROR(VLOOKUP(B27,LINCE!$A$1:$F$12000,3,FALSE),"")</f>
        <v/>
      </c>
      <c r="F27" s="233"/>
      <c r="G27" s="234"/>
      <c r="H27" s="201"/>
      <c r="I27" s="186"/>
    </row>
    <row r="28" spans="1:9" x14ac:dyDescent="0.25">
      <c r="A28" s="199"/>
      <c r="B28" s="199"/>
      <c r="C28" s="203"/>
      <c r="D28" s="203"/>
      <c r="E28" s="232" t="str">
        <f>IFERROR(VLOOKUP(B28,LINCE!$A$1:$F$12000,3,FALSE),"")</f>
        <v/>
      </c>
      <c r="F28" s="233"/>
      <c r="G28" s="234"/>
      <c r="H28" s="201"/>
      <c r="I28" s="186"/>
    </row>
    <row r="29" spans="1:9" x14ac:dyDescent="0.25">
      <c r="A29" s="199"/>
      <c r="B29" s="199"/>
      <c r="C29" s="203"/>
      <c r="D29" s="203"/>
      <c r="E29" s="232" t="str">
        <f>IFERROR(VLOOKUP(B29,LINCE!$A$1:$F$12000,3,FALSE),"")</f>
        <v/>
      </c>
      <c r="F29" s="233"/>
      <c r="G29" s="234"/>
      <c r="H29" s="201"/>
      <c r="I29" s="186"/>
    </row>
    <row r="30" spans="1:9" x14ac:dyDescent="0.25">
      <c r="A30" s="199"/>
      <c r="B30" s="199"/>
      <c r="C30" s="203"/>
      <c r="D30" s="203"/>
      <c r="E30" s="232" t="str">
        <f>IFERROR(VLOOKUP(B30,LINCE!$A$1:$F$12000,3,FALSE),"")</f>
        <v/>
      </c>
      <c r="F30" s="233"/>
      <c r="G30" s="234"/>
      <c r="H30" s="201"/>
      <c r="I30" s="186"/>
    </row>
    <row r="31" spans="1:9" x14ac:dyDescent="0.25">
      <c r="A31" s="199"/>
      <c r="B31" s="199"/>
      <c r="C31" s="203"/>
      <c r="D31" s="203"/>
      <c r="E31" s="232" t="str">
        <f>IFERROR(VLOOKUP(B31,LINCE!$A$1:$F$12000,3,FALSE),"")</f>
        <v/>
      </c>
      <c r="F31" s="233"/>
      <c r="G31" s="234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2" t="str">
        <f>IFERROR(VLOOKUP(B32,LINCE!$A$1:$F$12000,3,FALSE),"")</f>
        <v/>
      </c>
      <c r="F32" s="233"/>
      <c r="G32" s="234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2" t="str">
        <f>IFERROR(VLOOKUP(B33,LINCE!$A$1:$F$12000,3,FALSE),"")</f>
        <v/>
      </c>
      <c r="F33" s="233"/>
      <c r="G33" s="234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2" t="str">
        <f>IFERROR(VLOOKUP(B34,LINCE!$A$1:$F$12000,3,FALSE),"")</f>
        <v/>
      </c>
      <c r="F34" s="233"/>
      <c r="G34" s="234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2" t="str">
        <f>IFERROR(VLOOKUP(B35,LINCE!$A$1:$F$12000,3,FALSE),"")</f>
        <v/>
      </c>
      <c r="F35" s="233"/>
      <c r="G35" s="234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2" t="str">
        <f>IFERROR(VLOOKUP(B36,LINCE!$A$1:$F$12000,3,FALSE),"")</f>
        <v/>
      </c>
      <c r="F36" s="233"/>
      <c r="G36" s="234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2" t="str">
        <f>IFERROR(VLOOKUP(B37,LINCE!$A$1:$F$12000,3,FALSE),"")</f>
        <v/>
      </c>
      <c r="F37" s="233"/>
      <c r="G37" s="234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2" t="str">
        <f>IFERROR(VLOOKUP(B38,LINCE!$A$1:$F$12000,3,FALSE),"")</f>
        <v/>
      </c>
      <c r="F38" s="233"/>
      <c r="G38" s="234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2" t="str">
        <f>IFERROR(VLOOKUP(B39,LINCE!$A$1:$F$12000,3,FALSE),"")</f>
        <v/>
      </c>
      <c r="F39" s="233"/>
      <c r="G39" s="234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2" t="str">
        <f>IFERROR(VLOOKUP(B40,LINCE!$A$1:$F$12000,3,FALSE),"")</f>
        <v/>
      </c>
      <c r="F40" s="233"/>
      <c r="G40" s="234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2" t="str">
        <f>IFERROR(VLOOKUP(B41,LINCE!$A$1:$F$12000,3,FALSE),"")</f>
        <v/>
      </c>
      <c r="F41" s="233"/>
      <c r="G41" s="234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2" t="str">
        <f>IFERROR(VLOOKUP(B42,LINCE!$A$1:$F$12000,3,FALSE),"")</f>
        <v/>
      </c>
      <c r="F42" s="233"/>
      <c r="G42" s="234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2" t="str">
        <f>IFERROR(VLOOKUP(B43,LINCE!$A$1:$F$12000,3,FALSE),"")</f>
        <v/>
      </c>
      <c r="F43" s="233"/>
      <c r="G43" s="234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2" t="str">
        <f>IFERROR(VLOOKUP(B44,LINCE!$A$1:$F$12000,3,FALSE),"")</f>
        <v/>
      </c>
      <c r="F44" s="233"/>
      <c r="G44" s="234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2" t="str">
        <f>IFERROR(VLOOKUP(B45,LINCE!$A$1:$F$12000,3,FALSE),"")</f>
        <v/>
      </c>
      <c r="F45" s="233"/>
      <c r="G45" s="234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2" t="str">
        <f>IFERROR(VLOOKUP(B46,LINCE!$A$1:$F$12000,3,FALSE),"")</f>
        <v/>
      </c>
      <c r="F46" s="233"/>
      <c r="G46" s="234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2" t="str">
        <f>IFERROR(VLOOKUP(B47,LINCE!$A$1:$F$12000,3,FALSE),"")</f>
        <v/>
      </c>
      <c r="F47" s="233"/>
      <c r="G47" s="234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2" t="str">
        <f>IFERROR(VLOOKUP(B48,LINCE!$A$1:$F$12000,3,FALSE),"")</f>
        <v/>
      </c>
      <c r="F48" s="233"/>
      <c r="G48" s="234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2" t="str">
        <f>IFERROR(VLOOKUP(B49,LINCE!$A$1:$F$12000,3,FALSE),"")</f>
        <v/>
      </c>
      <c r="F49" s="233"/>
      <c r="G49" s="234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5"/>
      <c r="B52" s="235"/>
      <c r="C52" s="235"/>
      <c r="D52" s="235"/>
      <c r="E52" s="235"/>
      <c r="F52" s="183"/>
      <c r="G52" s="183"/>
      <c r="H52" s="183"/>
      <c r="I52" s="183"/>
    </row>
    <row r="53" spans="1:9" ht="30" customHeight="1" x14ac:dyDescent="0.3">
      <c r="A53" s="235" t="s">
        <v>13928</v>
      </c>
      <c r="B53" s="235"/>
      <c r="C53" s="235"/>
      <c r="D53" s="235"/>
      <c r="E53" s="235"/>
      <c r="F53" s="237"/>
      <c r="G53" s="237"/>
      <c r="H53" s="237"/>
      <c r="I53" s="237"/>
    </row>
    <row r="54" spans="1:9" ht="30" customHeight="1" x14ac:dyDescent="0.3">
      <c r="A54" s="235" t="s">
        <v>13929</v>
      </c>
      <c r="B54" s="235"/>
      <c r="C54" s="235"/>
      <c r="D54" s="235"/>
      <c r="E54" s="235"/>
      <c r="F54" s="236"/>
      <c r="G54" s="236"/>
      <c r="H54" s="236"/>
      <c r="I54" s="236"/>
    </row>
    <row r="55" spans="1:9" ht="30" customHeight="1" x14ac:dyDescent="0.3">
      <c r="A55" s="235" t="s">
        <v>13930</v>
      </c>
      <c r="B55" s="235"/>
      <c r="C55" s="235"/>
      <c r="D55" s="235"/>
      <c r="E55" s="235"/>
      <c r="F55" s="236"/>
      <c r="G55" s="236"/>
      <c r="H55" s="236"/>
      <c r="I55" s="236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3" t="s">
        <v>13127</v>
      </c>
      <c r="B2" s="296" t="str">
        <f>+Datos!B4</f>
        <v>RERDA S.A.</v>
      </c>
      <c r="C2" s="297"/>
      <c r="D2" s="297"/>
      <c r="E2" s="297"/>
      <c r="F2" s="297"/>
      <c r="G2" s="297"/>
      <c r="H2" s="297"/>
      <c r="I2" s="4"/>
      <c r="J2" s="4"/>
      <c r="K2" s="4"/>
      <c r="L2" s="4"/>
      <c r="M2" s="4"/>
      <c r="N2" s="4"/>
      <c r="O2" s="5"/>
      <c r="P2" s="298"/>
      <c r="Q2" s="299"/>
      <c r="R2" s="299"/>
      <c r="S2" s="299"/>
      <c r="T2" s="299"/>
      <c r="U2" s="300"/>
    </row>
    <row r="3" spans="1:21" ht="14.1" customHeight="1" x14ac:dyDescent="0.25">
      <c r="A3" s="294"/>
      <c r="B3" s="307" t="str">
        <f>+Datos!B6</f>
        <v>San Martín</v>
      </c>
      <c r="C3" s="308"/>
      <c r="D3" s="308"/>
      <c r="E3" s="308"/>
      <c r="F3" s="308"/>
      <c r="G3" s="308">
        <f>+Datos!B7</f>
        <v>1665</v>
      </c>
      <c r="H3" s="308"/>
      <c r="I3" s="308"/>
      <c r="J3" s="6"/>
      <c r="K3" s="7"/>
      <c r="L3" s="8"/>
      <c r="M3" s="309" t="str">
        <f>+Datos!B8</f>
        <v>Mendoza</v>
      </c>
      <c r="N3" s="309"/>
      <c r="O3" s="310"/>
      <c r="P3" s="301"/>
      <c r="Q3" s="302"/>
      <c r="R3" s="302"/>
      <c r="S3" s="302"/>
      <c r="T3" s="302"/>
      <c r="U3" s="303"/>
    </row>
    <row r="4" spans="1:21" ht="14.1" customHeight="1" x14ac:dyDescent="0.25">
      <c r="A4" s="294"/>
      <c r="B4" s="311" t="str">
        <f>+Datos!B9</f>
        <v>Mendoza</v>
      </c>
      <c r="C4" s="309"/>
      <c r="D4" s="309"/>
      <c r="E4" s="309"/>
      <c r="F4" s="309"/>
      <c r="G4" s="309">
        <f>+Datos!B10</f>
        <v>5500</v>
      </c>
      <c r="H4" s="309"/>
      <c r="I4" s="309"/>
      <c r="J4" s="6"/>
      <c r="K4" s="6"/>
      <c r="L4" s="6"/>
      <c r="M4" s="6"/>
      <c r="N4" s="6"/>
      <c r="O4" s="9"/>
      <c r="P4" s="301"/>
      <c r="Q4" s="302"/>
      <c r="R4" s="302"/>
      <c r="S4" s="302"/>
      <c r="T4" s="302"/>
      <c r="U4" s="303"/>
    </row>
    <row r="5" spans="1:21" ht="14.1" customHeight="1" x14ac:dyDescent="0.25">
      <c r="A5" s="294"/>
      <c r="B5" s="312" t="str">
        <f>+Datos!B11</f>
        <v>ventas@rerda.com</v>
      </c>
      <c r="C5" s="313"/>
      <c r="D5" s="313"/>
      <c r="E5" s="313"/>
      <c r="F5" s="313"/>
      <c r="G5" s="313"/>
      <c r="H5" s="313"/>
      <c r="I5" s="10"/>
      <c r="J5" s="10"/>
      <c r="K5" s="11" t="s">
        <v>13128</v>
      </c>
      <c r="L5" s="314">
        <f>+Datos!B5</f>
        <v>30535195869</v>
      </c>
      <c r="M5" s="314"/>
      <c r="N5" s="314"/>
      <c r="O5" s="315"/>
      <c r="P5" s="301"/>
      <c r="Q5" s="302"/>
      <c r="R5" s="302"/>
      <c r="S5" s="302"/>
      <c r="T5" s="302"/>
      <c r="U5" s="303"/>
    </row>
    <row r="6" spans="1:21" ht="14.1" customHeight="1" x14ac:dyDescent="0.25">
      <c r="A6" s="295"/>
      <c r="B6" s="278" t="str">
        <f>+Datos!B12</f>
        <v>0261-4256567 | +549 2615117948</v>
      </c>
      <c r="C6" s="279"/>
      <c r="D6" s="279"/>
      <c r="E6" s="279"/>
      <c r="F6" s="279"/>
      <c r="G6" s="279"/>
      <c r="H6" s="279"/>
      <c r="I6" s="12"/>
      <c r="J6" s="12"/>
      <c r="K6" s="13" t="s">
        <v>13129</v>
      </c>
      <c r="L6" s="280">
        <f>+Datos!B3</f>
        <v>20355</v>
      </c>
      <c r="M6" s="280"/>
      <c r="N6" s="280"/>
      <c r="O6" s="281"/>
      <c r="P6" s="304"/>
      <c r="Q6" s="305"/>
      <c r="R6" s="305"/>
      <c r="S6" s="305"/>
      <c r="T6" s="305"/>
      <c r="U6" s="306"/>
    </row>
    <row r="7" spans="1:21" ht="14.1" customHeight="1" x14ac:dyDescent="0.25">
      <c r="A7" s="14"/>
      <c r="B7" s="282" t="s">
        <v>13130</v>
      </c>
      <c r="C7" s="282"/>
      <c r="D7" s="283" t="str">
        <f>IF(Planilla!W2="","¿…?",Planilla!W2)</f>
        <v>ELENA</v>
      </c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15"/>
    </row>
    <row r="8" spans="1:21" ht="14.1" customHeight="1" x14ac:dyDescent="0.25">
      <c r="A8" s="284" t="s">
        <v>13131</v>
      </c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6"/>
    </row>
    <row r="9" spans="1:21" ht="14.1" customHeight="1" x14ac:dyDescent="0.25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9"/>
    </row>
    <row r="10" spans="1:21" ht="14.1" customHeight="1" x14ac:dyDescent="0.25">
      <c r="A10" s="290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3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3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5" t="s">
        <v>13133</v>
      </c>
      <c r="M15" s="265"/>
      <c r="N15" s="265"/>
      <c r="O15" s="265"/>
      <c r="P15" s="266">
        <v>35907367</v>
      </c>
      <c r="Q15" s="267"/>
      <c r="R15" s="267"/>
      <c r="S15" s="267"/>
      <c r="T15" s="267"/>
      <c r="U15" s="25"/>
    </row>
    <row r="16" spans="1:21" ht="18.95" customHeight="1" x14ac:dyDescent="0.25">
      <c r="A16" s="263"/>
      <c r="B16" s="28"/>
      <c r="C16" s="268" t="s">
        <v>14150</v>
      </c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15"/>
    </row>
    <row r="17" spans="1:21" ht="18.95" customHeight="1" x14ac:dyDescent="0.25">
      <c r="A17" s="263"/>
      <c r="B17" s="28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15"/>
    </row>
    <row r="18" spans="1:21" ht="14.1" customHeight="1" x14ac:dyDescent="0.25">
      <c r="A18" s="263"/>
      <c r="B18" s="22"/>
      <c r="C18" s="270" t="s">
        <v>14215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15"/>
    </row>
    <row r="19" spans="1:21" ht="14.1" customHeight="1" x14ac:dyDescent="0.25">
      <c r="A19" s="263"/>
      <c r="B19" s="22"/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70"/>
      <c r="Q19" s="270"/>
      <c r="R19" s="270"/>
      <c r="S19" s="270"/>
      <c r="T19" s="270"/>
      <c r="U19" s="15"/>
    </row>
    <row r="20" spans="1:21" ht="14.1" customHeight="1" x14ac:dyDescent="0.25">
      <c r="A20" s="263"/>
      <c r="B20" s="22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15"/>
    </row>
    <row r="21" spans="1:21" ht="14.1" customHeight="1" x14ac:dyDescent="0.25">
      <c r="A21" s="263"/>
      <c r="B21" s="29"/>
      <c r="C21" s="271" t="s">
        <v>13134</v>
      </c>
      <c r="D21" s="271"/>
      <c r="E21" s="272">
        <v>2000</v>
      </c>
      <c r="F21" s="273"/>
      <c r="G21" s="274" t="s">
        <v>14161</v>
      </c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15"/>
    </row>
    <row r="22" spans="1:21" ht="14.1" customHeight="1" x14ac:dyDescent="0.25">
      <c r="A22" s="263"/>
      <c r="B22" s="29"/>
      <c r="C22" s="271"/>
      <c r="D22" s="271"/>
      <c r="E22" s="273"/>
      <c r="F22" s="273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15"/>
    </row>
    <row r="23" spans="1:21" ht="14.1" customHeight="1" x14ac:dyDescent="0.25">
      <c r="A23" s="263"/>
      <c r="B23" s="30"/>
      <c r="C23" s="275" t="s">
        <v>8738</v>
      </c>
      <c r="D23" s="275"/>
      <c r="E23" s="275"/>
      <c r="F23" s="275"/>
      <c r="G23" s="275"/>
      <c r="H23" s="275"/>
      <c r="I23" s="275"/>
      <c r="J23" s="275"/>
      <c r="K23" s="31"/>
      <c r="L23" s="276" t="s">
        <v>13135</v>
      </c>
      <c r="M23" s="276"/>
      <c r="N23" s="276"/>
      <c r="O23" s="276"/>
      <c r="P23" s="277">
        <v>3413535007</v>
      </c>
      <c r="Q23" s="277"/>
      <c r="R23" s="277"/>
      <c r="S23" s="277"/>
      <c r="T23" s="277"/>
      <c r="U23" s="15"/>
    </row>
    <row r="24" spans="1:21" ht="14.1" customHeight="1" x14ac:dyDescent="0.25">
      <c r="A24" s="263"/>
      <c r="B24" s="30"/>
      <c r="C24" s="275"/>
      <c r="D24" s="275"/>
      <c r="E24" s="275"/>
      <c r="F24" s="275"/>
      <c r="G24" s="275"/>
      <c r="H24" s="275"/>
      <c r="I24" s="275"/>
      <c r="J24" s="275"/>
      <c r="K24" s="31"/>
      <c r="L24" s="276"/>
      <c r="M24" s="276"/>
      <c r="N24" s="276"/>
      <c r="O24" s="276"/>
      <c r="P24" s="277"/>
      <c r="Q24" s="277"/>
      <c r="R24" s="277"/>
      <c r="S24" s="277"/>
      <c r="T24" s="277"/>
      <c r="U24" s="15"/>
    </row>
    <row r="25" spans="1:21" ht="14.1" customHeight="1" thickBot="1" x14ac:dyDescent="0.3">
      <c r="A25" s="264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30" t="str">
        <f>+Datos!B4</f>
        <v>RERDA S.A.</v>
      </c>
      <c r="D2" s="331"/>
      <c r="E2" s="331"/>
      <c r="F2" s="331"/>
      <c r="G2" s="331"/>
      <c r="H2" s="331"/>
      <c r="I2" s="331"/>
      <c r="J2" s="41"/>
      <c r="K2" s="41"/>
      <c r="L2" s="41"/>
      <c r="M2" s="41"/>
      <c r="N2" s="41"/>
      <c r="O2" s="41"/>
      <c r="P2" s="42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54"/>
    </row>
    <row r="8" spans="1:22" ht="14.1" customHeight="1" x14ac:dyDescent="0.25">
      <c r="A8" s="318" t="s">
        <v>13150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20"/>
    </row>
    <row r="9" spans="1:22" ht="14.1" customHeight="1" x14ac:dyDescent="0.25">
      <c r="A9" s="321"/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3"/>
    </row>
    <row r="10" spans="1:22" ht="14.1" customHeight="1" x14ac:dyDescent="0.25">
      <c r="A10" s="324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2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5" t="s">
        <v>13151</v>
      </c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63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66"/>
      <c r="B13" s="67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68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4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5"/>
      <c r="B16" s="75"/>
      <c r="C16" s="357" t="s">
        <v>14151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61" t="s">
        <v>13133</v>
      </c>
      <c r="P16" s="361"/>
      <c r="Q16" s="361"/>
      <c r="R16" s="362">
        <v>35781600</v>
      </c>
      <c r="S16" s="363"/>
      <c r="T16" s="363"/>
      <c r="U16" s="364"/>
      <c r="V16" s="78"/>
    </row>
    <row r="17" spans="1:22" ht="14.1" customHeight="1" x14ac:dyDescent="0.25">
      <c r="A17" s="355"/>
      <c r="B17" s="75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5"/>
      <c r="B18" s="75"/>
      <c r="C18" s="365" t="s">
        <v>13153</v>
      </c>
      <c r="D18" s="366"/>
      <c r="E18" s="366"/>
      <c r="F18" s="367" t="str">
        <f>VLOOKUP(S18,Sucursales!A:B,2,FALSE)</f>
        <v>SALTA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11862</v>
      </c>
      <c r="T18" s="369"/>
      <c r="U18" s="370"/>
      <c r="V18" s="78"/>
    </row>
    <row r="19" spans="1:22" ht="14.1" customHeight="1" x14ac:dyDescent="0.25">
      <c r="A19" s="355"/>
      <c r="B19" s="75"/>
      <c r="C19" s="371" t="s">
        <v>13154</v>
      </c>
      <c r="D19" s="372"/>
      <c r="E19" s="372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78"/>
    </row>
    <row r="20" spans="1:22" ht="14.1" customHeight="1" x14ac:dyDescent="0.25">
      <c r="A20" s="355"/>
      <c r="B20" s="75"/>
      <c r="C20" s="373" t="str">
        <f>VLOOKUP(S18,Sucursales!A:G,6,FALSE)</f>
        <v>A4400ZAA</v>
      </c>
      <c r="D20" s="374"/>
      <c r="E20" s="374"/>
      <c r="F20" s="374"/>
      <c r="H20" s="377" t="str">
        <f>VLOOKUP(S18,Sucursales!A:H,7,FALSE)</f>
        <v>SALTA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78"/>
    </row>
    <row r="21" spans="1:22" ht="14.1" customHeight="1" x14ac:dyDescent="0.25">
      <c r="A21" s="355"/>
      <c r="B21" s="75"/>
      <c r="C21" s="379" t="str">
        <f>VLOOKUP(S18,Sucursales!A:H,8,FALSE)</f>
        <v>SALTA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5"/>
      <c r="B22" s="75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383">
        <v>3878641652</v>
      </c>
      <c r="S22" s="384"/>
      <c r="T22" s="384"/>
      <c r="U22" s="385"/>
      <c r="V22" s="78"/>
    </row>
    <row r="23" spans="1:22" ht="14.1" customHeight="1" thickBot="1" x14ac:dyDescent="0.3">
      <c r="A23" s="356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13156</v>
      </c>
      <c r="I2" s="398"/>
      <c r="J2" s="398"/>
      <c r="K2" s="398"/>
      <c r="L2" s="398"/>
      <c r="M2" s="398"/>
      <c r="N2" s="398"/>
      <c r="O2" s="398"/>
      <c r="P2" s="399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283" t="str">
        <f>IF(Planilla!W2="","¿…?",Planilla!W2)</f>
        <v>ELENA</v>
      </c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54"/>
    </row>
    <row r="8" spans="1:22" ht="14.1" customHeight="1" x14ac:dyDescent="0.25">
      <c r="A8" s="387" t="s">
        <v>13157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0" t="s">
        <v>13158</v>
      </c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91"/>
      <c r="B13" s="9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4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5"/>
      <c r="B16" s="93"/>
      <c r="C16" s="407" t="s">
        <v>14153</v>
      </c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361" t="s">
        <v>13133</v>
      </c>
      <c r="P16" s="361"/>
      <c r="Q16" s="361"/>
      <c r="R16" s="411">
        <v>42288678</v>
      </c>
      <c r="S16" s="363"/>
      <c r="T16" s="363"/>
      <c r="U16" s="364"/>
      <c r="V16" s="96"/>
    </row>
    <row r="17" spans="1:22" ht="14.1" customHeight="1" x14ac:dyDescent="0.25">
      <c r="A17" s="405"/>
      <c r="B17" s="93"/>
      <c r="C17" s="409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5"/>
      <c r="B18" s="93"/>
      <c r="C18" s="379" t="s">
        <v>13159</v>
      </c>
      <c r="D18" s="367"/>
      <c r="E18" s="367"/>
      <c r="F18" s="367" t="str">
        <f>VLOOKUP(S18,Sucursales!A:B,2,FALSE)</f>
        <v>LIB. GRAL. SAN MARTIN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11129</v>
      </c>
      <c r="T18" s="369"/>
      <c r="U18" s="370"/>
      <c r="V18" s="96"/>
    </row>
    <row r="19" spans="1:22" ht="14.1" customHeight="1" x14ac:dyDescent="0.25">
      <c r="A19" s="405"/>
      <c r="B19" s="93"/>
      <c r="C19" s="379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96"/>
    </row>
    <row r="20" spans="1:22" ht="14.1" customHeight="1" x14ac:dyDescent="0.25">
      <c r="A20" s="405"/>
      <c r="B20" s="93"/>
      <c r="C20" s="373" t="str">
        <f>VLOOKUP(S18,Sucursales!A:G,6,FALSE)</f>
        <v>Y4512ZAB</v>
      </c>
      <c r="D20" s="374"/>
      <c r="E20" s="374"/>
      <c r="F20" s="374"/>
      <c r="H20" s="377" t="str">
        <f>VLOOKUP(S18,Sucursales!A:H,7,FALSE)</f>
        <v>LIB GRAL SAN MARTIN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96"/>
    </row>
    <row r="21" spans="1:22" ht="14.1" customHeight="1" x14ac:dyDescent="0.25">
      <c r="A21" s="405"/>
      <c r="B21" s="93"/>
      <c r="C21" s="379" t="str">
        <f>VLOOKUP(S18,Sucursales!A:H,8,FALSE)</f>
        <v>JUJUY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5"/>
      <c r="B22" s="93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412">
        <v>3886447862</v>
      </c>
      <c r="S22" s="384"/>
      <c r="T22" s="384"/>
      <c r="U22" s="385"/>
      <c r="V22" s="96"/>
    </row>
    <row r="23" spans="1:22" ht="14.1" customHeight="1" thickBot="1" x14ac:dyDescent="0.3">
      <c r="A23" s="40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9"/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1"/>
    </row>
    <row r="3" spans="1:22" ht="14.1" customHeight="1" x14ac:dyDescent="0.25">
      <c r="A3" s="422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4"/>
    </row>
    <row r="4" spans="1:22" ht="14.1" customHeight="1" x14ac:dyDescent="0.25">
      <c r="A4" s="422"/>
      <c r="B4" s="423"/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4"/>
    </row>
    <row r="5" spans="1:22" ht="14.1" customHeight="1" x14ac:dyDescent="0.2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4"/>
    </row>
    <row r="6" spans="1:22" ht="14.1" customHeight="1" x14ac:dyDescent="0.25">
      <c r="A6" s="425"/>
      <c r="B6" s="426"/>
      <c r="C6" s="426"/>
      <c r="D6" s="426"/>
      <c r="E6" s="426"/>
      <c r="F6" s="426"/>
      <c r="G6" s="426"/>
      <c r="H6" s="426"/>
      <c r="I6" s="426"/>
      <c r="J6" s="426"/>
      <c r="K6" s="426"/>
      <c r="L6" s="426"/>
      <c r="M6" s="426"/>
      <c r="N6" s="426"/>
      <c r="O6" s="426"/>
      <c r="P6" s="426"/>
      <c r="Q6" s="426"/>
      <c r="R6" s="426"/>
      <c r="S6" s="426"/>
      <c r="T6" s="426"/>
      <c r="U6" s="426"/>
      <c r="V6" s="427"/>
    </row>
    <row r="7" spans="1:22" ht="14.1" customHeight="1" x14ac:dyDescent="0.25">
      <c r="A7" s="138"/>
      <c r="B7" s="139"/>
      <c r="C7" s="317" t="s">
        <v>13130</v>
      </c>
      <c r="D7" s="317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140"/>
    </row>
    <row r="8" spans="1:22" ht="14.1" customHeight="1" x14ac:dyDescent="0.25">
      <c r="A8" s="435" t="s">
        <v>13404</v>
      </c>
      <c r="B8" s="436"/>
      <c r="C8" s="436"/>
      <c r="D8" s="436"/>
      <c r="E8" s="436"/>
      <c r="F8" s="436"/>
      <c r="G8" s="436"/>
      <c r="H8" s="436"/>
      <c r="I8" s="436"/>
      <c r="J8" s="436"/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7"/>
    </row>
    <row r="9" spans="1:22" ht="14.1" customHeight="1" x14ac:dyDescent="0.25">
      <c r="A9" s="438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40"/>
    </row>
    <row r="10" spans="1:22" ht="14.1" customHeight="1" x14ac:dyDescent="0.25">
      <c r="A10" s="441"/>
      <c r="B10" s="442"/>
      <c r="C10" s="442"/>
      <c r="D10" s="442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3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4"/>
      <c r="D12" s="444"/>
      <c r="E12" s="444"/>
      <c r="F12" s="444"/>
      <c r="G12" s="444"/>
      <c r="H12" s="444"/>
      <c r="I12" s="444"/>
      <c r="J12" s="444"/>
      <c r="K12" s="444"/>
      <c r="L12" s="444"/>
      <c r="M12" s="444"/>
      <c r="N12" s="444"/>
      <c r="O12" s="160"/>
      <c r="P12" s="445"/>
      <c r="Q12" s="445"/>
      <c r="R12" s="445"/>
      <c r="S12" s="445"/>
      <c r="T12" s="445"/>
      <c r="U12" s="445"/>
      <c r="V12" s="159"/>
    </row>
    <row r="13" spans="1:22" ht="4.5" customHeight="1" x14ac:dyDescent="0.25">
      <c r="A13" s="163"/>
      <c r="B13" s="161"/>
      <c r="C13" s="444"/>
      <c r="D13" s="444"/>
      <c r="E13" s="444"/>
      <c r="F13" s="444"/>
      <c r="G13" s="444"/>
      <c r="H13" s="444"/>
      <c r="I13" s="444"/>
      <c r="J13" s="444"/>
      <c r="K13" s="444"/>
      <c r="L13" s="444"/>
      <c r="M13" s="444"/>
      <c r="N13" s="444"/>
      <c r="O13" s="160"/>
      <c r="P13" s="445"/>
      <c r="Q13" s="445"/>
      <c r="R13" s="445"/>
      <c r="S13" s="445"/>
      <c r="T13" s="445"/>
      <c r="U13" s="445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8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9"/>
      <c r="B16" s="168"/>
      <c r="C16" s="357" t="s">
        <v>13937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431" t="s">
        <v>13133</v>
      </c>
      <c r="P16" s="431"/>
      <c r="Q16" s="431"/>
      <c r="R16" s="362">
        <v>38476336</v>
      </c>
      <c r="S16" s="363"/>
      <c r="T16" s="363"/>
      <c r="U16" s="364"/>
      <c r="V16" s="164"/>
    </row>
    <row r="17" spans="1:22" ht="14.1" customHeight="1" x14ac:dyDescent="0.25">
      <c r="A17" s="429"/>
      <c r="B17" s="168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9"/>
      <c r="B18" s="168"/>
      <c r="C18" s="432" t="s">
        <v>13403</v>
      </c>
      <c r="D18" s="433"/>
      <c r="E18" s="433"/>
      <c r="F18" s="434">
        <f ca="1">TODAY()</f>
        <v>45197</v>
      </c>
      <c r="G18" s="433"/>
      <c r="H18" s="433"/>
      <c r="I18" s="433"/>
      <c r="J18" s="433"/>
      <c r="K18" s="433"/>
      <c r="L18" s="433"/>
      <c r="M18" s="433"/>
      <c r="N18" s="152"/>
      <c r="O18" s="449"/>
      <c r="P18" s="449"/>
      <c r="Q18" s="449"/>
      <c r="R18" s="449"/>
      <c r="S18" s="413"/>
      <c r="T18" s="413"/>
      <c r="U18" s="414"/>
      <c r="V18" s="164"/>
    </row>
    <row r="19" spans="1:22" ht="14.1" customHeight="1" x14ac:dyDescent="0.25">
      <c r="A19" s="429"/>
      <c r="B19" s="168"/>
      <c r="C19" s="432"/>
      <c r="D19" s="433"/>
      <c r="E19" s="433"/>
      <c r="F19" s="433"/>
      <c r="G19" s="433"/>
      <c r="H19" s="433"/>
      <c r="I19" s="433"/>
      <c r="J19" s="433"/>
      <c r="K19" s="433"/>
      <c r="L19" s="433"/>
      <c r="M19" s="433"/>
      <c r="N19" s="155"/>
      <c r="O19" s="449"/>
      <c r="P19" s="449"/>
      <c r="Q19" s="449"/>
      <c r="R19" s="449"/>
      <c r="S19" s="413"/>
      <c r="T19" s="413"/>
      <c r="U19" s="414"/>
      <c r="V19" s="164"/>
    </row>
    <row r="20" spans="1:22" ht="14.1" customHeight="1" x14ac:dyDescent="0.25">
      <c r="A20" s="429"/>
      <c r="B20" s="168"/>
      <c r="C20" s="415"/>
      <c r="D20" s="416"/>
      <c r="E20" s="416"/>
      <c r="F20" s="416"/>
      <c r="H20" s="417"/>
      <c r="I20" s="417"/>
      <c r="J20" s="417"/>
      <c r="K20" s="417"/>
      <c r="L20" s="417"/>
      <c r="M20" s="417"/>
      <c r="N20" s="417"/>
      <c r="O20" s="417"/>
      <c r="P20" s="417"/>
      <c r="Q20" s="417"/>
      <c r="R20" s="417"/>
      <c r="S20" s="417"/>
      <c r="T20" s="417"/>
      <c r="U20" s="418"/>
      <c r="V20" s="164"/>
    </row>
    <row r="21" spans="1:22" ht="14.1" customHeight="1" x14ac:dyDescent="0.25">
      <c r="A21" s="429"/>
      <c r="B21" s="168"/>
      <c r="C21" s="432" t="s">
        <v>13402</v>
      </c>
      <c r="D21" s="433"/>
      <c r="E21" s="433"/>
      <c r="F21" s="433"/>
      <c r="G21" s="433"/>
      <c r="H21" s="433"/>
      <c r="I21" s="433"/>
      <c r="J21" s="433"/>
      <c r="K21" s="433"/>
      <c r="L21" s="433"/>
      <c r="M21" s="433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9"/>
      <c r="B22" s="168"/>
      <c r="C22" s="446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8" t="s">
        <v>13155</v>
      </c>
      <c r="O22" s="448"/>
      <c r="P22" s="448"/>
      <c r="Q22" s="448"/>
      <c r="R22" s="383">
        <v>2613157782</v>
      </c>
      <c r="S22" s="384"/>
      <c r="T22" s="384"/>
      <c r="U22" s="385"/>
      <c r="V22" s="164"/>
    </row>
    <row r="23" spans="1:22" ht="14.1" customHeight="1" thickBot="1" x14ac:dyDescent="0.3">
      <c r="A23" s="430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2023-09-28T16:05:35Z</dcterms:modified>
</cp:coreProperties>
</file>