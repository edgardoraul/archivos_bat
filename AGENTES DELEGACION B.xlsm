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 activeTab="1"/>
  </bookViews>
  <sheets>
    <sheet name="PLANILLA" sheetId="11" r:id="rId1"/>
    <sheet name="TOTALES" sheetId="81" r:id="rId2"/>
    <sheet name="SEPARADOS" sheetId="82" r:id="rId3"/>
    <sheet name="FALTANTES" sheetId="83" r:id="rId4"/>
    <sheet name="CAMISA MC" sheetId="84" r:id="rId5"/>
    <sheet name="CAMPERA" sheetId="85" r:id="rId6"/>
    <sheet name="GORRA SAL" sheetId="86" r:id="rId7"/>
    <sheet name="PANTALON" sheetId="87" r:id="rId8"/>
    <sheet name="TRICOTA" sheetId="88" r:id="rId9"/>
    <sheet name="ZAPATOS" sheetId="89" r:id="rId10"/>
    <sheet name="HEBILLA" sheetId="90" r:id="rId11"/>
    <sheet name="PISTOLERA" sheetId="91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91" l="1"/>
  <c r="C5" i="91" s="1"/>
  <c r="B4" i="91"/>
  <c r="B5" i="91" s="1"/>
  <c r="P4" i="83"/>
  <c r="P5" i="83" s="1"/>
  <c r="P5" i="82"/>
  <c r="P5" i="81"/>
  <c r="C4" i="90"/>
  <c r="C5" i="90" s="1"/>
  <c r="B4" i="90"/>
  <c r="B5" i="90" s="1"/>
  <c r="N4" i="83"/>
  <c r="N5" i="83" s="1"/>
  <c r="N5" i="82"/>
  <c r="N5" i="81"/>
  <c r="D29" i="89"/>
  <c r="C29" i="89"/>
  <c r="B29" i="89"/>
  <c r="L29" i="83"/>
  <c r="L30" i="82"/>
  <c r="L30" i="81"/>
  <c r="D28" i="89"/>
  <c r="C28" i="89"/>
  <c r="B28" i="89"/>
  <c r="L28" i="83"/>
  <c r="D27" i="89"/>
  <c r="C27" i="89"/>
  <c r="B27" i="89"/>
  <c r="L27" i="83"/>
  <c r="D26" i="89"/>
  <c r="C26" i="89"/>
  <c r="B26" i="89"/>
  <c r="L26" i="83"/>
  <c r="D25" i="89"/>
  <c r="C25" i="89"/>
  <c r="B25" i="89"/>
  <c r="L25" i="83"/>
  <c r="D24" i="89"/>
  <c r="C24" i="89"/>
  <c r="B24" i="89"/>
  <c r="L24" i="83"/>
  <c r="D23" i="89"/>
  <c r="C23" i="89"/>
  <c r="B23" i="89"/>
  <c r="L23" i="83"/>
  <c r="D22" i="89"/>
  <c r="C22" i="89"/>
  <c r="B22" i="89"/>
  <c r="L22" i="83"/>
  <c r="D21" i="89"/>
  <c r="C21" i="89"/>
  <c r="B21" i="89"/>
  <c r="L21" i="83"/>
  <c r="D20" i="89"/>
  <c r="C20" i="89"/>
  <c r="B20" i="89"/>
  <c r="L20" i="83"/>
  <c r="D19" i="89"/>
  <c r="C19" i="89"/>
  <c r="B19" i="89"/>
  <c r="L19" i="83"/>
  <c r="D18" i="89"/>
  <c r="C18" i="89"/>
  <c r="B18" i="89"/>
  <c r="L18" i="83"/>
  <c r="D17" i="89"/>
  <c r="C17" i="89"/>
  <c r="B17" i="89"/>
  <c r="L17" i="83"/>
  <c r="C16" i="89"/>
  <c r="B16" i="89"/>
  <c r="D16" i="89" s="1"/>
  <c r="L16" i="83"/>
  <c r="C15" i="89"/>
  <c r="B15" i="89"/>
  <c r="D15" i="89" s="1"/>
  <c r="L15" i="83"/>
  <c r="C14" i="89"/>
  <c r="B14" i="89"/>
  <c r="L14" i="83"/>
  <c r="D13" i="89"/>
  <c r="C13" i="89"/>
  <c r="B13" i="89"/>
  <c r="L13" i="83"/>
  <c r="C12" i="89"/>
  <c r="B12" i="89"/>
  <c r="L12" i="83"/>
  <c r="C11" i="89"/>
  <c r="B11" i="89"/>
  <c r="L11" i="83"/>
  <c r="D10" i="89"/>
  <c r="C10" i="89"/>
  <c r="B10" i="89"/>
  <c r="L10" i="83"/>
  <c r="D9" i="89"/>
  <c r="C9" i="89"/>
  <c r="B9" i="89"/>
  <c r="L9" i="83"/>
  <c r="D8" i="89"/>
  <c r="C8" i="89"/>
  <c r="B8" i="89"/>
  <c r="L8" i="83"/>
  <c r="D7" i="89"/>
  <c r="C7" i="89"/>
  <c r="B7" i="89"/>
  <c r="L7" i="83"/>
  <c r="D6" i="89"/>
  <c r="C6" i="89"/>
  <c r="B6" i="89"/>
  <c r="L6" i="83"/>
  <c r="D5" i="89"/>
  <c r="C5" i="89"/>
  <c r="B5" i="89"/>
  <c r="L5" i="83"/>
  <c r="D4" i="89"/>
  <c r="C4" i="89"/>
  <c r="B4" i="89"/>
  <c r="L4" i="83"/>
  <c r="D15" i="88"/>
  <c r="C15" i="88"/>
  <c r="B15" i="88"/>
  <c r="J15" i="83"/>
  <c r="J16" i="82"/>
  <c r="J16" i="81"/>
  <c r="D14" i="88"/>
  <c r="C14" i="88"/>
  <c r="B14" i="88"/>
  <c r="J14" i="83"/>
  <c r="D13" i="88"/>
  <c r="C13" i="88"/>
  <c r="B13" i="88"/>
  <c r="J13" i="83"/>
  <c r="D12" i="88"/>
  <c r="C12" i="88"/>
  <c r="B12" i="88"/>
  <c r="J12" i="83"/>
  <c r="D11" i="88"/>
  <c r="C11" i="88"/>
  <c r="B11" i="88"/>
  <c r="J11" i="83"/>
  <c r="C10" i="88"/>
  <c r="B10" i="88"/>
  <c r="J10" i="83"/>
  <c r="C9" i="88"/>
  <c r="B9" i="88"/>
  <c r="J9" i="83"/>
  <c r="C8" i="88"/>
  <c r="B8" i="88"/>
  <c r="J8" i="83"/>
  <c r="C7" i="88"/>
  <c r="B7" i="88"/>
  <c r="J7" i="83"/>
  <c r="C6" i="88"/>
  <c r="B6" i="88"/>
  <c r="J6" i="83"/>
  <c r="D5" i="88"/>
  <c r="C5" i="88"/>
  <c r="B5" i="88"/>
  <c r="J5" i="83"/>
  <c r="D4" i="88"/>
  <c r="C4" i="88"/>
  <c r="B4" i="88"/>
  <c r="J4" i="83"/>
  <c r="D21" i="87"/>
  <c r="C21" i="87"/>
  <c r="B21" i="87"/>
  <c r="H21" i="83"/>
  <c r="H22" i="82"/>
  <c r="H22" i="81"/>
  <c r="D20" i="87"/>
  <c r="C20" i="87"/>
  <c r="B20" i="87"/>
  <c r="H20" i="83"/>
  <c r="D19" i="87"/>
  <c r="C19" i="87"/>
  <c r="B19" i="87"/>
  <c r="H19" i="83"/>
  <c r="D18" i="87"/>
  <c r="C18" i="87"/>
  <c r="B18" i="87"/>
  <c r="H18" i="83"/>
  <c r="D17" i="87"/>
  <c r="C17" i="87"/>
  <c r="B17" i="87"/>
  <c r="H17" i="83"/>
  <c r="D16" i="87"/>
  <c r="C16" i="87"/>
  <c r="B16" i="87"/>
  <c r="H16" i="83"/>
  <c r="D15" i="87"/>
  <c r="C15" i="87"/>
  <c r="B15" i="87"/>
  <c r="H15" i="83"/>
  <c r="D14" i="87"/>
  <c r="C14" i="87"/>
  <c r="B14" i="87"/>
  <c r="H14" i="83"/>
  <c r="D13" i="87"/>
  <c r="C13" i="87"/>
  <c r="B13" i="87"/>
  <c r="H13" i="83"/>
  <c r="C12" i="87"/>
  <c r="B12" i="87"/>
  <c r="H12" i="83"/>
  <c r="C11" i="87"/>
  <c r="B11" i="87"/>
  <c r="D11" i="87" s="1"/>
  <c r="H11" i="83"/>
  <c r="C10" i="87"/>
  <c r="B10" i="87"/>
  <c r="H10" i="83"/>
  <c r="C9" i="87"/>
  <c r="B9" i="87"/>
  <c r="D9" i="87" s="1"/>
  <c r="H9" i="83"/>
  <c r="D8" i="87"/>
  <c r="C8" i="87"/>
  <c r="B8" i="87"/>
  <c r="H8" i="83"/>
  <c r="C7" i="87"/>
  <c r="B7" i="87"/>
  <c r="H7" i="83"/>
  <c r="D6" i="87"/>
  <c r="C6" i="87"/>
  <c r="B6" i="87"/>
  <c r="H6" i="83"/>
  <c r="D5" i="87"/>
  <c r="C5" i="87"/>
  <c r="B5" i="87"/>
  <c r="H5" i="83"/>
  <c r="D4" i="87"/>
  <c r="C4" i="87"/>
  <c r="B4" i="87"/>
  <c r="H4" i="83"/>
  <c r="D24" i="86"/>
  <c r="C24" i="86"/>
  <c r="B24" i="86"/>
  <c r="F24" i="83"/>
  <c r="F25" i="82"/>
  <c r="F25" i="81"/>
  <c r="D23" i="86"/>
  <c r="C23" i="86"/>
  <c r="B23" i="86"/>
  <c r="F23" i="83"/>
  <c r="D22" i="86"/>
  <c r="C22" i="86"/>
  <c r="B22" i="86"/>
  <c r="F22" i="83"/>
  <c r="D21" i="86"/>
  <c r="C21" i="86"/>
  <c r="B21" i="86"/>
  <c r="F21" i="83"/>
  <c r="D20" i="86"/>
  <c r="C20" i="86"/>
  <c r="B20" i="86"/>
  <c r="F20" i="83"/>
  <c r="D19" i="86"/>
  <c r="C19" i="86"/>
  <c r="B19" i="86"/>
  <c r="F19" i="83"/>
  <c r="D18" i="86"/>
  <c r="C18" i="86"/>
  <c r="B18" i="86"/>
  <c r="F18" i="83"/>
  <c r="D17" i="86"/>
  <c r="C17" i="86"/>
  <c r="B17" i="86"/>
  <c r="F17" i="83"/>
  <c r="D16" i="86"/>
  <c r="C16" i="86"/>
  <c r="B16" i="86"/>
  <c r="F16" i="83"/>
  <c r="D15" i="86"/>
  <c r="C15" i="86"/>
  <c r="B15" i="86"/>
  <c r="F15" i="83"/>
  <c r="D14" i="86"/>
  <c r="C14" i="86"/>
  <c r="B14" i="86"/>
  <c r="F14" i="83"/>
  <c r="C13" i="86"/>
  <c r="B13" i="86"/>
  <c r="F13" i="83"/>
  <c r="C12" i="86"/>
  <c r="B12" i="86"/>
  <c r="D12" i="86" s="1"/>
  <c r="F12" i="83"/>
  <c r="C11" i="86"/>
  <c r="B11" i="86"/>
  <c r="F11" i="83"/>
  <c r="C10" i="86"/>
  <c r="B10" i="86"/>
  <c r="F10" i="83"/>
  <c r="D9" i="86"/>
  <c r="C9" i="86"/>
  <c r="B9" i="86"/>
  <c r="F9" i="83"/>
  <c r="D8" i="86"/>
  <c r="C8" i="86"/>
  <c r="B8" i="86"/>
  <c r="F8" i="83"/>
  <c r="D7" i="86"/>
  <c r="C7" i="86"/>
  <c r="B7" i="86"/>
  <c r="F7" i="83"/>
  <c r="D6" i="86"/>
  <c r="C6" i="86"/>
  <c r="B6" i="86"/>
  <c r="F6" i="83"/>
  <c r="D5" i="86"/>
  <c r="C5" i="86"/>
  <c r="B5" i="86"/>
  <c r="F5" i="83"/>
  <c r="D4" i="86"/>
  <c r="C4" i="86"/>
  <c r="B4" i="86"/>
  <c r="F4" i="83"/>
  <c r="D15" i="85"/>
  <c r="C15" i="85"/>
  <c r="B15" i="85"/>
  <c r="D15" i="83"/>
  <c r="D16" i="82"/>
  <c r="D16" i="81"/>
  <c r="D14" i="85"/>
  <c r="C14" i="85"/>
  <c r="B14" i="85"/>
  <c r="D14" i="83"/>
  <c r="D13" i="85"/>
  <c r="C13" i="85"/>
  <c r="B13" i="85"/>
  <c r="D13" i="83"/>
  <c r="D12" i="85"/>
  <c r="C12" i="85"/>
  <c r="B12" i="85"/>
  <c r="D12" i="83"/>
  <c r="C11" i="85"/>
  <c r="B11" i="85"/>
  <c r="D11" i="85" s="1"/>
  <c r="D11" i="83"/>
  <c r="C10" i="85"/>
  <c r="B10" i="85"/>
  <c r="D10" i="85" s="1"/>
  <c r="D10" i="83"/>
  <c r="C9" i="85"/>
  <c r="B9" i="85"/>
  <c r="D9" i="85" s="1"/>
  <c r="D9" i="83"/>
  <c r="C8" i="85"/>
  <c r="B8" i="85"/>
  <c r="D8" i="83"/>
  <c r="C7" i="85"/>
  <c r="B7" i="85"/>
  <c r="D7" i="83"/>
  <c r="D6" i="85"/>
  <c r="C6" i="85"/>
  <c r="B6" i="85"/>
  <c r="D6" i="83"/>
  <c r="C5" i="85"/>
  <c r="B5" i="85"/>
  <c r="D5" i="85" s="1"/>
  <c r="D5" i="83"/>
  <c r="D4" i="85"/>
  <c r="C4" i="85"/>
  <c r="B4" i="85"/>
  <c r="D4" i="83"/>
  <c r="D21" i="84"/>
  <c r="C21" i="84"/>
  <c r="B21" i="84"/>
  <c r="B21" i="83"/>
  <c r="B22" i="82"/>
  <c r="B22" i="81"/>
  <c r="D20" i="84"/>
  <c r="C20" i="84"/>
  <c r="B20" i="84"/>
  <c r="B20" i="83"/>
  <c r="D19" i="84"/>
  <c r="C19" i="84"/>
  <c r="B19" i="84"/>
  <c r="B19" i="83"/>
  <c r="D18" i="84"/>
  <c r="C18" i="84"/>
  <c r="B18" i="84"/>
  <c r="B18" i="83"/>
  <c r="D17" i="84"/>
  <c r="C17" i="84"/>
  <c r="B17" i="84"/>
  <c r="B17" i="83"/>
  <c r="D16" i="84"/>
  <c r="C16" i="84"/>
  <c r="B16" i="84"/>
  <c r="B16" i="83"/>
  <c r="D15" i="84"/>
  <c r="C15" i="84"/>
  <c r="B15" i="84"/>
  <c r="B15" i="83"/>
  <c r="D14" i="84"/>
  <c r="C14" i="84"/>
  <c r="B14" i="84"/>
  <c r="B14" i="83"/>
  <c r="D13" i="84"/>
  <c r="C13" i="84"/>
  <c r="B13" i="84"/>
  <c r="B13" i="83"/>
  <c r="D12" i="84"/>
  <c r="C12" i="84"/>
  <c r="B12" i="84"/>
  <c r="B12" i="83"/>
  <c r="D11" i="84"/>
  <c r="C11" i="84"/>
  <c r="B11" i="84"/>
  <c r="B11" i="83"/>
  <c r="C10" i="84"/>
  <c r="B10" i="84"/>
  <c r="B10" i="83"/>
  <c r="C9" i="84"/>
  <c r="B9" i="84"/>
  <c r="B9" i="83"/>
  <c r="C8" i="84"/>
  <c r="B8" i="84"/>
  <c r="B8" i="83"/>
  <c r="C7" i="84"/>
  <c r="B7" i="84"/>
  <c r="B7" i="83"/>
  <c r="D6" i="84"/>
  <c r="C6" i="84"/>
  <c r="B6" i="84"/>
  <c r="B6" i="83"/>
  <c r="C5" i="84"/>
  <c r="B5" i="84"/>
  <c r="B5" i="83"/>
  <c r="D4" i="84"/>
  <c r="C4" i="84"/>
  <c r="B4" i="84"/>
  <c r="B4" i="83"/>
  <c r="A1" i="83"/>
  <c r="A1" i="82"/>
  <c r="A1" i="81"/>
  <c r="D12" i="87" l="1"/>
  <c r="C22" i="87"/>
  <c r="D7" i="87"/>
  <c r="D22" i="87" s="1"/>
  <c r="D11" i="89"/>
  <c r="D9" i="84"/>
  <c r="D6" i="88"/>
  <c r="C16" i="85"/>
  <c r="D9" i="88"/>
  <c r="D7" i="88"/>
  <c r="D10" i="87"/>
  <c r="D12" i="89"/>
  <c r="D8" i="88"/>
  <c r="D13" i="86"/>
  <c r="B16" i="85"/>
  <c r="D8" i="85"/>
  <c r="D8" i="84"/>
  <c r="D5" i="84"/>
  <c r="D4" i="90"/>
  <c r="D5" i="90" s="1"/>
  <c r="C30" i="89"/>
  <c r="D10" i="84"/>
  <c r="D14" i="89"/>
  <c r="D10" i="88"/>
  <c r="C16" i="88"/>
  <c r="C25" i="86"/>
  <c r="D10" i="86"/>
  <c r="F25" i="83"/>
  <c r="D7" i="85"/>
  <c r="D16" i="83"/>
  <c r="C22" i="84"/>
  <c r="D7" i="84"/>
  <c r="D4" i="91"/>
  <c r="D5" i="91" s="1"/>
  <c r="L30" i="83"/>
  <c r="B30" i="89"/>
  <c r="J16" i="83"/>
  <c r="B16" i="88"/>
  <c r="B22" i="87"/>
  <c r="H22" i="83"/>
  <c r="B25" i="86"/>
  <c r="D11" i="86"/>
  <c r="B22" i="83"/>
  <c r="B22" i="84"/>
  <c r="D22" i="84" l="1"/>
  <c r="D16" i="85"/>
  <c r="D16" i="88"/>
  <c r="D25" i="86"/>
  <c r="D30" i="89"/>
</calcChain>
</file>

<file path=xl/sharedStrings.xml><?xml version="1.0" encoding="utf-8"?>
<sst xmlns="http://schemas.openxmlformats.org/spreadsheetml/2006/main" count="291" uniqueCount="40">
  <si>
    <t>L</t>
  </si>
  <si>
    <t>M</t>
  </si>
  <si>
    <t>XL</t>
  </si>
  <si>
    <t>S</t>
  </si>
  <si>
    <t>XS</t>
  </si>
  <si>
    <t>XXL</t>
  </si>
  <si>
    <t>XXS</t>
  </si>
  <si>
    <t>ZAPATOS</t>
  </si>
  <si>
    <t>PANTALON</t>
  </si>
  <si>
    <t>CAMPERA</t>
  </si>
  <si>
    <t>TRICOTA</t>
  </si>
  <si>
    <t>D.N.I.</t>
  </si>
  <si>
    <t>PIN</t>
  </si>
  <si>
    <t>N°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</si>
  <si>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</si>
  <si>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</si>
  <si>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</si>
  <si>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</si>
  <si>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</si>
  <si>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</si>
  <si>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</si>
  <si>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</si>
  <si>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</si>
  <si>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</si>
  <si>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APELLIDOS Y NOMBRES</t>
  </si>
  <si>
    <t>CAMISA MC</t>
  </si>
  <si>
    <t>HEBILLA</t>
  </si>
  <si>
    <t>PISTOLERA</t>
  </si>
  <si>
    <t>AGENTES DELEGACION B</t>
  </si>
  <si>
    <t>GORRA SAL</t>
  </si>
  <si>
    <t>TALLES</t>
  </si>
  <si>
    <t>TOTALES</t>
  </si>
  <si>
    <t>SEPARADOS</t>
  </si>
  <si>
    <t>FALTANTES</t>
  </si>
  <si>
    <t>Total</t>
  </si>
  <si>
    <t>3XS</t>
  </si>
  <si>
    <t>3XL</t>
  </si>
  <si>
    <t>4XL</t>
  </si>
  <si>
    <t>5XL</t>
  </si>
  <si>
    <t>6XL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</si>
</sst>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4" fillId="0" borderId="1" xfId="0" applyFont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5" fillId="0" borderId="0" xfId="1" applyFont="1" applyBorder="1" applyAlignment="1" applyProtection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0" fontId="0" fillId="0" borderId="3" xfId="0" applyBorder="1"/>
    <xf numFmtId="0" fontId="8" fillId="0" borderId="3" xfId="2" applyFont="1" applyBorder="1" applyAlignment="1">
      <alignment horizontal="center"/>
    </xf>
    <xf numFmtId="0" fontId="7" fillId="0" borderId="3" xfId="0" applyFont="1" applyBorder="1"/>
    <xf numFmtId="0" fontId="7" fillId="0" borderId="3" xfId="1" applyFont="1" applyBorder="1" applyAlignment="1" applyProtection="1">
      <alignment horizontal="center"/>
    </xf>
    <xf numFmtId="0" fontId="1" fillId="0" borderId="5" xfId="0" applyFont="1" applyBorder="1" applyAlignment="1">
      <alignment horizontal="center"/>
    </xf>
    <xf numFmtId="0" fontId="9" fillId="0" borderId="2" xfId="2" applyFont="1" applyBorder="1"/>
    <xf numFmtId="0" fontId="1" fillId="0" borderId="4" xfId="0" applyFont="1" applyBorder="1" applyAlignment="1">
      <alignment horizontal="center"/>
    </xf>
    <xf numFmtId="0" fontId="8" fillId="0" borderId="3" xfId="2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57150</xdr:rowOff>
        </xdr:from>
        <xdr:to>
          <xdr:col>5</xdr:col>
          <xdr:colOff>409575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Planillas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38100</xdr:rowOff>
        </xdr:from>
        <xdr:to>
          <xdr:col>7</xdr:col>
          <xdr:colOff>581025</xdr:colOff>
          <xdr:row>0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Cuenta Totales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695325</xdr:colOff>
          <xdr:row>0</xdr:row>
          <xdr:rowOff>38100</xdr:rowOff>
        </xdr:from>
        <xdr:to>
          <xdr:col>11</xdr:col>
          <xdr:colOff>247650</xdr:colOff>
          <xdr:row>0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Cuenta Separados y Faltantes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zoomScaleNormal="100" workbookViewId="0">
      <pane ySplit="2" topLeftCell="A3" activePane="bottomLeft" state="frozen"/>
      <selection pane="bottomLeft" activeCell="H30" sqref="H30"/>
    </sheetView>
  </sheetViews>
  <sheetFormatPr baseColWidth="10" defaultRowHeight="15" x14ac:dyDescent="0.25"/>
  <cols>
    <col min="1" max="1" width="3.140625" style="2" customWidth="1"/>
    <col min="2" max="2" width="5" style="6" customWidth="1"/>
    <col min="3" max="3" width="9" style="3" customWidth="1"/>
    <col min="4" max="4" width="24.7109375" style="1" customWidth="1"/>
    <col min="5" max="5" width="11.5703125" style="1" customWidth="1"/>
    <col min="6" max="6" width="9.85546875" style="1" customWidth="1"/>
    <col min="7" max="7" width="11" style="1" bestFit="1" customWidth="1"/>
    <col min="8" max="8" width="10.85546875" style="1" customWidth="1"/>
    <col min="9" max="9" width="8.5703125" style="1" customWidth="1"/>
    <col min="10" max="10" width="9.140625" style="1" customWidth="1"/>
    <col min="11" max="11" width="8" style="5" customWidth="1"/>
    <col min="12" max="12" width="10.42578125" style="5" customWidth="1"/>
    <col min="13" max="16384" width="11.42578125" style="1"/>
  </cols>
  <sheetData>
    <row r="1" spans="1:12" s="11" customFormat="1" ht="21" x14ac:dyDescent="0.35">
      <c r="A1" s="29" t="s">
        <v>28</v>
      </c>
      <c r="B1" s="29"/>
      <c r="C1" s="29"/>
      <c r="D1" s="29"/>
      <c r="E1" s="12"/>
      <c r="F1" s="23"/>
      <c r="G1" s="12"/>
      <c r="H1" s="12"/>
      <c r="I1" s="12"/>
      <c r="J1" s="12"/>
    </row>
    <row r="2" spans="1:12" x14ac:dyDescent="0.25">
      <c r="A2" s="13" t="s">
        <v>13</v>
      </c>
      <c r="B2" s="13" t="s">
        <v>12</v>
      </c>
      <c r="C2" s="13" t="s">
        <v>11</v>
      </c>
      <c r="D2" s="13" t="s">
        <v>24</v>
      </c>
      <c r="E2" t="s">
        <v>25</v>
      </c>
      <c r="F2" t="s">
        <v>9</v>
      </c>
      <c r="G2" t="s">
        <v>29</v>
      </c>
      <c r="H2" t="s">
        <v>8</v>
      </c>
      <c r="I2" t="s">
        <v>10</v>
      </c>
      <c r="J2" t="s">
        <v>7</v>
      </c>
      <c r="K2" t="s">
        <v>26</v>
      </c>
      <c r="L2" t="s">
        <v>27</v>
      </c>
    </row>
    <row r="3" spans="1:12" x14ac:dyDescent="0.25">
      <c r="A3" s="4">
        <v>1</v>
      </c>
      <c r="B3" s="14">
        <v>5608</v>
      </c>
      <c r="C3" s="15">
        <v>37137843</v>
      </c>
      <c r="D3" s="16" t="s">
        <v>14</v>
      </c>
      <c r="E3" s="17">
        <v>44</v>
      </c>
      <c r="F3" s="9" t="s">
        <v>2</v>
      </c>
      <c r="G3" s="8">
        <v>56</v>
      </c>
      <c r="H3" s="8">
        <v>48</v>
      </c>
      <c r="I3" s="8" t="s">
        <v>2</v>
      </c>
      <c r="J3" s="10">
        <v>42</v>
      </c>
      <c r="K3" s="8">
        <v>1</v>
      </c>
      <c r="L3" s="8">
        <v>1</v>
      </c>
    </row>
    <row r="4" spans="1:12" x14ac:dyDescent="0.25">
      <c r="A4" s="4">
        <v>2</v>
      </c>
      <c r="B4" s="18">
        <v>5576</v>
      </c>
      <c r="C4" s="19">
        <v>39084966</v>
      </c>
      <c r="D4" s="20" t="s">
        <v>15</v>
      </c>
      <c r="E4" s="21">
        <v>44</v>
      </c>
      <c r="F4" s="21" t="s">
        <v>2</v>
      </c>
      <c r="G4" s="22">
        <v>59</v>
      </c>
      <c r="H4" s="21">
        <v>46</v>
      </c>
      <c r="I4" s="22" t="s">
        <v>2</v>
      </c>
      <c r="J4" s="21">
        <v>42</v>
      </c>
      <c r="K4" s="10">
        <v>1</v>
      </c>
      <c r="L4" s="8">
        <v>1</v>
      </c>
    </row>
    <row r="5" spans="1:12" x14ac:dyDescent="0.25">
      <c r="A5" s="4">
        <v>3</v>
      </c>
      <c r="B5" s="18">
        <v>5652</v>
      </c>
      <c r="C5" s="19">
        <v>41660305</v>
      </c>
      <c r="D5" s="20" t="s">
        <v>16</v>
      </c>
      <c r="E5" s="22">
        <v>42</v>
      </c>
      <c r="F5" s="21" t="s">
        <v>0</v>
      </c>
      <c r="G5" s="22">
        <v>59</v>
      </c>
      <c r="H5" s="21">
        <v>42</v>
      </c>
      <c r="I5" s="22" t="s">
        <v>0</v>
      </c>
      <c r="J5" s="22">
        <v>40</v>
      </c>
      <c r="K5" s="10">
        <v>1</v>
      </c>
      <c r="L5" s="8">
        <v>1</v>
      </c>
    </row>
    <row r="6" spans="1:12" x14ac:dyDescent="0.25">
      <c r="A6" s="4">
        <v>4</v>
      </c>
      <c r="B6" s="7">
        <v>5642</v>
      </c>
      <c r="C6" s="19">
        <v>44438036</v>
      </c>
      <c r="D6" s="20" t="s">
        <v>17</v>
      </c>
      <c r="E6" s="22">
        <v>40</v>
      </c>
      <c r="F6" s="22" t="s">
        <v>1</v>
      </c>
      <c r="G6" s="21">
        <v>57</v>
      </c>
      <c r="H6" s="21">
        <v>42</v>
      </c>
      <c r="I6" s="22" t="s">
        <v>1</v>
      </c>
      <c r="J6" s="21">
        <v>41</v>
      </c>
      <c r="K6" s="10">
        <v>1</v>
      </c>
      <c r="L6" s="8">
        <v>1</v>
      </c>
    </row>
    <row r="7" spans="1:12" x14ac:dyDescent="0.25">
      <c r="A7" s="4">
        <v>5</v>
      </c>
      <c r="B7" s="7">
        <v>5670</v>
      </c>
      <c r="C7" s="19">
        <v>33821501</v>
      </c>
      <c r="D7" s="20" t="s">
        <v>18</v>
      </c>
      <c r="E7" s="22">
        <v>38</v>
      </c>
      <c r="F7" s="22" t="s">
        <v>1</v>
      </c>
      <c r="G7" s="21">
        <v>56</v>
      </c>
      <c r="H7" s="21">
        <v>42</v>
      </c>
      <c r="I7" s="22" t="s">
        <v>3</v>
      </c>
      <c r="J7" s="22">
        <v>38</v>
      </c>
      <c r="K7" s="10">
        <v>1</v>
      </c>
      <c r="L7" s="8">
        <v>1</v>
      </c>
    </row>
    <row r="8" spans="1:12" x14ac:dyDescent="0.25">
      <c r="A8" s="4">
        <v>6</v>
      </c>
      <c r="B8" s="7">
        <v>5611</v>
      </c>
      <c r="C8" s="19">
        <v>36767411</v>
      </c>
      <c r="D8" s="20" t="s">
        <v>19</v>
      </c>
      <c r="E8" s="21">
        <v>42</v>
      </c>
      <c r="F8" s="21" t="s">
        <v>5</v>
      </c>
      <c r="G8" s="21">
        <v>58</v>
      </c>
      <c r="H8" s="34">
        <v>44</v>
      </c>
      <c r="I8" s="22" t="s">
        <v>0</v>
      </c>
      <c r="J8" s="21">
        <v>41</v>
      </c>
      <c r="K8" s="10">
        <v>1</v>
      </c>
      <c r="L8" s="8">
        <v>1</v>
      </c>
    </row>
    <row r="9" spans="1:12" x14ac:dyDescent="0.25">
      <c r="A9" s="4">
        <v>7</v>
      </c>
      <c r="B9" s="7">
        <v>5606</v>
      </c>
      <c r="C9" s="19">
        <v>39019581</v>
      </c>
      <c r="D9" s="20" t="s">
        <v>20</v>
      </c>
      <c r="E9" s="21">
        <v>44</v>
      </c>
      <c r="F9" s="21" t="s">
        <v>5</v>
      </c>
      <c r="G9" s="21">
        <v>58</v>
      </c>
      <c r="H9" s="22">
        <v>48</v>
      </c>
      <c r="I9" s="22" t="s">
        <v>2</v>
      </c>
      <c r="J9" s="21">
        <v>42</v>
      </c>
      <c r="K9" s="10">
        <v>1</v>
      </c>
      <c r="L9" s="8">
        <v>1</v>
      </c>
    </row>
    <row r="10" spans="1:12" x14ac:dyDescent="0.25">
      <c r="A10" s="4">
        <v>8</v>
      </c>
      <c r="B10" s="7">
        <v>5634</v>
      </c>
      <c r="C10" s="19">
        <v>42509069</v>
      </c>
      <c r="D10" s="20" t="s">
        <v>21</v>
      </c>
      <c r="E10" s="21">
        <v>42</v>
      </c>
      <c r="F10" s="21" t="s">
        <v>0</v>
      </c>
      <c r="G10" s="22">
        <v>59</v>
      </c>
      <c r="H10" s="22">
        <v>44</v>
      </c>
      <c r="I10" s="22" t="s">
        <v>2</v>
      </c>
      <c r="J10" s="21">
        <v>42</v>
      </c>
      <c r="K10" s="10">
        <v>1</v>
      </c>
      <c r="L10" s="8">
        <v>1</v>
      </c>
    </row>
    <row r="11" spans="1:12" x14ac:dyDescent="0.25">
      <c r="A11" s="4">
        <v>9</v>
      </c>
      <c r="B11" s="7">
        <v>5677</v>
      </c>
      <c r="C11" s="19">
        <v>41271099</v>
      </c>
      <c r="D11" s="20" t="s">
        <v>22</v>
      </c>
      <c r="E11" s="22">
        <v>34</v>
      </c>
      <c r="F11" s="21" t="s">
        <v>6</v>
      </c>
      <c r="G11" s="21">
        <v>56</v>
      </c>
      <c r="H11" s="22">
        <v>38</v>
      </c>
      <c r="I11" s="22" t="s">
        <v>4</v>
      </c>
      <c r="J11" s="22">
        <v>37</v>
      </c>
      <c r="K11" s="10">
        <v>1</v>
      </c>
      <c r="L11" s="8">
        <v>1</v>
      </c>
    </row>
    <row r="12" spans="1:12" x14ac:dyDescent="0.25">
      <c r="A12" s="4">
        <v>10</v>
      </c>
      <c r="B12" s="7">
        <v>5680</v>
      </c>
      <c r="C12" s="19">
        <v>37964317</v>
      </c>
      <c r="D12" s="20" t="s">
        <v>23</v>
      </c>
      <c r="E12" s="22">
        <v>38</v>
      </c>
      <c r="F12" s="22" t="s">
        <v>3</v>
      </c>
      <c r="G12" s="21">
        <v>57</v>
      </c>
      <c r="H12" s="22">
        <v>44</v>
      </c>
      <c r="I12" s="22" t="s">
        <v>1</v>
      </c>
      <c r="J12" s="22">
        <v>38</v>
      </c>
      <c r="K12" s="10">
        <v>1</v>
      </c>
      <c r="L12" s="8">
        <v>1</v>
      </c>
    </row>
  </sheetData>
  <mergeCells count="1">
    <mergeCell ref="A1:D1"/>
  </mergeCells>
  <conditionalFormatting sqref="C2:L12 E1:L1">
    <cfRule type="cellIs" priority="7" stopIfTrue="1" operator="equal">
      <formula>"="</formula>
    </cfRule>
    <cfRule type="cellIs" priority="8" stopIfTrue="1" operator="equal">
      <formula>"="</formula>
    </cfRule>
  </conditionalFormatting>
  <conditionalFormatting sqref="A3:L12">
    <cfRule type="cellIs" priority="9" stopIfTrue="1" operator="equal">
      <formula>"="</formula>
    </cfRule>
    <cfRule type="cellIs" priority="15" stopIfTrue="1" operator="equal">
      <formula>"="</formula>
    </cfRule>
    <cfRule type="cellIs" priority="23" stopIfTrue="1" operator="equal">
      <formula>"="</formula>
    </cfRule>
    <cfRule type="cellIs" priority="28" stopIfTrue="1" operator="equal">
      <formula>"&lt;&gt;"""</formula>
    </cfRule>
    <cfRule type="cellIs" priority="32" stopIfTrue="1" operator="equal">
      <formula>"&lt;&gt;"""</formula>
    </cfRule>
    <cfRule type="cellIs" priority="34" stopIfTrue="1" operator="notEqual">
      <formula>"="</formula>
    </cfRule>
    <cfRule type="cellIs" priority="38" stopIfTrue="1" operator="notEqual">
      <formula>"="</formula>
    </cfRule>
  </conditionalFormatting>
  <conditionalFormatting sqref="A3:L12">
    <cfRule type="cellIs" priority="10" stopIfTrue="1" operator="equal">
      <formula>"="</formula>
    </cfRule>
    <cfRule type="cellIs" priority="14" stopIfTrue="1" operator="equal">
      <formula>"="</formula>
    </cfRule>
    <cfRule type="cellIs" priority="22" stopIfTrue="1" operator="equal">
      <formula>"="</formula>
    </cfRule>
    <cfRule type="cellIs" priority="24" stopIfTrue="1" operator="equal">
      <formula>"="</formula>
    </cfRule>
    <cfRule type="cellIs" priority="29" stopIfTrue="1" operator="equal">
      <formula>"&lt;&gt;"""</formula>
    </cfRule>
    <cfRule type="cellIs" priority="31" stopIfTrue="1" operator="equal">
      <formula>"&lt;&gt;"""</formula>
    </cfRule>
    <cfRule type="cellIs" priority="39" stopIfTrue="1" operator="notEqual">
      <formula>7</formula>
    </cfRule>
  </conditionalFormatting>
  <conditionalFormatting sqref="A3:L12">
    <cfRule type="cellIs" priority="11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  <cfRule type="cellIs" priority="25" stopIfTrue="1" operator="equal">
      <formula>"="</formula>
    </cfRule>
  </conditionalFormatting>
  <conditionalFormatting sqref="A3:L12">
    <cfRule type="cellIs" priority="12" stopIfTrue="1" operator="equal">
      <formula>"="</formula>
    </cfRule>
    <cfRule type="cellIs" priority="20" stopIfTrue="1" operator="equal">
      <formula>"="</formula>
    </cfRule>
    <cfRule type="cellIs" priority="26" stopIfTrue="1" operator="equal">
      <formula>"="</formula>
    </cfRule>
  </conditionalFormatting>
  <conditionalFormatting sqref="A3:L12">
    <cfRule type="cellIs" priority="16" stopIfTrue="1" operator="equal">
      <formula>"="</formula>
    </cfRule>
    <cfRule type="cellIs" priority="17" stopIfTrue="1" operator="equal">
      <formula>"="</formula>
    </cfRule>
    <cfRule type="cellIs" priority="18" stopIfTrue="1" operator="equal">
      <formula>"="</formula>
    </cfRule>
    <cfRule type="cellIs" priority="19" stopIfTrue="1" operator="equal">
      <formula>"="</formula>
    </cfRule>
    <cfRule type="cellIs" priority="27" stopIfTrue="1" operator="equal">
      <formula>"="</formula>
    </cfRule>
  </conditionalFormatting>
  <conditionalFormatting sqref="A3:L12">
    <cfRule type="cellIs" priority="30" stopIfTrue="1" operator="equal">
      <formula>"&lt;&gt;"""</formula>
    </cfRule>
  </conditionalFormatting>
  <conditionalFormatting sqref="A3:L12">
    <cfRule type="cellIs" priority="33" stopIfTrue="1" operator="equal">
      <formula>"&lt;&gt;"""</formula>
    </cfRule>
    <cfRule type="cellIs" priority="35" stopIfTrue="1" operator="notEqual">
      <formula>"="</formula>
    </cfRule>
    <cfRule type="cellIs" priority="37" stopIfTrue="1" operator="notEqual">
      <formula>"="</formula>
    </cfRule>
    <cfRule type="cellIs" priority="40" stopIfTrue="1" operator="notEqual">
      <formula>7</formula>
    </cfRule>
  </conditionalFormatting>
  <conditionalFormatting sqref="A3:L12">
    <cfRule type="cellIs" priority="36" stopIfTrue="1" operator="notEqual">
      <formula>"="</formula>
    </cfRule>
    <cfRule type="cellIs" priority="41" stopIfTrue="1" operator="notEqual">
      <formula>7</formula>
    </cfRule>
  </conditionalFormatting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tructorHoja">
                <anchor moveWithCells="1" sizeWithCells="1">
                  <from>
                    <xdr:col>4</xdr:col>
                    <xdr:colOff>209550</xdr:colOff>
                    <xdr:row>0</xdr:row>
                    <xdr:rowOff>57150</xdr:rowOff>
                  </from>
                  <to>
                    <xdr:col>5</xdr:col>
                    <xdr:colOff>409575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scar_producto">
                <anchor moveWithCells="1" sizeWithCells="1">
                  <from>
                    <xdr:col>6</xdr:col>
                    <xdr:colOff>266700</xdr:colOff>
                    <xdr:row>0</xdr:row>
                    <xdr:rowOff>38100</xdr:rowOff>
                  </from>
                  <to>
                    <xdr:col>7</xdr:col>
                    <xdr:colOff>581025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scar_separados">
                <anchor moveWithCells="1" sizeWithCells="1">
                  <from>
                    <xdr:col>7</xdr:col>
                    <xdr:colOff>695325</xdr:colOff>
                    <xdr:row>0</xdr:row>
                    <xdr:rowOff>38100</xdr:rowOff>
                  </from>
                  <to>
                    <xdr:col>11</xdr:col>
                    <xdr:colOff>247650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30"/>
  <sheetViews>
    <sheetView tabSelected="1" workbookViewId="0">
      <selection activeCell="Q10" sqref="Q10"/>
    </sheetView>
  </sheetViews>
  <sheetFormatPr baseColWidth="10" defaultRowHeight="15" x14ac:dyDescent="0.25"/>
  <cols>
    <col min="1" max="1" width="7" bestFit="1" customWidth="1"/>
    <col min="2" max="2" width="8.5703125" bestFit="1" customWidth="1"/>
    <col min="3" max="3" width="7" bestFit="1" customWidth="1"/>
    <col min="4" max="4" width="8.5703125" bestFit="1" customWidth="1"/>
    <col min="5" max="5" width="7" bestFit="1" customWidth="1"/>
    <col min="6" max="6" width="8.5703125" bestFit="1" customWidth="1"/>
    <col min="7" max="7" width="7" bestFit="1" customWidth="1"/>
    <col min="8" max="8" width="8.5703125" bestFit="1" customWidth="1"/>
    <col min="9" max="9" width="7" bestFit="1" customWidth="1"/>
    <col min="10" max="10" width="8.5703125" bestFit="1" customWidth="1"/>
    <col min="11" max="11" width="7" bestFit="1" customWidth="1"/>
    <col min="12" max="12" width="8.5703125" bestFit="1" customWidth="1"/>
    <col min="13" max="13" width="7" bestFit="1" customWidth="1"/>
    <col min="14" max="14" width="8.5703125" bestFit="1" customWidth="1"/>
    <col min="15" max="15" width="7" bestFit="1" customWidth="1"/>
    <col min="16" max="16" width="8.570312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31</v>
      </c>
      <c r="C3" s="24" t="s">
        <v>30</v>
      </c>
      <c r="D3" s="24" t="s">
        <v>31</v>
      </c>
      <c r="E3" s="24" t="s">
        <v>30</v>
      </c>
      <c r="F3" s="24" t="s">
        <v>31</v>
      </c>
      <c r="G3" s="24" t="s">
        <v>30</v>
      </c>
      <c r="H3" s="24" t="s">
        <v>31</v>
      </c>
      <c r="I3" s="24" t="s">
        <v>30</v>
      </c>
      <c r="J3" s="24" t="s">
        <v>31</v>
      </c>
      <c r="K3" s="24" t="s">
        <v>30</v>
      </c>
      <c r="L3" s="24" t="s">
        <v>31</v>
      </c>
      <c r="M3" s="24" t="s">
        <v>30</v>
      </c>
      <c r="N3" s="24" t="s">
        <v>31</v>
      </c>
      <c r="O3" s="24" t="s">
        <v>30</v>
      </c>
      <c r="P3" s="24" t="s">
        <v>31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10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>
        <v>1</v>
      </c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10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3</v>
      </c>
      <c r="C9" s="26" t="s">
        <v>0</v>
      </c>
      <c r="D9" s="26">
        <v>2</v>
      </c>
      <c r="E9" s="26">
        <v>55</v>
      </c>
      <c r="F9" s="26"/>
      <c r="G9" s="26">
        <v>42</v>
      </c>
      <c r="H9" s="26">
        <v>3</v>
      </c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3</v>
      </c>
      <c r="C10" s="26" t="s">
        <v>2</v>
      </c>
      <c r="D10" s="26">
        <v>2</v>
      </c>
      <c r="E10" s="26">
        <v>56</v>
      </c>
      <c r="F10" s="26">
        <v>3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>
        <v>2</v>
      </c>
      <c r="E11" s="26">
        <v>57</v>
      </c>
      <c r="F11" s="26">
        <v>2</v>
      </c>
      <c r="G11" s="26">
        <v>46</v>
      </c>
      <c r="H11" s="26">
        <v>1</v>
      </c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>
        <v>2</v>
      </c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>
        <v>2</v>
      </c>
    </row>
    <row r="16" spans="1:16" x14ac:dyDescent="0.25">
      <c r="A16" s="26">
        <v>56</v>
      </c>
      <c r="B16" s="26"/>
      <c r="C16" s="24" t="s">
        <v>34</v>
      </c>
      <c r="D16" s="25">
        <f>SUM($D$4:$D$15)</f>
        <v>10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>
        <v>4</v>
      </c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10</v>
      </c>
      <c r="E22" s="26">
        <v>68</v>
      </c>
      <c r="F22" s="26"/>
      <c r="G22" s="24" t="s">
        <v>34</v>
      </c>
      <c r="H22" s="25">
        <f>SUM($H$4:$H$21)</f>
        <v>10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10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10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30"/>
  <sheetViews>
    <sheetView workbookViewId="0">
      <selection sqref="A1:D1"/>
    </sheetView>
  </sheetViews>
  <sheetFormatPr baseColWidth="10" defaultRowHeight="15" x14ac:dyDescent="0.25"/>
  <cols>
    <col min="1" max="1" width="7" bestFit="1" customWidth="1"/>
    <col min="2" max="2" width="11.5703125" bestFit="1" customWidth="1"/>
    <col min="3" max="3" width="7" bestFit="1" customWidth="1"/>
    <col min="4" max="4" width="11.5703125" bestFit="1" customWidth="1"/>
    <col min="5" max="5" width="7" bestFit="1" customWidth="1"/>
    <col min="6" max="6" width="11.5703125" bestFit="1" customWidth="1"/>
    <col min="7" max="7" width="7" bestFit="1" customWidth="1"/>
    <col min="8" max="8" width="11.5703125" bestFit="1" customWidth="1"/>
    <col min="9" max="9" width="7" bestFit="1" customWidth="1"/>
    <col min="10" max="10" width="11.5703125" bestFit="1" customWidth="1"/>
    <col min="11" max="11" width="7" bestFit="1" customWidth="1"/>
    <col min="12" max="12" width="11.5703125" bestFit="1" customWidth="1"/>
    <col min="13" max="13" width="7" bestFit="1" customWidth="1"/>
    <col min="14" max="14" width="11.5703125" bestFit="1" customWidth="1"/>
    <col min="15" max="15" width="7" bestFit="1" customWidth="1"/>
    <col min="16" max="16" width="11.570312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32</v>
      </c>
      <c r="C3" s="24" t="s">
        <v>30</v>
      </c>
      <c r="D3" s="24" t="s">
        <v>32</v>
      </c>
      <c r="E3" s="24" t="s">
        <v>30</v>
      </c>
      <c r="F3" s="24" t="s">
        <v>32</v>
      </c>
      <c r="G3" s="24" t="s">
        <v>30</v>
      </c>
      <c r="H3" s="24" t="s">
        <v>32</v>
      </c>
      <c r="I3" s="24" t="s">
        <v>30</v>
      </c>
      <c r="J3" s="24" t="s">
        <v>32</v>
      </c>
      <c r="K3" s="24" t="s">
        <v>30</v>
      </c>
      <c r="L3" s="24" t="s">
        <v>32</v>
      </c>
      <c r="M3" s="24" t="s">
        <v>30</v>
      </c>
      <c r="N3" s="24" t="s">
        <v>32</v>
      </c>
      <c r="O3" s="24" t="s">
        <v>30</v>
      </c>
      <c r="P3" s="24" t="s">
        <v>32</v>
      </c>
    </row>
    <row r="4" spans="1:16" x14ac:dyDescent="0.25">
      <c r="A4" s="26">
        <v>32</v>
      </c>
      <c r="B4" s="26"/>
      <c r="C4" s="26" t="s">
        <v>35</v>
      </c>
      <c r="D4" s="26"/>
      <c r="E4" s="26">
        <v>50</v>
      </c>
      <c r="F4" s="26"/>
      <c r="G4" s="26">
        <v>32</v>
      </c>
      <c r="H4" s="26"/>
      <c r="I4" s="26" t="s">
        <v>35</v>
      </c>
      <c r="J4" s="26"/>
      <c r="K4" s="26">
        <v>30</v>
      </c>
      <c r="L4" s="26"/>
      <c r="M4" s="26">
        <v>1</v>
      </c>
      <c r="N4" s="26">
        <v>1</v>
      </c>
      <c r="O4" s="26">
        <v>1</v>
      </c>
      <c r="P4" s="26">
        <v>10</v>
      </c>
    </row>
    <row r="5" spans="1:16" x14ac:dyDescent="0.25">
      <c r="A5" s="26">
        <v>34</v>
      </c>
      <c r="B5" s="26">
        <v>1</v>
      </c>
      <c r="C5" s="26" t="s">
        <v>6</v>
      </c>
      <c r="D5" s="26"/>
      <c r="E5" s="26">
        <v>51</v>
      </c>
      <c r="F5" s="26"/>
      <c r="G5" s="26">
        <v>34</v>
      </c>
      <c r="H5" s="26"/>
      <c r="I5" s="26" t="s">
        <v>6</v>
      </c>
      <c r="J5" s="26"/>
      <c r="K5" s="26">
        <v>31</v>
      </c>
      <c r="L5" s="26"/>
      <c r="M5" s="24" t="s">
        <v>34</v>
      </c>
      <c r="N5" s="25">
        <f>SUM($N$4:$N$4)</f>
        <v>1</v>
      </c>
      <c r="O5" s="24" t="s">
        <v>34</v>
      </c>
      <c r="P5" s="25">
        <f>SUM($P$4:$P$4)</f>
        <v>10</v>
      </c>
    </row>
    <row r="6" spans="1:16" x14ac:dyDescent="0.25">
      <c r="A6" s="26">
        <v>36</v>
      </c>
      <c r="B6" s="26"/>
      <c r="C6" s="26" t="s">
        <v>4</v>
      </c>
      <c r="D6" s="26"/>
      <c r="E6" s="26">
        <v>52</v>
      </c>
      <c r="F6" s="26"/>
      <c r="G6" s="26">
        <v>36</v>
      </c>
      <c r="H6" s="26"/>
      <c r="I6" s="26" t="s">
        <v>4</v>
      </c>
      <c r="J6" s="26">
        <v>1</v>
      </c>
      <c r="K6" s="26">
        <v>32</v>
      </c>
      <c r="L6" s="26"/>
    </row>
    <row r="7" spans="1:16" x14ac:dyDescent="0.25">
      <c r="A7" s="26">
        <v>38</v>
      </c>
      <c r="B7" s="26">
        <v>2</v>
      </c>
      <c r="C7" s="26" t="s">
        <v>3</v>
      </c>
      <c r="D7" s="26">
        <v>1</v>
      </c>
      <c r="E7" s="26">
        <v>53</v>
      </c>
      <c r="F7" s="26"/>
      <c r="G7" s="26">
        <v>38</v>
      </c>
      <c r="H7" s="26">
        <v>1</v>
      </c>
      <c r="I7" s="26" t="s">
        <v>3</v>
      </c>
      <c r="J7" s="26">
        <v>1</v>
      </c>
      <c r="K7" s="26">
        <v>33</v>
      </c>
      <c r="L7" s="26"/>
    </row>
    <row r="8" spans="1:16" x14ac:dyDescent="0.25">
      <c r="A8" s="26">
        <v>40</v>
      </c>
      <c r="B8" s="26">
        <v>1</v>
      </c>
      <c r="C8" s="26" t="s">
        <v>1</v>
      </c>
      <c r="D8" s="26">
        <v>2</v>
      </c>
      <c r="E8" s="26">
        <v>54</v>
      </c>
      <c r="F8" s="26"/>
      <c r="G8" s="26">
        <v>40</v>
      </c>
      <c r="H8" s="26"/>
      <c r="I8" s="26" t="s">
        <v>1</v>
      </c>
      <c r="J8" s="26">
        <v>2</v>
      </c>
      <c r="K8" s="26">
        <v>34</v>
      </c>
      <c r="L8" s="26"/>
    </row>
    <row r="9" spans="1:16" x14ac:dyDescent="0.25">
      <c r="A9" s="26">
        <v>42</v>
      </c>
      <c r="B9" s="26">
        <v>1</v>
      </c>
      <c r="C9" s="26" t="s">
        <v>0</v>
      </c>
      <c r="D9" s="26"/>
      <c r="E9" s="26">
        <v>55</v>
      </c>
      <c r="F9" s="26"/>
      <c r="G9" s="26">
        <v>42</v>
      </c>
      <c r="H9" s="26"/>
      <c r="I9" s="26" t="s">
        <v>0</v>
      </c>
      <c r="J9" s="26">
        <v>2</v>
      </c>
      <c r="K9" s="26">
        <v>35</v>
      </c>
      <c r="L9" s="26"/>
    </row>
    <row r="10" spans="1:16" x14ac:dyDescent="0.25">
      <c r="A10" s="26">
        <v>44</v>
      </c>
      <c r="B10" s="26">
        <v>1</v>
      </c>
      <c r="C10" s="26" t="s">
        <v>2</v>
      </c>
      <c r="D10" s="26"/>
      <c r="E10" s="26">
        <v>56</v>
      </c>
      <c r="F10" s="26">
        <v>1</v>
      </c>
      <c r="G10" s="26">
        <v>44</v>
      </c>
      <c r="H10" s="26">
        <v>3</v>
      </c>
      <c r="I10" s="26" t="s">
        <v>2</v>
      </c>
      <c r="J10" s="26">
        <v>4</v>
      </c>
      <c r="K10" s="26">
        <v>36</v>
      </c>
      <c r="L10" s="26"/>
    </row>
    <row r="11" spans="1:16" x14ac:dyDescent="0.25">
      <c r="A11" s="26">
        <v>46</v>
      </c>
      <c r="B11" s="26"/>
      <c r="C11" s="26" t="s">
        <v>5</v>
      </c>
      <c r="D11" s="26"/>
      <c r="E11" s="26">
        <v>57</v>
      </c>
      <c r="F11" s="26"/>
      <c r="G11" s="26">
        <v>46</v>
      </c>
      <c r="H11" s="26"/>
      <c r="I11" s="26" t="s">
        <v>5</v>
      </c>
      <c r="J11" s="26"/>
      <c r="K11" s="26">
        <v>37</v>
      </c>
      <c r="L11" s="26">
        <v>1</v>
      </c>
    </row>
    <row r="12" spans="1:16" x14ac:dyDescent="0.25">
      <c r="A12" s="26">
        <v>48</v>
      </c>
      <c r="B12" s="26"/>
      <c r="C12" s="26" t="s">
        <v>36</v>
      </c>
      <c r="D12" s="26"/>
      <c r="E12" s="26">
        <v>58</v>
      </c>
      <c r="F12" s="26"/>
      <c r="G12" s="26">
        <v>48</v>
      </c>
      <c r="H12" s="26">
        <v>2</v>
      </c>
      <c r="I12" s="26" t="s">
        <v>36</v>
      </c>
      <c r="J12" s="26"/>
      <c r="K12" s="26">
        <v>38</v>
      </c>
      <c r="L12" s="26">
        <v>2</v>
      </c>
    </row>
    <row r="13" spans="1:16" x14ac:dyDescent="0.25">
      <c r="A13" s="26">
        <v>50</v>
      </c>
      <c r="B13" s="26"/>
      <c r="C13" s="26" t="s">
        <v>37</v>
      </c>
      <c r="D13" s="26"/>
      <c r="E13" s="26">
        <v>59</v>
      </c>
      <c r="F13" s="26">
        <v>3</v>
      </c>
      <c r="G13" s="26">
        <v>50</v>
      </c>
      <c r="H13" s="26"/>
      <c r="I13" s="26" t="s">
        <v>37</v>
      </c>
      <c r="J13" s="26"/>
      <c r="K13" s="26">
        <v>39</v>
      </c>
      <c r="L13" s="26"/>
    </row>
    <row r="14" spans="1:16" x14ac:dyDescent="0.25">
      <c r="A14" s="26">
        <v>52</v>
      </c>
      <c r="B14" s="26"/>
      <c r="C14" s="26" t="s">
        <v>38</v>
      </c>
      <c r="D14" s="26"/>
      <c r="E14" s="26">
        <v>60</v>
      </c>
      <c r="F14" s="26"/>
      <c r="G14" s="26">
        <v>52</v>
      </c>
      <c r="H14" s="26"/>
      <c r="I14" s="26" t="s">
        <v>38</v>
      </c>
      <c r="J14" s="26"/>
      <c r="K14" s="26">
        <v>40</v>
      </c>
      <c r="L14" s="26">
        <v>1</v>
      </c>
    </row>
    <row r="15" spans="1:16" x14ac:dyDescent="0.25">
      <c r="A15" s="26">
        <v>54</v>
      </c>
      <c r="B15" s="26"/>
      <c r="C15" s="26" t="s">
        <v>39</v>
      </c>
      <c r="D15" s="26"/>
      <c r="E15" s="26">
        <v>61</v>
      </c>
      <c r="F15" s="26"/>
      <c r="G15" s="26">
        <v>54</v>
      </c>
      <c r="H15" s="26"/>
      <c r="I15" s="26" t="s">
        <v>39</v>
      </c>
      <c r="J15" s="26"/>
      <c r="K15" s="26">
        <v>41</v>
      </c>
      <c r="L15" s="26"/>
    </row>
    <row r="16" spans="1:16" x14ac:dyDescent="0.25">
      <c r="A16" s="26">
        <v>56</v>
      </c>
      <c r="B16" s="26"/>
      <c r="C16" s="24" t="s">
        <v>34</v>
      </c>
      <c r="D16" s="25">
        <f>SUM($D$4:$D$15)</f>
        <v>3</v>
      </c>
      <c r="E16" s="26">
        <v>62</v>
      </c>
      <c r="F16" s="26"/>
      <c r="G16" s="26">
        <v>56</v>
      </c>
      <c r="H16" s="26"/>
      <c r="I16" s="24" t="s">
        <v>34</v>
      </c>
      <c r="J16" s="25">
        <f>SUM($J$4:$J$15)</f>
        <v>10</v>
      </c>
      <c r="K16" s="26">
        <v>42</v>
      </c>
      <c r="L16" s="26"/>
    </row>
    <row r="17" spans="1:12" x14ac:dyDescent="0.25">
      <c r="A17" s="26">
        <v>58</v>
      </c>
      <c r="B17" s="26"/>
      <c r="E17" s="26">
        <v>63</v>
      </c>
      <c r="F17" s="26"/>
      <c r="G17" s="26">
        <v>58</v>
      </c>
      <c r="H17" s="26"/>
      <c r="K17" s="26">
        <v>43</v>
      </c>
      <c r="L17" s="26"/>
    </row>
    <row r="18" spans="1:12" x14ac:dyDescent="0.25">
      <c r="A18" s="26">
        <v>60</v>
      </c>
      <c r="B18" s="26"/>
      <c r="E18" s="26">
        <v>64</v>
      </c>
      <c r="F18" s="26"/>
      <c r="G18" s="26">
        <v>60</v>
      </c>
      <c r="H18" s="26"/>
      <c r="K18" s="26">
        <v>44</v>
      </c>
      <c r="L18" s="26"/>
    </row>
    <row r="19" spans="1:12" x14ac:dyDescent="0.25">
      <c r="A19" s="26">
        <v>62</v>
      </c>
      <c r="B19" s="26"/>
      <c r="E19" s="26">
        <v>65</v>
      </c>
      <c r="F19" s="26"/>
      <c r="G19" s="26">
        <v>62</v>
      </c>
      <c r="H19" s="26"/>
      <c r="K19" s="26">
        <v>45</v>
      </c>
      <c r="L19" s="26"/>
    </row>
    <row r="20" spans="1:12" x14ac:dyDescent="0.25">
      <c r="A20" s="26">
        <v>64</v>
      </c>
      <c r="B20" s="26"/>
      <c r="E20" s="26">
        <v>66</v>
      </c>
      <c r="F20" s="26"/>
      <c r="G20" s="26">
        <v>64</v>
      </c>
      <c r="H20" s="26"/>
      <c r="K20" s="26">
        <v>46</v>
      </c>
      <c r="L20" s="26"/>
    </row>
    <row r="21" spans="1:12" x14ac:dyDescent="0.25">
      <c r="A21" s="26">
        <v>66</v>
      </c>
      <c r="B21" s="26"/>
      <c r="E21" s="26">
        <v>67</v>
      </c>
      <c r="F21" s="26"/>
      <c r="G21" s="26">
        <v>66</v>
      </c>
      <c r="H21" s="26"/>
      <c r="K21" s="26">
        <v>47</v>
      </c>
      <c r="L21" s="26"/>
    </row>
    <row r="22" spans="1:12" x14ac:dyDescent="0.25">
      <c r="A22" s="24" t="s">
        <v>34</v>
      </c>
      <c r="B22" s="25">
        <f>SUM($B$4:$B$21)</f>
        <v>6</v>
      </c>
      <c r="E22" s="26">
        <v>68</v>
      </c>
      <c r="F22" s="26"/>
      <c r="G22" s="24" t="s">
        <v>34</v>
      </c>
      <c r="H22" s="25">
        <f>SUM($H$4:$H$21)</f>
        <v>6</v>
      </c>
      <c r="K22" s="26">
        <v>48</v>
      </c>
      <c r="L22" s="26"/>
    </row>
    <row r="23" spans="1:12" x14ac:dyDescent="0.25">
      <c r="E23" s="26">
        <v>69</v>
      </c>
      <c r="F23" s="26"/>
      <c r="K23" s="26">
        <v>49</v>
      </c>
      <c r="L23" s="26"/>
    </row>
    <row r="24" spans="1:12" x14ac:dyDescent="0.25">
      <c r="E24" s="26">
        <v>70</v>
      </c>
      <c r="F24" s="26"/>
      <c r="K24" s="26">
        <v>50</v>
      </c>
      <c r="L24" s="26"/>
    </row>
    <row r="25" spans="1:12" x14ac:dyDescent="0.25">
      <c r="E25" s="24" t="s">
        <v>34</v>
      </c>
      <c r="F25" s="25">
        <f>SUM($F$4:$F$24)</f>
        <v>4</v>
      </c>
      <c r="K25" s="26">
        <v>51</v>
      </c>
      <c r="L25" s="26"/>
    </row>
    <row r="26" spans="1:12" x14ac:dyDescent="0.25">
      <c r="K26" s="26">
        <v>52</v>
      </c>
      <c r="L26" s="26"/>
    </row>
    <row r="27" spans="1:12" x14ac:dyDescent="0.25">
      <c r="K27" s="26">
        <v>53</v>
      </c>
      <c r="L27" s="26"/>
    </row>
    <row r="28" spans="1:12" x14ac:dyDescent="0.25">
      <c r="K28" s="26">
        <v>54</v>
      </c>
      <c r="L28" s="26"/>
    </row>
    <row r="29" spans="1:12" x14ac:dyDescent="0.25">
      <c r="K29" s="26">
        <v>55</v>
      </c>
      <c r="L29" s="26"/>
    </row>
    <row r="30" spans="1:12" x14ac:dyDescent="0.25">
      <c r="K30" s="24" t="s">
        <v>34</v>
      </c>
      <c r="L30" s="25">
        <f>SUM($L$4:$L$29)</f>
        <v>4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0"/>
  <sheetViews>
    <sheetView workbookViewId="0">
      <selection activeCell="H9" sqref="H9"/>
    </sheetView>
  </sheetViews>
  <sheetFormatPr baseColWidth="10" defaultRowHeight="15" x14ac:dyDescent="0.25"/>
  <cols>
    <col min="1" max="1" width="7" bestFit="1" customWidth="1"/>
    <col min="2" max="2" width="10.85546875" bestFit="1" customWidth="1"/>
    <col min="3" max="3" width="7" bestFit="1" customWidth="1"/>
    <col min="4" max="4" width="10.85546875" bestFit="1" customWidth="1"/>
    <col min="5" max="5" width="7" bestFit="1" customWidth="1"/>
    <col min="6" max="6" width="10.85546875" bestFit="1" customWidth="1"/>
    <col min="7" max="7" width="7" bestFit="1" customWidth="1"/>
    <col min="8" max="8" width="10.85546875" bestFit="1" customWidth="1"/>
    <col min="9" max="9" width="7" bestFit="1" customWidth="1"/>
    <col min="10" max="10" width="10.85546875" bestFit="1" customWidth="1"/>
    <col min="11" max="11" width="7" bestFit="1" customWidth="1"/>
    <col min="12" max="12" width="10.85546875" bestFit="1" customWidth="1"/>
    <col min="13" max="13" width="7" bestFit="1" customWidth="1"/>
    <col min="14" max="14" width="10.85546875" bestFit="1" customWidth="1"/>
    <col min="15" max="15" width="7" bestFit="1" customWidth="1"/>
    <col min="16" max="16" width="10.85546875" bestFit="1" customWidth="1"/>
  </cols>
  <sheetData>
    <row r="1" spans="1:16" ht="18.75" x14ac:dyDescent="0.3">
      <c r="A1" s="31" t="str">
        <f>PLANILLA!$A$1</f>
        <v>AGENTES DELEGACION B</v>
      </c>
      <c r="B1" s="31"/>
      <c r="C1" s="31"/>
      <c r="D1" s="31"/>
    </row>
    <row r="2" spans="1:16" x14ac:dyDescent="0.25">
      <c r="A2" s="32" t="s">
        <v>25</v>
      </c>
      <c r="B2" s="32"/>
      <c r="C2" s="30" t="s">
        <v>9</v>
      </c>
      <c r="D2" s="30"/>
      <c r="E2" s="30" t="s">
        <v>29</v>
      </c>
      <c r="F2" s="30"/>
      <c r="G2" s="30" t="s">
        <v>8</v>
      </c>
      <c r="H2" s="30"/>
      <c r="I2" s="30" t="s">
        <v>10</v>
      </c>
      <c r="J2" s="30"/>
      <c r="K2" s="30" t="s">
        <v>7</v>
      </c>
      <c r="L2" s="30"/>
      <c r="M2" s="30" t="s">
        <v>26</v>
      </c>
      <c r="N2" s="30"/>
      <c r="O2" s="30" t="s">
        <v>27</v>
      </c>
      <c r="P2" s="30"/>
    </row>
    <row r="3" spans="1:16" x14ac:dyDescent="0.25">
      <c r="A3" s="24" t="s">
        <v>30</v>
      </c>
      <c r="B3" s="24" t="s">
        <v>33</v>
      </c>
      <c r="C3" s="24" t="s">
        <v>30</v>
      </c>
      <c r="D3" s="24" t="s">
        <v>33</v>
      </c>
      <c r="E3" s="24" t="s">
        <v>30</v>
      </c>
      <c r="F3" s="24" t="s">
        <v>33</v>
      </c>
      <c r="G3" s="24" t="s">
        <v>30</v>
      </c>
      <c r="H3" s="24" t="s">
        <v>33</v>
      </c>
      <c r="I3" s="24" t="s">
        <v>30</v>
      </c>
      <c r="J3" s="24" t="s">
        <v>33</v>
      </c>
      <c r="K3" s="24" t="s">
        <v>30</v>
      </c>
      <c r="L3" s="24" t="s">
        <v>33</v>
      </c>
      <c r="M3" s="24" t="s">
        <v>30</v>
      </c>
      <c r="N3" s="24" t="s">
        <v>33</v>
      </c>
      <c r="O3" s="24" t="s">
        <v>30</v>
      </c>
      <c r="P3" s="24" t="s">
        <v>33</v>
      </c>
    </row>
    <row r="4" spans="1:16" x14ac:dyDescent="0.25">
      <c r="A4" s="26">
        <v>32</v>
      </c>
      <c r="B4" s="26">
        <f>TOTALES!$B$4-SEPARADOS!$B$4</f>
        <v>0</v>
      </c>
      <c r="C4" s="26" t="s">
        <v>35</v>
      </c>
      <c r="D4" s="26">
        <f>TOTALES!$D$4-SEPARADOS!$D$4</f>
        <v>0</v>
      </c>
      <c r="E4" s="26">
        <v>50</v>
      </c>
      <c r="F4" s="26">
        <f>TOTALES!$F$4-SEPARADOS!$F$4</f>
        <v>0</v>
      </c>
      <c r="G4" s="26">
        <v>32</v>
      </c>
      <c r="H4" s="26">
        <f>TOTALES!$H$4-SEPARADOS!$H$4</f>
        <v>0</v>
      </c>
      <c r="I4" s="26" t="s">
        <v>35</v>
      </c>
      <c r="J4" s="26">
        <f>TOTALES!$J$4-SEPARADOS!$J$4</f>
        <v>0</v>
      </c>
      <c r="K4" s="26">
        <v>30</v>
      </c>
      <c r="L4" s="26">
        <f>TOTALES!$L$4-SEPARADOS!$L$4</f>
        <v>0</v>
      </c>
      <c r="M4" s="26">
        <v>1</v>
      </c>
      <c r="N4" s="26">
        <f>TOTALES!$N$4-SEPARADOS!$N$4</f>
        <v>9</v>
      </c>
      <c r="O4" s="26">
        <v>1</v>
      </c>
      <c r="P4" s="26">
        <f>TOTALES!$P$4-SEPARADOS!$P$4</f>
        <v>0</v>
      </c>
    </row>
    <row r="5" spans="1:16" x14ac:dyDescent="0.25">
      <c r="A5" s="26">
        <v>34</v>
      </c>
      <c r="B5" s="26">
        <f>TOTALES!$B$5-SEPARADOS!$B$5</f>
        <v>0</v>
      </c>
      <c r="C5" s="26" t="s">
        <v>6</v>
      </c>
      <c r="D5" s="26">
        <f>TOTALES!$D$5-SEPARADOS!$D$5</f>
        <v>1</v>
      </c>
      <c r="E5" s="26">
        <v>51</v>
      </c>
      <c r="F5" s="26">
        <f>TOTALES!$F$5-SEPARADOS!$F$5</f>
        <v>0</v>
      </c>
      <c r="G5" s="26">
        <v>34</v>
      </c>
      <c r="H5" s="26">
        <f>TOTALES!$H$5-SEPARADOS!$H$5</f>
        <v>0</v>
      </c>
      <c r="I5" s="26" t="s">
        <v>6</v>
      </c>
      <c r="J5" s="26">
        <f>TOTALES!$J$5-SEPARADOS!$J$5</f>
        <v>0</v>
      </c>
      <c r="K5" s="26">
        <v>31</v>
      </c>
      <c r="L5" s="26">
        <f>TOTALES!$L$5-SEPARADOS!$L$5</f>
        <v>0</v>
      </c>
      <c r="M5" s="24" t="s">
        <v>34</v>
      </c>
      <c r="N5" s="25">
        <f>SUM($N$4:$N$4)</f>
        <v>9</v>
      </c>
      <c r="O5" s="24" t="s">
        <v>34</v>
      </c>
      <c r="P5" s="25">
        <f>SUM($P$4:$P$4)</f>
        <v>0</v>
      </c>
    </row>
    <row r="6" spans="1:16" x14ac:dyDescent="0.25">
      <c r="A6" s="26">
        <v>36</v>
      </c>
      <c r="B6" s="26">
        <f>TOTALES!$B$6-SEPARADOS!$B$6</f>
        <v>0</v>
      </c>
      <c r="C6" s="26" t="s">
        <v>4</v>
      </c>
      <c r="D6" s="26">
        <f>TOTALES!$D$6-SEPARADOS!$D$6</f>
        <v>0</v>
      </c>
      <c r="E6" s="26">
        <v>52</v>
      </c>
      <c r="F6" s="26">
        <f>TOTALES!$F$6-SEPARADOS!$F$6</f>
        <v>0</v>
      </c>
      <c r="G6" s="26">
        <v>36</v>
      </c>
      <c r="H6" s="26">
        <f>TOTALES!$H$6-SEPARADOS!$H$6</f>
        <v>0</v>
      </c>
      <c r="I6" s="26" t="s">
        <v>4</v>
      </c>
      <c r="J6" s="26">
        <f>TOTALES!$J$6-SEPARADOS!$J$6</f>
        <v>0</v>
      </c>
      <c r="K6" s="26">
        <v>32</v>
      </c>
      <c r="L6" s="26">
        <f>TOTALES!$L$6-SEPARADOS!$L$6</f>
        <v>0</v>
      </c>
    </row>
    <row r="7" spans="1:16" x14ac:dyDescent="0.25">
      <c r="A7" s="26">
        <v>38</v>
      </c>
      <c r="B7" s="26">
        <f>TOTALES!$B$7-SEPARADOS!$B$7</f>
        <v>0</v>
      </c>
      <c r="C7" s="26" t="s">
        <v>3</v>
      </c>
      <c r="D7" s="26">
        <f>TOTALES!$D$7-SEPARADOS!$D$7</f>
        <v>0</v>
      </c>
      <c r="E7" s="26">
        <v>53</v>
      </c>
      <c r="F7" s="26">
        <f>TOTALES!$F$7-SEPARADOS!$F$7</f>
        <v>0</v>
      </c>
      <c r="G7" s="26">
        <v>38</v>
      </c>
      <c r="H7" s="26">
        <f>TOTALES!$H$7-SEPARADOS!$H$7</f>
        <v>0</v>
      </c>
      <c r="I7" s="26" t="s">
        <v>3</v>
      </c>
      <c r="J7" s="26">
        <f>TOTALES!$J$7-SEPARADOS!$J$7</f>
        <v>0</v>
      </c>
      <c r="K7" s="26">
        <v>33</v>
      </c>
      <c r="L7" s="26">
        <f>TOTALES!$L$7-SEPARADOS!$L$7</f>
        <v>0</v>
      </c>
    </row>
    <row r="8" spans="1:16" x14ac:dyDescent="0.25">
      <c r="A8" s="26">
        <v>40</v>
      </c>
      <c r="B8" s="26">
        <f>TOTALES!$B$8-SEPARADOS!$B$8</f>
        <v>0</v>
      </c>
      <c r="C8" s="26" t="s">
        <v>1</v>
      </c>
      <c r="D8" s="26">
        <f>TOTALES!$D$8-SEPARADOS!$D$8</f>
        <v>0</v>
      </c>
      <c r="E8" s="26">
        <v>54</v>
      </c>
      <c r="F8" s="26">
        <f>TOTALES!$F$8-SEPARADOS!$F$8</f>
        <v>0</v>
      </c>
      <c r="G8" s="26">
        <v>40</v>
      </c>
      <c r="H8" s="26">
        <f>TOTALES!$H$8-SEPARADOS!$H$8</f>
        <v>0</v>
      </c>
      <c r="I8" s="26" t="s">
        <v>1</v>
      </c>
      <c r="J8" s="26">
        <f>TOTALES!$J$8-SEPARADOS!$J$8</f>
        <v>0</v>
      </c>
      <c r="K8" s="26">
        <v>34</v>
      </c>
      <c r="L8" s="26">
        <f>TOTALES!$L$8-SEPARADOS!$L$8</f>
        <v>0</v>
      </c>
    </row>
    <row r="9" spans="1:16" x14ac:dyDescent="0.25">
      <c r="A9" s="26">
        <v>42</v>
      </c>
      <c r="B9" s="26">
        <f>TOTALES!$B$9-SEPARADOS!$B$9</f>
        <v>2</v>
      </c>
      <c r="C9" s="26" t="s">
        <v>0</v>
      </c>
      <c r="D9" s="26">
        <f>TOTALES!$D$9-SEPARADOS!$D$9</f>
        <v>2</v>
      </c>
      <c r="E9" s="26">
        <v>55</v>
      </c>
      <c r="F9" s="26">
        <f>TOTALES!$F$9-SEPARADOS!$F$9</f>
        <v>0</v>
      </c>
      <c r="G9" s="26">
        <v>42</v>
      </c>
      <c r="H9" s="26">
        <f>TOTALES!$H$9-SEPARADOS!$H$9</f>
        <v>3</v>
      </c>
      <c r="I9" s="26" t="s">
        <v>0</v>
      </c>
      <c r="J9" s="26">
        <f>TOTALES!$J$9-SEPARADOS!$J$9</f>
        <v>0</v>
      </c>
      <c r="K9" s="26">
        <v>35</v>
      </c>
      <c r="L9" s="26">
        <f>TOTALES!$L$9-SEPARADOS!$L$9</f>
        <v>0</v>
      </c>
    </row>
    <row r="10" spans="1:16" x14ac:dyDescent="0.25">
      <c r="A10" s="26">
        <v>44</v>
      </c>
      <c r="B10" s="26">
        <f>TOTALES!$B$10-SEPARADOS!$B$10</f>
        <v>2</v>
      </c>
      <c r="C10" s="26" t="s">
        <v>2</v>
      </c>
      <c r="D10" s="26">
        <f>TOTALES!$D$10-SEPARADOS!$D$10</f>
        <v>2</v>
      </c>
      <c r="E10" s="26">
        <v>56</v>
      </c>
      <c r="F10" s="26">
        <f>TOTALES!$F$10-SEPARADOS!$F$10</f>
        <v>2</v>
      </c>
      <c r="G10" s="26">
        <v>44</v>
      </c>
      <c r="H10" s="26">
        <f>TOTALES!$H$10-SEPARADOS!$H$10</f>
        <v>0</v>
      </c>
      <c r="I10" s="26" t="s">
        <v>2</v>
      </c>
      <c r="J10" s="26">
        <f>TOTALES!$J$10-SEPARADOS!$J$10</f>
        <v>0</v>
      </c>
      <c r="K10" s="26">
        <v>36</v>
      </c>
      <c r="L10" s="26">
        <f>TOTALES!$L$10-SEPARADOS!$L$10</f>
        <v>0</v>
      </c>
    </row>
    <row r="11" spans="1:16" x14ac:dyDescent="0.25">
      <c r="A11" s="26">
        <v>46</v>
      </c>
      <c r="B11" s="26">
        <f>TOTALES!$B$11-SEPARADOS!$B$11</f>
        <v>0</v>
      </c>
      <c r="C11" s="26" t="s">
        <v>5</v>
      </c>
      <c r="D11" s="26">
        <f>TOTALES!$D$11-SEPARADOS!$D$11</f>
        <v>2</v>
      </c>
      <c r="E11" s="26">
        <v>57</v>
      </c>
      <c r="F11" s="26">
        <f>TOTALES!$F$11-SEPARADOS!$F$11</f>
        <v>2</v>
      </c>
      <c r="G11" s="26">
        <v>46</v>
      </c>
      <c r="H11" s="26">
        <f>TOTALES!$H$11-SEPARADOS!$H$11</f>
        <v>1</v>
      </c>
      <c r="I11" s="26" t="s">
        <v>5</v>
      </c>
      <c r="J11" s="26">
        <f>TOTALES!$J$11-SEPARADOS!$J$11</f>
        <v>0</v>
      </c>
      <c r="K11" s="26">
        <v>37</v>
      </c>
      <c r="L11" s="26">
        <f>TOTALES!$L$11-SEPARADOS!$L$11</f>
        <v>0</v>
      </c>
    </row>
    <row r="12" spans="1:16" x14ac:dyDescent="0.25">
      <c r="A12" s="26">
        <v>48</v>
      </c>
      <c r="B12" s="26">
        <f>TOTALES!$B$12-SEPARADOS!$B$12</f>
        <v>0</v>
      </c>
      <c r="C12" s="26" t="s">
        <v>36</v>
      </c>
      <c r="D12" s="26">
        <f>TOTALES!$D$12-SEPARADOS!$D$12</f>
        <v>0</v>
      </c>
      <c r="E12" s="26">
        <v>58</v>
      </c>
      <c r="F12" s="26">
        <f>TOTALES!$F$12-SEPARADOS!$F$12</f>
        <v>2</v>
      </c>
      <c r="G12" s="26">
        <v>48</v>
      </c>
      <c r="H12" s="26">
        <f>TOTALES!$H$12-SEPARADOS!$H$12</f>
        <v>0</v>
      </c>
      <c r="I12" s="26" t="s">
        <v>36</v>
      </c>
      <c r="J12" s="26">
        <f>TOTALES!$J$12-SEPARADOS!$J$12</f>
        <v>0</v>
      </c>
      <c r="K12" s="26">
        <v>38</v>
      </c>
      <c r="L12" s="26">
        <f>TOTALES!$L$12-SEPARADOS!$L$12</f>
        <v>0</v>
      </c>
    </row>
    <row r="13" spans="1:16" x14ac:dyDescent="0.25">
      <c r="A13" s="26">
        <v>50</v>
      </c>
      <c r="B13" s="26">
        <f>TOTALES!$B$13-SEPARADOS!$B$13</f>
        <v>0</v>
      </c>
      <c r="C13" s="26" t="s">
        <v>37</v>
      </c>
      <c r="D13" s="26">
        <f>TOTALES!$D$13-SEPARADOS!$D$13</f>
        <v>0</v>
      </c>
      <c r="E13" s="26">
        <v>59</v>
      </c>
      <c r="F13" s="26">
        <f>TOTALES!$F$13-SEPARADOS!$F$13</f>
        <v>0</v>
      </c>
      <c r="G13" s="26">
        <v>50</v>
      </c>
      <c r="H13" s="26">
        <f>TOTALES!$H$13-SEPARADOS!$H$13</f>
        <v>0</v>
      </c>
      <c r="I13" s="26" t="s">
        <v>37</v>
      </c>
      <c r="J13" s="26">
        <f>TOTALES!$J$13-SEPARADOS!$J$13</f>
        <v>0</v>
      </c>
      <c r="K13" s="26">
        <v>39</v>
      </c>
      <c r="L13" s="26">
        <f>TOTALES!$L$13-SEPARADOS!$L$13</f>
        <v>0</v>
      </c>
    </row>
    <row r="14" spans="1:16" x14ac:dyDescent="0.25">
      <c r="A14" s="26">
        <v>52</v>
      </c>
      <c r="B14" s="26">
        <f>TOTALES!$B$14-SEPARADOS!$B$14</f>
        <v>0</v>
      </c>
      <c r="C14" s="26" t="s">
        <v>38</v>
      </c>
      <c r="D14" s="26">
        <f>TOTALES!$D$14-SEPARADOS!$D$14</f>
        <v>0</v>
      </c>
      <c r="E14" s="26">
        <v>60</v>
      </c>
      <c r="F14" s="26">
        <f>TOTALES!$F$14-SEPARADOS!$F$14</f>
        <v>0</v>
      </c>
      <c r="G14" s="26">
        <v>52</v>
      </c>
      <c r="H14" s="26">
        <f>TOTALES!$H$14-SEPARADOS!$H$14</f>
        <v>0</v>
      </c>
      <c r="I14" s="26" t="s">
        <v>38</v>
      </c>
      <c r="J14" s="26">
        <f>TOTALES!$J$14-SEPARADOS!$J$14</f>
        <v>0</v>
      </c>
      <c r="K14" s="26">
        <v>40</v>
      </c>
      <c r="L14" s="26">
        <f>TOTALES!$L$14-SEPARADOS!$L$14</f>
        <v>0</v>
      </c>
    </row>
    <row r="15" spans="1:16" x14ac:dyDescent="0.25">
      <c r="A15" s="26">
        <v>54</v>
      </c>
      <c r="B15" s="26">
        <f>TOTALES!$B$15-SEPARADOS!$B$15</f>
        <v>0</v>
      </c>
      <c r="C15" s="26" t="s">
        <v>39</v>
      </c>
      <c r="D15" s="26">
        <f>TOTALES!$D$15-SEPARADOS!$D$15</f>
        <v>0</v>
      </c>
      <c r="E15" s="26">
        <v>61</v>
      </c>
      <c r="F15" s="26">
        <f>TOTALES!$F$15-SEPARADOS!$F$15</f>
        <v>0</v>
      </c>
      <c r="G15" s="26">
        <v>54</v>
      </c>
      <c r="H15" s="26">
        <f>TOTALES!$H$15-SEPARADOS!$H$15</f>
        <v>0</v>
      </c>
      <c r="I15" s="26" t="s">
        <v>39</v>
      </c>
      <c r="J15" s="26">
        <f>TOTALES!$J$15-SEPARADOS!$J$15</f>
        <v>0</v>
      </c>
      <c r="K15" s="26">
        <v>41</v>
      </c>
      <c r="L15" s="26">
        <f>TOTALES!$L$15-SEPARADOS!$L$15</f>
        <v>2</v>
      </c>
    </row>
    <row r="16" spans="1:16" x14ac:dyDescent="0.25">
      <c r="A16" s="26">
        <v>56</v>
      </c>
      <c r="B16" s="26">
        <f>TOTALES!$B$16-SEPARADOS!$B$16</f>
        <v>0</v>
      </c>
      <c r="C16" s="24" t="s">
        <v>34</v>
      </c>
      <c r="D16" s="25">
        <f>SUM($D$4:$D$15)</f>
        <v>7</v>
      </c>
      <c r="E16" s="26">
        <v>62</v>
      </c>
      <c r="F16" s="26">
        <f>TOTALES!$F$16-SEPARADOS!$F$16</f>
        <v>0</v>
      </c>
      <c r="G16" s="26">
        <v>56</v>
      </c>
      <c r="H16" s="26">
        <f>TOTALES!$H$16-SEPARADOS!$H$16</f>
        <v>0</v>
      </c>
      <c r="I16" s="24" t="s">
        <v>34</v>
      </c>
      <c r="J16" s="25">
        <f>SUM($J$4:$J$15)</f>
        <v>0</v>
      </c>
      <c r="K16" s="26">
        <v>42</v>
      </c>
      <c r="L16" s="26">
        <f>TOTALES!$L$16-SEPARADOS!$L$16</f>
        <v>4</v>
      </c>
    </row>
    <row r="17" spans="1:12" x14ac:dyDescent="0.25">
      <c r="A17" s="26">
        <v>58</v>
      </c>
      <c r="B17" s="26">
        <f>TOTALES!$B$17-SEPARADOS!$B$17</f>
        <v>0</v>
      </c>
      <c r="E17" s="26">
        <v>63</v>
      </c>
      <c r="F17" s="26">
        <f>TOTALES!$F$17-SEPARADOS!$F$17</f>
        <v>0</v>
      </c>
      <c r="G17" s="26">
        <v>58</v>
      </c>
      <c r="H17" s="26">
        <f>TOTALES!$H$17-SEPARADOS!$H$17</f>
        <v>0</v>
      </c>
      <c r="K17" s="26">
        <v>43</v>
      </c>
      <c r="L17" s="26">
        <f>TOTALES!$L$17-SEPARADOS!$L$17</f>
        <v>0</v>
      </c>
    </row>
    <row r="18" spans="1:12" x14ac:dyDescent="0.25">
      <c r="A18" s="26">
        <v>60</v>
      </c>
      <c r="B18" s="26">
        <f>TOTALES!$B$18-SEPARADOS!$B$18</f>
        <v>0</v>
      </c>
      <c r="E18" s="26">
        <v>64</v>
      </c>
      <c r="F18" s="26">
        <f>TOTALES!$F$18-SEPARADOS!$F$18</f>
        <v>0</v>
      </c>
      <c r="G18" s="26">
        <v>60</v>
      </c>
      <c r="H18" s="26">
        <f>TOTALES!$H$18-SEPARADOS!$H$18</f>
        <v>0</v>
      </c>
      <c r="K18" s="26">
        <v>44</v>
      </c>
      <c r="L18" s="26">
        <f>TOTALES!$L$18-SEPARADOS!$L$18</f>
        <v>0</v>
      </c>
    </row>
    <row r="19" spans="1:12" x14ac:dyDescent="0.25">
      <c r="A19" s="26">
        <v>62</v>
      </c>
      <c r="B19" s="26">
        <f>TOTALES!$B$19-SEPARADOS!$B$19</f>
        <v>0</v>
      </c>
      <c r="E19" s="26">
        <v>65</v>
      </c>
      <c r="F19" s="26">
        <f>TOTALES!$F$19-SEPARADOS!$F$19</f>
        <v>0</v>
      </c>
      <c r="G19" s="26">
        <v>62</v>
      </c>
      <c r="H19" s="26">
        <f>TOTALES!$H$19-SEPARADOS!$H$19</f>
        <v>0</v>
      </c>
      <c r="K19" s="26">
        <v>45</v>
      </c>
      <c r="L19" s="26">
        <f>TOTALES!$L$19-SEPARADOS!$L$19</f>
        <v>0</v>
      </c>
    </row>
    <row r="20" spans="1:12" x14ac:dyDescent="0.25">
      <c r="A20" s="26">
        <v>64</v>
      </c>
      <c r="B20" s="26">
        <f>TOTALES!$B$20-SEPARADOS!$B$20</f>
        <v>0</v>
      </c>
      <c r="E20" s="26">
        <v>66</v>
      </c>
      <c r="F20" s="26">
        <f>TOTALES!$F$20-SEPARADOS!$F$20</f>
        <v>0</v>
      </c>
      <c r="G20" s="26">
        <v>64</v>
      </c>
      <c r="H20" s="26">
        <f>TOTALES!$H$20-SEPARADOS!$H$20</f>
        <v>0</v>
      </c>
      <c r="K20" s="26">
        <v>46</v>
      </c>
      <c r="L20" s="26">
        <f>TOTALES!$L$20-SEPARADOS!$L$20</f>
        <v>0</v>
      </c>
    </row>
    <row r="21" spans="1:12" x14ac:dyDescent="0.25">
      <c r="A21" s="26">
        <v>66</v>
      </c>
      <c r="B21" s="26">
        <f>TOTALES!$B$21-SEPARADOS!$B$21</f>
        <v>0</v>
      </c>
      <c r="E21" s="26">
        <v>67</v>
      </c>
      <c r="F21" s="26">
        <f>TOTALES!$F$21-SEPARADOS!$F$21</f>
        <v>0</v>
      </c>
      <c r="G21" s="26">
        <v>66</v>
      </c>
      <c r="H21" s="26">
        <f>TOTALES!$H$21-SEPARADOS!$H$21</f>
        <v>0</v>
      </c>
      <c r="K21" s="26">
        <v>47</v>
      </c>
      <c r="L21" s="26">
        <f>TOTALES!$L$21-SEPARADOS!$L$21</f>
        <v>0</v>
      </c>
    </row>
    <row r="22" spans="1:12" x14ac:dyDescent="0.25">
      <c r="A22" s="24" t="s">
        <v>34</v>
      </c>
      <c r="B22" s="25">
        <f>SUM($B$4:$B$21)</f>
        <v>4</v>
      </c>
      <c r="E22" s="26">
        <v>68</v>
      </c>
      <c r="F22" s="26">
        <f>TOTALES!$F$22-SEPARADOS!$F$22</f>
        <v>0</v>
      </c>
      <c r="G22" s="24" t="s">
        <v>34</v>
      </c>
      <c r="H22" s="25">
        <f>SUM($H$4:$H$21)</f>
        <v>4</v>
      </c>
      <c r="K22" s="26">
        <v>48</v>
      </c>
      <c r="L22" s="26">
        <f>TOTALES!$L$22-SEPARADOS!$L$22</f>
        <v>0</v>
      </c>
    </row>
    <row r="23" spans="1:12" x14ac:dyDescent="0.25">
      <c r="E23" s="26">
        <v>69</v>
      </c>
      <c r="F23" s="26">
        <f>TOTALES!$F$23-SEPARADOS!$F$23</f>
        <v>0</v>
      </c>
      <c r="K23" s="26">
        <v>49</v>
      </c>
      <c r="L23" s="26">
        <f>TOTALES!$L$23-SEPARADOS!$L$23</f>
        <v>0</v>
      </c>
    </row>
    <row r="24" spans="1:12" x14ac:dyDescent="0.25">
      <c r="E24" s="26">
        <v>70</v>
      </c>
      <c r="F24" s="26">
        <f>TOTALES!$F$24-SEPARADOS!$F$24</f>
        <v>0</v>
      </c>
      <c r="K24" s="26">
        <v>50</v>
      </c>
      <c r="L24" s="26">
        <f>TOTALES!$L$24-SEPARADOS!$L$24</f>
        <v>0</v>
      </c>
    </row>
    <row r="25" spans="1:12" x14ac:dyDescent="0.25">
      <c r="E25" s="24" t="s">
        <v>34</v>
      </c>
      <c r="F25" s="25">
        <f>SUM($F$4:$F$24)</f>
        <v>6</v>
      </c>
      <c r="K25" s="26">
        <v>51</v>
      </c>
      <c r="L25" s="26">
        <f>TOTALES!$L$25-SEPARADOS!$L$25</f>
        <v>0</v>
      </c>
    </row>
    <row r="26" spans="1:12" x14ac:dyDescent="0.25">
      <c r="K26" s="26">
        <v>52</v>
      </c>
      <c r="L26" s="26">
        <f>TOTALES!$L$26-SEPARADOS!$L$26</f>
        <v>0</v>
      </c>
    </row>
    <row r="27" spans="1:12" x14ac:dyDescent="0.25">
      <c r="K27" s="26">
        <v>53</v>
      </c>
      <c r="L27" s="26">
        <f>TOTALES!$L$27-SEPARADOS!$L$27</f>
        <v>0</v>
      </c>
    </row>
    <row r="28" spans="1:12" x14ac:dyDescent="0.25">
      <c r="K28" s="26">
        <v>54</v>
      </c>
      <c r="L28" s="26">
        <f>TOTALES!$L$28-SEPARADOS!$L$28</f>
        <v>0</v>
      </c>
    </row>
    <row r="29" spans="1:12" x14ac:dyDescent="0.25">
      <c r="K29" s="26">
        <v>55</v>
      </c>
      <c r="L29" s="26">
        <f>TOTALES!$L$29-SEPARADOS!$L$29</f>
        <v>0</v>
      </c>
    </row>
    <row r="30" spans="1:12" x14ac:dyDescent="0.25">
      <c r="K30" s="24" t="s">
        <v>34</v>
      </c>
      <c r="L30" s="25">
        <f>SUM($L$4:$L$29)</f>
        <v>6</v>
      </c>
    </row>
  </sheetData>
  <mergeCells count="9">
    <mergeCell ref="K2:L2"/>
    <mergeCell ref="M2:N2"/>
    <mergeCell ref="O2:P2"/>
    <mergeCell ref="A1:D1"/>
    <mergeCell ref="A2:B2"/>
    <mergeCell ref="C2:D2"/>
    <mergeCell ref="E2:F2"/>
    <mergeCell ref="G2:H2"/>
    <mergeCell ref="I2:J2"/>
  </mergeCells>
  <hyperlinks>
    <hyperlink ref="A1" location="'PLANILLA'!A1" tooltip="Ir a PLANILLA." display="'PLANILLA'!A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2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25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TOTALES!$B$4</f>
        <v>0</v>
      </c>
      <c r="C4" s="26">
        <f>SEPARADOS!$B$4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TOTALES!$B$5</f>
        <v>1</v>
      </c>
      <c r="C5" s="26">
        <f>SEPARADOS!$B$5</f>
        <v>1</v>
      </c>
      <c r="D5" s="26">
        <f t="shared" si="0"/>
        <v>0</v>
      </c>
    </row>
    <row r="6" spans="1:4" x14ac:dyDescent="0.25">
      <c r="A6" s="26">
        <v>36</v>
      </c>
      <c r="B6" s="26">
        <f>TOTALES!$B$6</f>
        <v>0</v>
      </c>
      <c r="C6" s="26">
        <f>SEPARADOS!$B$6</f>
        <v>0</v>
      </c>
      <c r="D6" s="26">
        <f t="shared" si="0"/>
        <v>0</v>
      </c>
    </row>
    <row r="7" spans="1:4" x14ac:dyDescent="0.25">
      <c r="A7" s="26">
        <v>38</v>
      </c>
      <c r="B7" s="26">
        <f>TOTALES!$B$7</f>
        <v>2</v>
      </c>
      <c r="C7" s="26">
        <f>SEPARADOS!$B$7</f>
        <v>2</v>
      </c>
      <c r="D7" s="26">
        <f t="shared" si="0"/>
        <v>0</v>
      </c>
    </row>
    <row r="8" spans="1:4" x14ac:dyDescent="0.25">
      <c r="A8" s="26">
        <v>40</v>
      </c>
      <c r="B8" s="26">
        <f>TOTALES!$B$8</f>
        <v>1</v>
      </c>
      <c r="C8" s="26">
        <f>SEPARADOS!$B$8</f>
        <v>1</v>
      </c>
      <c r="D8" s="26">
        <f t="shared" si="0"/>
        <v>0</v>
      </c>
    </row>
    <row r="9" spans="1:4" x14ac:dyDescent="0.25">
      <c r="A9" s="26">
        <v>42</v>
      </c>
      <c r="B9" s="26">
        <f>TOTALES!$B$9</f>
        <v>3</v>
      </c>
      <c r="C9" s="26">
        <f>SEPARADOS!$B$9</f>
        <v>1</v>
      </c>
      <c r="D9" s="26">
        <f t="shared" si="0"/>
        <v>2</v>
      </c>
    </row>
    <row r="10" spans="1:4" x14ac:dyDescent="0.25">
      <c r="A10" s="26">
        <v>44</v>
      </c>
      <c r="B10" s="26">
        <f>TOTALES!$B$10</f>
        <v>3</v>
      </c>
      <c r="C10" s="26">
        <f>SEPARADOS!$B$10</f>
        <v>1</v>
      </c>
      <c r="D10" s="26">
        <f t="shared" si="0"/>
        <v>2</v>
      </c>
    </row>
    <row r="11" spans="1:4" x14ac:dyDescent="0.25">
      <c r="A11" s="26">
        <v>46</v>
      </c>
      <c r="B11" s="26">
        <f>TOTALES!$B$11</f>
        <v>0</v>
      </c>
      <c r="C11" s="26">
        <f>SEPARADOS!$B$11</f>
        <v>0</v>
      </c>
      <c r="D11" s="26">
        <f t="shared" si="0"/>
        <v>0</v>
      </c>
    </row>
    <row r="12" spans="1:4" x14ac:dyDescent="0.25">
      <c r="A12" s="26">
        <v>48</v>
      </c>
      <c r="B12" s="26">
        <f>TOTALES!$B$12</f>
        <v>0</v>
      </c>
      <c r="C12" s="26">
        <f>SEPARADOS!$B$12</f>
        <v>0</v>
      </c>
      <c r="D12" s="26">
        <f t="shared" si="0"/>
        <v>0</v>
      </c>
    </row>
    <row r="13" spans="1:4" x14ac:dyDescent="0.25">
      <c r="A13" s="26">
        <v>50</v>
      </c>
      <c r="B13" s="26">
        <f>TOTALES!$B$13</f>
        <v>0</v>
      </c>
      <c r="C13" s="26">
        <f>SEPARADOS!$B$13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TOTALES!$B$14</f>
        <v>0</v>
      </c>
      <c r="C14" s="26">
        <f>SEPARADOS!$B$14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TOTALES!$B$15</f>
        <v>0</v>
      </c>
      <c r="C15" s="26">
        <f>SEPARADOS!$B$15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TOTALES!$B$16</f>
        <v>0</v>
      </c>
      <c r="C16" s="26">
        <f>SEPARADOS!$B$16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TOTALES!$B$17</f>
        <v>0</v>
      </c>
      <c r="C17" s="26">
        <f>SEPARADOS!$B$17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TOTALES!$B$18</f>
        <v>0</v>
      </c>
      <c r="C18" s="26">
        <f>SEPARADOS!$B$18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TOTALES!$B$19</f>
        <v>0</v>
      </c>
      <c r="C19" s="26">
        <f>SEPARADOS!$B$19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TOTALES!$B$20</f>
        <v>0</v>
      </c>
      <c r="C20" s="26">
        <f>SEPARADOS!$B$20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TOTALES!$B$21</f>
        <v>0</v>
      </c>
      <c r="C21" s="26">
        <f>SEPARADOS!$B$21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E$2" tooltip="Ir a CAMISA MC en PLANILLA." display="'PLANILLA'!$E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9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TOTALES!$D$4</f>
        <v>0</v>
      </c>
      <c r="C4" s="26">
        <f>SEPARADOS!$D$4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TOTALES!$D$5</f>
        <v>1</v>
      </c>
      <c r="C5" s="26">
        <f>SEPARADOS!$D$5</f>
        <v>0</v>
      </c>
      <c r="D5" s="26">
        <f t="shared" si="0"/>
        <v>1</v>
      </c>
    </row>
    <row r="6" spans="1:4" x14ac:dyDescent="0.25">
      <c r="A6" s="26" t="s">
        <v>4</v>
      </c>
      <c r="B6" s="26">
        <f>TOTALES!$D$6</f>
        <v>0</v>
      </c>
      <c r="C6" s="26">
        <f>SEPARADOS!$D$6</f>
        <v>0</v>
      </c>
      <c r="D6" s="26">
        <f t="shared" si="0"/>
        <v>0</v>
      </c>
    </row>
    <row r="7" spans="1:4" x14ac:dyDescent="0.25">
      <c r="A7" s="26" t="s">
        <v>3</v>
      </c>
      <c r="B7" s="26">
        <f>TOTALES!$D$7</f>
        <v>1</v>
      </c>
      <c r="C7" s="26">
        <f>SEPARADOS!$D$7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TOTALES!$D$8</f>
        <v>2</v>
      </c>
      <c r="C8" s="26">
        <f>SEPARADOS!$D$8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TOTALES!$D$9</f>
        <v>2</v>
      </c>
      <c r="C9" s="26">
        <f>SEPARADOS!$D$9</f>
        <v>0</v>
      </c>
      <c r="D9" s="26">
        <f t="shared" si="0"/>
        <v>2</v>
      </c>
    </row>
    <row r="10" spans="1:4" x14ac:dyDescent="0.25">
      <c r="A10" s="26" t="s">
        <v>2</v>
      </c>
      <c r="B10" s="26">
        <f>TOTALES!$D$10</f>
        <v>2</v>
      </c>
      <c r="C10" s="26">
        <f>SEPARADOS!$D$10</f>
        <v>0</v>
      </c>
      <c r="D10" s="26">
        <f t="shared" si="0"/>
        <v>2</v>
      </c>
    </row>
    <row r="11" spans="1:4" x14ac:dyDescent="0.25">
      <c r="A11" s="26" t="s">
        <v>5</v>
      </c>
      <c r="B11" s="26">
        <f>TOTALES!$D$11</f>
        <v>2</v>
      </c>
      <c r="C11" s="26">
        <f>SEPARADOS!$D$11</f>
        <v>0</v>
      </c>
      <c r="D11" s="26">
        <f t="shared" si="0"/>
        <v>2</v>
      </c>
    </row>
    <row r="12" spans="1:4" x14ac:dyDescent="0.25">
      <c r="A12" s="26" t="s">
        <v>36</v>
      </c>
      <c r="B12" s="26">
        <f>TOTALES!$D$12</f>
        <v>0</v>
      </c>
      <c r="C12" s="26">
        <f>SEPARADOS!$D$12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TOTALES!$D$13</f>
        <v>0</v>
      </c>
      <c r="C13" s="26">
        <f>SEPARADOS!$D$13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TOTALES!$D$14</f>
        <v>0</v>
      </c>
      <c r="C14" s="26">
        <f>SEPARADOS!$D$14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TOTALES!$D$15</f>
        <v>0</v>
      </c>
      <c r="C15" s="26">
        <f>SEPARADOS!$D$15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3</v>
      </c>
      <c r="D16" s="28">
        <f>SUM(D4:D15)</f>
        <v>7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F$2" tooltip="Ir a CAMPERA en PLANILLA." display="'PLANILLA'!$F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29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50</v>
      </c>
      <c r="B4" s="26">
        <f>TOTALES!$F$4</f>
        <v>0</v>
      </c>
      <c r="C4" s="26">
        <f>SEPARADOS!$F$4</f>
        <v>0</v>
      </c>
      <c r="D4" s="26">
        <f t="shared" ref="D4:D24" si="0">B4-C4</f>
        <v>0</v>
      </c>
    </row>
    <row r="5" spans="1:4" x14ac:dyDescent="0.25">
      <c r="A5" s="26">
        <v>51</v>
      </c>
      <c r="B5" s="26">
        <f>TOTALES!$F$5</f>
        <v>0</v>
      </c>
      <c r="C5" s="26">
        <f>SEPARADOS!$F$5</f>
        <v>0</v>
      </c>
      <c r="D5" s="26">
        <f t="shared" si="0"/>
        <v>0</v>
      </c>
    </row>
    <row r="6" spans="1:4" x14ac:dyDescent="0.25">
      <c r="A6" s="26">
        <v>52</v>
      </c>
      <c r="B6" s="26">
        <f>TOTALES!$F$6</f>
        <v>0</v>
      </c>
      <c r="C6" s="26">
        <f>SEPARADOS!$F$6</f>
        <v>0</v>
      </c>
      <c r="D6" s="26">
        <f t="shared" si="0"/>
        <v>0</v>
      </c>
    </row>
    <row r="7" spans="1:4" x14ac:dyDescent="0.25">
      <c r="A7" s="26">
        <v>53</v>
      </c>
      <c r="B7" s="26">
        <f>TOTALES!$F$7</f>
        <v>0</v>
      </c>
      <c r="C7" s="26">
        <f>SEPARADOS!$F$7</f>
        <v>0</v>
      </c>
      <c r="D7" s="26">
        <f t="shared" si="0"/>
        <v>0</v>
      </c>
    </row>
    <row r="8" spans="1:4" x14ac:dyDescent="0.25">
      <c r="A8" s="26">
        <v>54</v>
      </c>
      <c r="B8" s="26">
        <f>TOTALES!$F$8</f>
        <v>0</v>
      </c>
      <c r="C8" s="26">
        <f>SEPARADOS!$F$8</f>
        <v>0</v>
      </c>
      <c r="D8" s="26">
        <f t="shared" si="0"/>
        <v>0</v>
      </c>
    </row>
    <row r="9" spans="1:4" x14ac:dyDescent="0.25">
      <c r="A9" s="26">
        <v>55</v>
      </c>
      <c r="B9" s="26">
        <f>TOTALES!$F$9</f>
        <v>0</v>
      </c>
      <c r="C9" s="26">
        <f>SEPARADOS!$F$9</f>
        <v>0</v>
      </c>
      <c r="D9" s="26">
        <f t="shared" si="0"/>
        <v>0</v>
      </c>
    </row>
    <row r="10" spans="1:4" x14ac:dyDescent="0.25">
      <c r="A10" s="26">
        <v>56</v>
      </c>
      <c r="B10" s="26">
        <f>TOTALES!$F$10</f>
        <v>3</v>
      </c>
      <c r="C10" s="26">
        <f>SEPARADOS!$F$10</f>
        <v>1</v>
      </c>
      <c r="D10" s="26">
        <f t="shared" si="0"/>
        <v>2</v>
      </c>
    </row>
    <row r="11" spans="1:4" x14ac:dyDescent="0.25">
      <c r="A11" s="26">
        <v>57</v>
      </c>
      <c r="B11" s="26">
        <f>TOTALES!$F$11</f>
        <v>2</v>
      </c>
      <c r="C11" s="26">
        <f>SEPARADOS!$F$11</f>
        <v>0</v>
      </c>
      <c r="D11" s="26">
        <f t="shared" si="0"/>
        <v>2</v>
      </c>
    </row>
    <row r="12" spans="1:4" x14ac:dyDescent="0.25">
      <c r="A12" s="26">
        <v>58</v>
      </c>
      <c r="B12" s="26">
        <f>TOTALES!$F$12</f>
        <v>2</v>
      </c>
      <c r="C12" s="26">
        <f>SEPARADOS!$F$12</f>
        <v>0</v>
      </c>
      <c r="D12" s="26">
        <f t="shared" si="0"/>
        <v>2</v>
      </c>
    </row>
    <row r="13" spans="1:4" x14ac:dyDescent="0.25">
      <c r="A13" s="26">
        <v>59</v>
      </c>
      <c r="B13" s="26">
        <f>TOTALES!$F$13</f>
        <v>3</v>
      </c>
      <c r="C13" s="26">
        <f>SEPARADOS!$F$13</f>
        <v>3</v>
      </c>
      <c r="D13" s="26">
        <f t="shared" si="0"/>
        <v>0</v>
      </c>
    </row>
    <row r="14" spans="1:4" x14ac:dyDescent="0.25">
      <c r="A14" s="26">
        <v>60</v>
      </c>
      <c r="B14" s="26">
        <f>TOTALES!$F$14</f>
        <v>0</v>
      </c>
      <c r="C14" s="26">
        <f>SEPARADOS!$F$14</f>
        <v>0</v>
      </c>
      <c r="D14" s="26">
        <f t="shared" si="0"/>
        <v>0</v>
      </c>
    </row>
    <row r="15" spans="1:4" x14ac:dyDescent="0.25">
      <c r="A15" s="26">
        <v>61</v>
      </c>
      <c r="B15" s="26">
        <f>TOTALES!$F$15</f>
        <v>0</v>
      </c>
      <c r="C15" s="26">
        <f>SEPARADOS!$F$15</f>
        <v>0</v>
      </c>
      <c r="D15" s="26">
        <f t="shared" si="0"/>
        <v>0</v>
      </c>
    </row>
    <row r="16" spans="1:4" x14ac:dyDescent="0.25">
      <c r="A16" s="26">
        <v>62</v>
      </c>
      <c r="B16" s="26">
        <f>TOTALES!$F$16</f>
        <v>0</v>
      </c>
      <c r="C16" s="26">
        <f>SEPARADOS!$F$16</f>
        <v>0</v>
      </c>
      <c r="D16" s="26">
        <f t="shared" si="0"/>
        <v>0</v>
      </c>
    </row>
    <row r="17" spans="1:4" x14ac:dyDescent="0.25">
      <c r="A17" s="26">
        <v>63</v>
      </c>
      <c r="B17" s="26">
        <f>TOTALES!$F$17</f>
        <v>0</v>
      </c>
      <c r="C17" s="26">
        <f>SEPARADOS!$F$17</f>
        <v>0</v>
      </c>
      <c r="D17" s="26">
        <f t="shared" si="0"/>
        <v>0</v>
      </c>
    </row>
    <row r="18" spans="1:4" x14ac:dyDescent="0.25">
      <c r="A18" s="26">
        <v>64</v>
      </c>
      <c r="B18" s="26">
        <f>TOTALES!$F$18</f>
        <v>0</v>
      </c>
      <c r="C18" s="26">
        <f>SEPARADOS!$F$18</f>
        <v>0</v>
      </c>
      <c r="D18" s="26">
        <f t="shared" si="0"/>
        <v>0</v>
      </c>
    </row>
    <row r="19" spans="1:4" x14ac:dyDescent="0.25">
      <c r="A19" s="26">
        <v>65</v>
      </c>
      <c r="B19" s="26">
        <f>TOTALES!$F$19</f>
        <v>0</v>
      </c>
      <c r="C19" s="26">
        <f>SEPARADOS!$F$19</f>
        <v>0</v>
      </c>
      <c r="D19" s="26">
        <f t="shared" si="0"/>
        <v>0</v>
      </c>
    </row>
    <row r="20" spans="1:4" x14ac:dyDescent="0.25">
      <c r="A20" s="26">
        <v>66</v>
      </c>
      <c r="B20" s="26">
        <f>TOTALES!$F$20</f>
        <v>0</v>
      </c>
      <c r="C20" s="26">
        <f>SEPARADOS!$F$20</f>
        <v>0</v>
      </c>
      <c r="D20" s="26">
        <f t="shared" si="0"/>
        <v>0</v>
      </c>
    </row>
    <row r="21" spans="1:4" x14ac:dyDescent="0.25">
      <c r="A21" s="26">
        <v>67</v>
      </c>
      <c r="B21" s="26">
        <f>TOTALES!$F$21</f>
        <v>0</v>
      </c>
      <c r="C21" s="26">
        <f>SEPARADOS!$F$21</f>
        <v>0</v>
      </c>
      <c r="D21" s="26">
        <f t="shared" si="0"/>
        <v>0</v>
      </c>
    </row>
    <row r="22" spans="1:4" x14ac:dyDescent="0.25">
      <c r="A22" s="26">
        <v>68</v>
      </c>
      <c r="B22" s="26">
        <f>TOTALES!$F$22</f>
        <v>0</v>
      </c>
      <c r="C22" s="26">
        <f>SEPARADOS!$F$22</f>
        <v>0</v>
      </c>
      <c r="D22" s="26">
        <f t="shared" si="0"/>
        <v>0</v>
      </c>
    </row>
    <row r="23" spans="1:4" x14ac:dyDescent="0.25">
      <c r="A23" s="26">
        <v>69</v>
      </c>
      <c r="B23" s="26">
        <f>TOTALES!$F$23</f>
        <v>0</v>
      </c>
      <c r="C23" s="26">
        <f>SEPARADOS!$F$23</f>
        <v>0</v>
      </c>
      <c r="D23" s="26">
        <f t="shared" si="0"/>
        <v>0</v>
      </c>
    </row>
    <row r="24" spans="1:4" x14ac:dyDescent="0.25">
      <c r="A24" s="26">
        <v>70</v>
      </c>
      <c r="B24" s="26">
        <f>TOTALES!$F$24</f>
        <v>0</v>
      </c>
      <c r="C24" s="26">
        <f>SEPARADOS!$F$24</f>
        <v>0</v>
      </c>
      <c r="D24" s="26">
        <f t="shared" si="0"/>
        <v>0</v>
      </c>
    </row>
    <row r="25" spans="1:4" ht="21" x14ac:dyDescent="0.35">
      <c r="A25" s="28" t="s">
        <v>31</v>
      </c>
      <c r="B25" s="28">
        <f>SUM(B4:B24)</f>
        <v>10</v>
      </c>
      <c r="C25" s="28">
        <f>SUM(C4:C24)</f>
        <v>4</v>
      </c>
      <c r="D25" s="28">
        <f>SUM(D4:D24)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G$2" tooltip="Ir a GORRA SAL en PLANILLA." display="'PLANILLA'!$G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D22"/>
  <sheetViews>
    <sheetView workbookViewId="0">
      <selection activeCell="D3" sqref="D3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8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32</v>
      </c>
      <c r="B4" s="26">
        <f>TOTALES!$H$4</f>
        <v>0</v>
      </c>
      <c r="C4" s="26">
        <f>SEPARADOS!$H$4</f>
        <v>0</v>
      </c>
      <c r="D4" s="26">
        <f t="shared" ref="D4:D21" si="0">B4-C4</f>
        <v>0</v>
      </c>
    </row>
    <row r="5" spans="1:4" x14ac:dyDescent="0.25">
      <c r="A5" s="26">
        <v>34</v>
      </c>
      <c r="B5" s="26">
        <f>TOTALES!$H$5</f>
        <v>0</v>
      </c>
      <c r="C5" s="26">
        <f>SEPARADOS!$H$5</f>
        <v>0</v>
      </c>
      <c r="D5" s="26">
        <f t="shared" si="0"/>
        <v>0</v>
      </c>
    </row>
    <row r="6" spans="1:4" x14ac:dyDescent="0.25">
      <c r="A6" s="26">
        <v>36</v>
      </c>
      <c r="B6" s="26">
        <f>TOTALES!$H$6</f>
        <v>0</v>
      </c>
      <c r="C6" s="26">
        <f>SEPARADOS!$H$6</f>
        <v>0</v>
      </c>
      <c r="D6" s="26">
        <f t="shared" si="0"/>
        <v>0</v>
      </c>
    </row>
    <row r="7" spans="1:4" x14ac:dyDescent="0.25">
      <c r="A7" s="26">
        <v>38</v>
      </c>
      <c r="B7" s="26">
        <f>TOTALES!$H$7</f>
        <v>1</v>
      </c>
      <c r="C7" s="26">
        <f>SEPARADOS!$H$7</f>
        <v>1</v>
      </c>
      <c r="D7" s="26">
        <f t="shared" si="0"/>
        <v>0</v>
      </c>
    </row>
    <row r="8" spans="1:4" x14ac:dyDescent="0.25">
      <c r="A8" s="26">
        <v>40</v>
      </c>
      <c r="B8" s="26">
        <f>TOTALES!$H$8</f>
        <v>0</v>
      </c>
      <c r="C8" s="26">
        <f>SEPARADOS!$H$8</f>
        <v>0</v>
      </c>
      <c r="D8" s="26">
        <f t="shared" si="0"/>
        <v>0</v>
      </c>
    </row>
    <row r="9" spans="1:4" x14ac:dyDescent="0.25">
      <c r="A9" s="26">
        <v>42</v>
      </c>
      <c r="B9" s="26">
        <f>TOTALES!$H$9</f>
        <v>3</v>
      </c>
      <c r="C9" s="26">
        <f>SEPARADOS!$H$9</f>
        <v>0</v>
      </c>
      <c r="D9" s="26">
        <f t="shared" si="0"/>
        <v>3</v>
      </c>
    </row>
    <row r="10" spans="1:4" x14ac:dyDescent="0.25">
      <c r="A10" s="26">
        <v>44</v>
      </c>
      <c r="B10" s="26">
        <f>TOTALES!$H$10</f>
        <v>3</v>
      </c>
      <c r="C10" s="26">
        <f>SEPARADOS!$H$10</f>
        <v>3</v>
      </c>
      <c r="D10" s="26">
        <f t="shared" si="0"/>
        <v>0</v>
      </c>
    </row>
    <row r="11" spans="1:4" x14ac:dyDescent="0.25">
      <c r="A11" s="26">
        <v>46</v>
      </c>
      <c r="B11" s="26">
        <f>TOTALES!$H$11</f>
        <v>1</v>
      </c>
      <c r="C11" s="26">
        <f>SEPARADOS!$H$11</f>
        <v>0</v>
      </c>
      <c r="D11" s="26">
        <f t="shared" si="0"/>
        <v>1</v>
      </c>
    </row>
    <row r="12" spans="1:4" x14ac:dyDescent="0.25">
      <c r="A12" s="26">
        <v>48</v>
      </c>
      <c r="B12" s="26">
        <f>TOTALES!$H$12</f>
        <v>2</v>
      </c>
      <c r="C12" s="26">
        <f>SEPARADOS!$H$12</f>
        <v>2</v>
      </c>
      <c r="D12" s="26">
        <f t="shared" si="0"/>
        <v>0</v>
      </c>
    </row>
    <row r="13" spans="1:4" x14ac:dyDescent="0.25">
      <c r="A13" s="26">
        <v>50</v>
      </c>
      <c r="B13" s="26">
        <f>TOTALES!$H$13</f>
        <v>0</v>
      </c>
      <c r="C13" s="26">
        <f>SEPARADOS!$H$13</f>
        <v>0</v>
      </c>
      <c r="D13" s="26">
        <f t="shared" si="0"/>
        <v>0</v>
      </c>
    </row>
    <row r="14" spans="1:4" x14ac:dyDescent="0.25">
      <c r="A14" s="26">
        <v>52</v>
      </c>
      <c r="B14" s="26">
        <f>TOTALES!$H$14</f>
        <v>0</v>
      </c>
      <c r="C14" s="26">
        <f>SEPARADOS!$H$14</f>
        <v>0</v>
      </c>
      <c r="D14" s="26">
        <f t="shared" si="0"/>
        <v>0</v>
      </c>
    </row>
    <row r="15" spans="1:4" x14ac:dyDescent="0.25">
      <c r="A15" s="26">
        <v>54</v>
      </c>
      <c r="B15" s="26">
        <f>TOTALES!$H$15</f>
        <v>0</v>
      </c>
      <c r="C15" s="26">
        <f>SEPARADOS!$H$15</f>
        <v>0</v>
      </c>
      <c r="D15" s="26">
        <f t="shared" si="0"/>
        <v>0</v>
      </c>
    </row>
    <row r="16" spans="1:4" x14ac:dyDescent="0.25">
      <c r="A16" s="26">
        <v>56</v>
      </c>
      <c r="B16" s="26">
        <f>TOTALES!$H$16</f>
        <v>0</v>
      </c>
      <c r="C16" s="26">
        <f>SEPARADOS!$H$16</f>
        <v>0</v>
      </c>
      <c r="D16" s="26">
        <f t="shared" si="0"/>
        <v>0</v>
      </c>
    </row>
    <row r="17" spans="1:4" x14ac:dyDescent="0.25">
      <c r="A17" s="26">
        <v>58</v>
      </c>
      <c r="B17" s="26">
        <f>TOTALES!$H$17</f>
        <v>0</v>
      </c>
      <c r="C17" s="26">
        <f>SEPARADOS!$H$17</f>
        <v>0</v>
      </c>
      <c r="D17" s="26">
        <f t="shared" si="0"/>
        <v>0</v>
      </c>
    </row>
    <row r="18" spans="1:4" x14ac:dyDescent="0.25">
      <c r="A18" s="26">
        <v>60</v>
      </c>
      <c r="B18" s="26">
        <f>TOTALES!$H$18</f>
        <v>0</v>
      </c>
      <c r="C18" s="26">
        <f>SEPARADOS!$H$18</f>
        <v>0</v>
      </c>
      <c r="D18" s="26">
        <f t="shared" si="0"/>
        <v>0</v>
      </c>
    </row>
    <row r="19" spans="1:4" x14ac:dyDescent="0.25">
      <c r="A19" s="26">
        <v>62</v>
      </c>
      <c r="B19" s="26">
        <f>TOTALES!$H$19</f>
        <v>0</v>
      </c>
      <c r="C19" s="26">
        <f>SEPARADOS!$H$19</f>
        <v>0</v>
      </c>
      <c r="D19" s="26">
        <f t="shared" si="0"/>
        <v>0</v>
      </c>
    </row>
    <row r="20" spans="1:4" x14ac:dyDescent="0.25">
      <c r="A20" s="26">
        <v>64</v>
      </c>
      <c r="B20" s="26">
        <f>TOTALES!$H$20</f>
        <v>0</v>
      </c>
      <c r="C20" s="26">
        <f>SEPARADOS!$H$20</f>
        <v>0</v>
      </c>
      <c r="D20" s="26">
        <f t="shared" si="0"/>
        <v>0</v>
      </c>
    </row>
    <row r="21" spans="1:4" x14ac:dyDescent="0.25">
      <c r="A21" s="26">
        <v>66</v>
      </c>
      <c r="B21" s="26">
        <f>TOTALES!$H$21</f>
        <v>0</v>
      </c>
      <c r="C21" s="26">
        <f>SEPARADOS!$H$21</f>
        <v>0</v>
      </c>
      <c r="D21" s="26">
        <f t="shared" si="0"/>
        <v>0</v>
      </c>
    </row>
    <row r="22" spans="1:4" ht="21" x14ac:dyDescent="0.35">
      <c r="A22" s="28" t="s">
        <v>31</v>
      </c>
      <c r="B22" s="28">
        <f>SUM(B4:B21)</f>
        <v>10</v>
      </c>
      <c r="C22" s="28">
        <f>SUM(C4:C21)</f>
        <v>6</v>
      </c>
      <c r="D22" s="28">
        <f>SUM(D4:D21)</f>
        <v>4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H$2" tooltip="Ir a PANTALON en PLANILLA." display="'PLANILLA'!$H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16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10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 t="s">
        <v>35</v>
      </c>
      <c r="B4" s="26">
        <f>TOTALES!$J$4</f>
        <v>0</v>
      </c>
      <c r="C4" s="26">
        <f>SEPARADOS!$J$4</f>
        <v>0</v>
      </c>
      <c r="D4" s="26">
        <f t="shared" ref="D4:D15" si="0">B4-C4</f>
        <v>0</v>
      </c>
    </row>
    <row r="5" spans="1:4" x14ac:dyDescent="0.25">
      <c r="A5" s="26" t="s">
        <v>6</v>
      </c>
      <c r="B5" s="26">
        <f>TOTALES!$J$5</f>
        <v>0</v>
      </c>
      <c r="C5" s="26">
        <f>SEPARADOS!$J$5</f>
        <v>0</v>
      </c>
      <c r="D5" s="26">
        <f t="shared" si="0"/>
        <v>0</v>
      </c>
    </row>
    <row r="6" spans="1:4" x14ac:dyDescent="0.25">
      <c r="A6" s="26" t="s">
        <v>4</v>
      </c>
      <c r="B6" s="26">
        <f>TOTALES!$J$6</f>
        <v>1</v>
      </c>
      <c r="C6" s="26">
        <f>SEPARADOS!$J$6</f>
        <v>1</v>
      </c>
      <c r="D6" s="26">
        <f t="shared" si="0"/>
        <v>0</v>
      </c>
    </row>
    <row r="7" spans="1:4" x14ac:dyDescent="0.25">
      <c r="A7" s="26" t="s">
        <v>3</v>
      </c>
      <c r="B7" s="26">
        <f>TOTALES!$J$7</f>
        <v>1</v>
      </c>
      <c r="C7" s="26">
        <f>SEPARADOS!$J$7</f>
        <v>1</v>
      </c>
      <c r="D7" s="26">
        <f t="shared" si="0"/>
        <v>0</v>
      </c>
    </row>
    <row r="8" spans="1:4" x14ac:dyDescent="0.25">
      <c r="A8" s="26" t="s">
        <v>1</v>
      </c>
      <c r="B8" s="26">
        <f>TOTALES!$J$8</f>
        <v>2</v>
      </c>
      <c r="C8" s="26">
        <f>SEPARADOS!$J$8</f>
        <v>2</v>
      </c>
      <c r="D8" s="26">
        <f t="shared" si="0"/>
        <v>0</v>
      </c>
    </row>
    <row r="9" spans="1:4" x14ac:dyDescent="0.25">
      <c r="A9" s="26" t="s">
        <v>0</v>
      </c>
      <c r="B9" s="26">
        <f>TOTALES!$J$9</f>
        <v>2</v>
      </c>
      <c r="C9" s="26">
        <f>SEPARADOS!$J$9</f>
        <v>2</v>
      </c>
      <c r="D9" s="26">
        <f t="shared" si="0"/>
        <v>0</v>
      </c>
    </row>
    <row r="10" spans="1:4" x14ac:dyDescent="0.25">
      <c r="A10" s="26" t="s">
        <v>2</v>
      </c>
      <c r="B10" s="26">
        <f>TOTALES!$J$10</f>
        <v>4</v>
      </c>
      <c r="C10" s="26">
        <f>SEPARADOS!$J$10</f>
        <v>4</v>
      </c>
      <c r="D10" s="26">
        <f t="shared" si="0"/>
        <v>0</v>
      </c>
    </row>
    <row r="11" spans="1:4" x14ac:dyDescent="0.25">
      <c r="A11" s="26" t="s">
        <v>5</v>
      </c>
      <c r="B11" s="26">
        <f>TOTALES!$J$11</f>
        <v>0</v>
      </c>
      <c r="C11" s="26">
        <f>SEPARADOS!$J$11</f>
        <v>0</v>
      </c>
      <c r="D11" s="26">
        <f t="shared" si="0"/>
        <v>0</v>
      </c>
    </row>
    <row r="12" spans="1:4" x14ac:dyDescent="0.25">
      <c r="A12" s="26" t="s">
        <v>36</v>
      </c>
      <c r="B12" s="26">
        <f>TOTALES!$J$12</f>
        <v>0</v>
      </c>
      <c r="C12" s="26">
        <f>SEPARADOS!$J$12</f>
        <v>0</v>
      </c>
      <c r="D12" s="26">
        <f t="shared" si="0"/>
        <v>0</v>
      </c>
    </row>
    <row r="13" spans="1:4" x14ac:dyDescent="0.25">
      <c r="A13" s="26" t="s">
        <v>37</v>
      </c>
      <c r="B13" s="26">
        <f>TOTALES!$J$13</f>
        <v>0</v>
      </c>
      <c r="C13" s="26">
        <f>SEPARADOS!$J$13</f>
        <v>0</v>
      </c>
      <c r="D13" s="26">
        <f t="shared" si="0"/>
        <v>0</v>
      </c>
    </row>
    <row r="14" spans="1:4" x14ac:dyDescent="0.25">
      <c r="A14" s="26" t="s">
        <v>38</v>
      </c>
      <c r="B14" s="26">
        <f>TOTALES!$J$14</f>
        <v>0</v>
      </c>
      <c r="C14" s="26">
        <f>SEPARADOS!$J$14</f>
        <v>0</v>
      </c>
      <c r="D14" s="26">
        <f t="shared" si="0"/>
        <v>0</v>
      </c>
    </row>
    <row r="15" spans="1:4" x14ac:dyDescent="0.25">
      <c r="A15" s="26" t="s">
        <v>39</v>
      </c>
      <c r="B15" s="26">
        <f>TOTALES!$J$15</f>
        <v>0</v>
      </c>
      <c r="C15" s="26">
        <f>SEPARADOS!$J$15</f>
        <v>0</v>
      </c>
      <c r="D15" s="26">
        <f t="shared" si="0"/>
        <v>0</v>
      </c>
    </row>
    <row r="16" spans="1:4" ht="21" x14ac:dyDescent="0.35">
      <c r="A16" s="28" t="s">
        <v>31</v>
      </c>
      <c r="B16" s="28">
        <f>SUM(B4:B15)</f>
        <v>10</v>
      </c>
      <c r="C16" s="28">
        <f>SUM(C4:C15)</f>
        <v>10</v>
      </c>
      <c r="D16" s="28">
        <f>SUM(D4:D15)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I$2" tooltip="Ir a TRICOTA en PLANILLA." display="'PLANILLA'!$I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D30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7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30</v>
      </c>
      <c r="B4" s="26">
        <f>TOTALES!$L$4</f>
        <v>0</v>
      </c>
      <c r="C4" s="26">
        <f>SEPARADOS!$L$4</f>
        <v>0</v>
      </c>
      <c r="D4" s="26">
        <f t="shared" ref="D4:D29" si="0">B4-C4</f>
        <v>0</v>
      </c>
    </row>
    <row r="5" spans="1:4" x14ac:dyDescent="0.25">
      <c r="A5" s="26">
        <v>31</v>
      </c>
      <c r="B5" s="26">
        <f>TOTALES!$L$5</f>
        <v>0</v>
      </c>
      <c r="C5" s="26">
        <f>SEPARADOS!$L$5</f>
        <v>0</v>
      </c>
      <c r="D5" s="26">
        <f t="shared" si="0"/>
        <v>0</v>
      </c>
    </row>
    <row r="6" spans="1:4" x14ac:dyDescent="0.25">
      <c r="A6" s="26">
        <v>32</v>
      </c>
      <c r="B6" s="26">
        <f>TOTALES!$L$6</f>
        <v>0</v>
      </c>
      <c r="C6" s="26">
        <f>SEPARADOS!$L$6</f>
        <v>0</v>
      </c>
      <c r="D6" s="26">
        <f t="shared" si="0"/>
        <v>0</v>
      </c>
    </row>
    <row r="7" spans="1:4" x14ac:dyDescent="0.25">
      <c r="A7" s="26">
        <v>33</v>
      </c>
      <c r="B7" s="26">
        <f>TOTALES!$L$7</f>
        <v>0</v>
      </c>
      <c r="C7" s="26">
        <f>SEPARADOS!$L$7</f>
        <v>0</v>
      </c>
      <c r="D7" s="26">
        <f t="shared" si="0"/>
        <v>0</v>
      </c>
    </row>
    <row r="8" spans="1:4" x14ac:dyDescent="0.25">
      <c r="A8" s="26">
        <v>34</v>
      </c>
      <c r="B8" s="26">
        <f>TOTALES!$L$8</f>
        <v>0</v>
      </c>
      <c r="C8" s="26">
        <f>SEPARADOS!$L$8</f>
        <v>0</v>
      </c>
      <c r="D8" s="26">
        <f t="shared" si="0"/>
        <v>0</v>
      </c>
    </row>
    <row r="9" spans="1:4" x14ac:dyDescent="0.25">
      <c r="A9" s="26">
        <v>35</v>
      </c>
      <c r="B9" s="26">
        <f>TOTALES!$L$9</f>
        <v>0</v>
      </c>
      <c r="C9" s="26">
        <f>SEPARADOS!$L$9</f>
        <v>0</v>
      </c>
      <c r="D9" s="26">
        <f t="shared" si="0"/>
        <v>0</v>
      </c>
    </row>
    <row r="10" spans="1:4" x14ac:dyDescent="0.25">
      <c r="A10" s="26">
        <v>36</v>
      </c>
      <c r="B10" s="26">
        <f>TOTALES!$L$10</f>
        <v>0</v>
      </c>
      <c r="C10" s="26">
        <f>SEPARADOS!$L$10</f>
        <v>0</v>
      </c>
      <c r="D10" s="26">
        <f t="shared" si="0"/>
        <v>0</v>
      </c>
    </row>
    <row r="11" spans="1:4" x14ac:dyDescent="0.25">
      <c r="A11" s="26">
        <v>37</v>
      </c>
      <c r="B11" s="26">
        <f>TOTALES!$L$11</f>
        <v>1</v>
      </c>
      <c r="C11" s="26">
        <f>SEPARADOS!$L$11</f>
        <v>1</v>
      </c>
      <c r="D11" s="26">
        <f t="shared" si="0"/>
        <v>0</v>
      </c>
    </row>
    <row r="12" spans="1:4" x14ac:dyDescent="0.25">
      <c r="A12" s="26">
        <v>38</v>
      </c>
      <c r="B12" s="26">
        <f>TOTALES!$L$12</f>
        <v>2</v>
      </c>
      <c r="C12" s="26">
        <f>SEPARADOS!$L$12</f>
        <v>2</v>
      </c>
      <c r="D12" s="26">
        <f t="shared" si="0"/>
        <v>0</v>
      </c>
    </row>
    <row r="13" spans="1:4" x14ac:dyDescent="0.25">
      <c r="A13" s="26">
        <v>39</v>
      </c>
      <c r="B13" s="26">
        <f>TOTALES!$L$13</f>
        <v>0</v>
      </c>
      <c r="C13" s="26">
        <f>SEPARADOS!$L$13</f>
        <v>0</v>
      </c>
      <c r="D13" s="26">
        <f t="shared" si="0"/>
        <v>0</v>
      </c>
    </row>
    <row r="14" spans="1:4" x14ac:dyDescent="0.25">
      <c r="A14" s="26">
        <v>40</v>
      </c>
      <c r="B14" s="26">
        <f>TOTALES!$L$14</f>
        <v>1</v>
      </c>
      <c r="C14" s="26">
        <f>SEPARADOS!$L$14</f>
        <v>1</v>
      </c>
      <c r="D14" s="26">
        <f t="shared" si="0"/>
        <v>0</v>
      </c>
    </row>
    <row r="15" spans="1:4" x14ac:dyDescent="0.25">
      <c r="A15" s="26">
        <v>41</v>
      </c>
      <c r="B15" s="26">
        <f>TOTALES!$L$15</f>
        <v>2</v>
      </c>
      <c r="C15" s="26">
        <f>SEPARADOS!$L$15</f>
        <v>0</v>
      </c>
      <c r="D15" s="26">
        <f t="shared" si="0"/>
        <v>2</v>
      </c>
    </row>
    <row r="16" spans="1:4" x14ac:dyDescent="0.25">
      <c r="A16" s="26">
        <v>42</v>
      </c>
      <c r="B16" s="26">
        <f>TOTALES!$L$16</f>
        <v>4</v>
      </c>
      <c r="C16" s="26">
        <f>SEPARADOS!$L$16</f>
        <v>0</v>
      </c>
      <c r="D16" s="26">
        <f t="shared" si="0"/>
        <v>4</v>
      </c>
    </row>
    <row r="17" spans="1:4" x14ac:dyDescent="0.25">
      <c r="A17" s="26">
        <v>43</v>
      </c>
      <c r="B17" s="26">
        <f>TOTALES!$L$17</f>
        <v>0</v>
      </c>
      <c r="C17" s="26">
        <f>SEPARADOS!$L$17</f>
        <v>0</v>
      </c>
      <c r="D17" s="26">
        <f t="shared" si="0"/>
        <v>0</v>
      </c>
    </row>
    <row r="18" spans="1:4" x14ac:dyDescent="0.25">
      <c r="A18" s="26">
        <v>44</v>
      </c>
      <c r="B18" s="26">
        <f>TOTALES!$L$18</f>
        <v>0</v>
      </c>
      <c r="C18" s="26">
        <f>SEPARADOS!$L$18</f>
        <v>0</v>
      </c>
      <c r="D18" s="26">
        <f t="shared" si="0"/>
        <v>0</v>
      </c>
    </row>
    <row r="19" spans="1:4" x14ac:dyDescent="0.25">
      <c r="A19" s="26">
        <v>45</v>
      </c>
      <c r="B19" s="26">
        <f>TOTALES!$L$19</f>
        <v>0</v>
      </c>
      <c r="C19" s="26">
        <f>SEPARADOS!$L$19</f>
        <v>0</v>
      </c>
      <c r="D19" s="26">
        <f t="shared" si="0"/>
        <v>0</v>
      </c>
    </row>
    <row r="20" spans="1:4" x14ac:dyDescent="0.25">
      <c r="A20" s="26">
        <v>46</v>
      </c>
      <c r="B20" s="26">
        <f>TOTALES!$L$20</f>
        <v>0</v>
      </c>
      <c r="C20" s="26">
        <f>SEPARADOS!$L$20</f>
        <v>0</v>
      </c>
      <c r="D20" s="26">
        <f t="shared" si="0"/>
        <v>0</v>
      </c>
    </row>
    <row r="21" spans="1:4" x14ac:dyDescent="0.25">
      <c r="A21" s="26">
        <v>47</v>
      </c>
      <c r="B21" s="26">
        <f>TOTALES!$L$21</f>
        <v>0</v>
      </c>
      <c r="C21" s="26">
        <f>SEPARADOS!$L$21</f>
        <v>0</v>
      </c>
      <c r="D21" s="26">
        <f t="shared" si="0"/>
        <v>0</v>
      </c>
    </row>
    <row r="22" spans="1:4" x14ac:dyDescent="0.25">
      <c r="A22" s="26">
        <v>48</v>
      </c>
      <c r="B22" s="26">
        <f>TOTALES!$L$22</f>
        <v>0</v>
      </c>
      <c r="C22" s="26">
        <f>SEPARADOS!$L$22</f>
        <v>0</v>
      </c>
      <c r="D22" s="26">
        <f t="shared" si="0"/>
        <v>0</v>
      </c>
    </row>
    <row r="23" spans="1:4" x14ac:dyDescent="0.25">
      <c r="A23" s="26">
        <v>49</v>
      </c>
      <c r="B23" s="26">
        <f>TOTALES!$L$23</f>
        <v>0</v>
      </c>
      <c r="C23" s="26">
        <f>SEPARADOS!$L$23</f>
        <v>0</v>
      </c>
      <c r="D23" s="26">
        <f t="shared" si="0"/>
        <v>0</v>
      </c>
    </row>
    <row r="24" spans="1:4" x14ac:dyDescent="0.25">
      <c r="A24" s="26">
        <v>50</v>
      </c>
      <c r="B24" s="26">
        <f>TOTALES!$L$24</f>
        <v>0</v>
      </c>
      <c r="C24" s="26">
        <f>SEPARADOS!$L$24</f>
        <v>0</v>
      </c>
      <c r="D24" s="26">
        <f t="shared" si="0"/>
        <v>0</v>
      </c>
    </row>
    <row r="25" spans="1:4" x14ac:dyDescent="0.25">
      <c r="A25" s="26">
        <v>51</v>
      </c>
      <c r="B25" s="26">
        <f>TOTALES!$L$25</f>
        <v>0</v>
      </c>
      <c r="C25" s="26">
        <f>SEPARADOS!$L$25</f>
        <v>0</v>
      </c>
      <c r="D25" s="26">
        <f t="shared" si="0"/>
        <v>0</v>
      </c>
    </row>
    <row r="26" spans="1:4" x14ac:dyDescent="0.25">
      <c r="A26" s="26">
        <v>52</v>
      </c>
      <c r="B26" s="26">
        <f>TOTALES!$L$26</f>
        <v>0</v>
      </c>
      <c r="C26" s="26">
        <f>SEPARADOS!$L$26</f>
        <v>0</v>
      </c>
      <c r="D26" s="26">
        <f t="shared" si="0"/>
        <v>0</v>
      </c>
    </row>
    <row r="27" spans="1:4" x14ac:dyDescent="0.25">
      <c r="A27" s="26">
        <v>53</v>
      </c>
      <c r="B27" s="26">
        <f>TOTALES!$L$27</f>
        <v>0</v>
      </c>
      <c r="C27" s="26">
        <f>SEPARADOS!$L$27</f>
        <v>0</v>
      </c>
      <c r="D27" s="26">
        <f t="shared" si="0"/>
        <v>0</v>
      </c>
    </row>
    <row r="28" spans="1:4" x14ac:dyDescent="0.25">
      <c r="A28" s="26">
        <v>54</v>
      </c>
      <c r="B28" s="26">
        <f>TOTALES!$L$28</f>
        <v>0</v>
      </c>
      <c r="C28" s="26">
        <f>SEPARADOS!$L$28</f>
        <v>0</v>
      </c>
      <c r="D28" s="26">
        <f t="shared" si="0"/>
        <v>0</v>
      </c>
    </row>
    <row r="29" spans="1:4" x14ac:dyDescent="0.25">
      <c r="A29" s="26">
        <v>55</v>
      </c>
      <c r="B29" s="26">
        <f>TOTALES!$L$29</f>
        <v>0</v>
      </c>
      <c r="C29" s="26">
        <f>SEPARADOS!$L$29</f>
        <v>0</v>
      </c>
      <c r="D29" s="26">
        <f t="shared" si="0"/>
        <v>0</v>
      </c>
    </row>
    <row r="30" spans="1:4" ht="21" x14ac:dyDescent="0.35">
      <c r="A30" s="28" t="s">
        <v>31</v>
      </c>
      <c r="B30" s="28">
        <f>SUM(B4:B29)</f>
        <v>10</v>
      </c>
      <c r="C30" s="28">
        <f>SUM(C4:C29)</f>
        <v>4</v>
      </c>
      <c r="D30" s="28">
        <f>SUM(D4:D29)</f>
        <v>6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J$2" tooltip="Ir a ZAPATOS en PLANILLA." display="'PLANILLA'!$J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26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TOTALES!$N$4</f>
        <v>10</v>
      </c>
      <c r="C4" s="26">
        <f>SEPARADOS!$N$4</f>
        <v>1</v>
      </c>
      <c r="D4" s="26">
        <f>B4-C4</f>
        <v>9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</v>
      </c>
      <c r="D5" s="28">
        <f>SUM(D4:D4)</f>
        <v>9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K$2" tooltip="Ir a HEBILLA en PLANILLA." display="'PLANILLA'!$K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D5"/>
  <sheetViews>
    <sheetView workbookViewId="0">
      <selection sqref="A1:D1"/>
    </sheetView>
  </sheetViews>
  <sheetFormatPr baseColWidth="10" defaultRowHeight="15" x14ac:dyDescent="0.25"/>
  <cols>
    <col min="1" max="1" width="12.140625" bestFit="1" customWidth="1"/>
    <col min="2" max="2" width="8.5703125" bestFit="1" customWidth="1"/>
    <col min="3" max="3" width="11.5703125" bestFit="1" customWidth="1"/>
    <col min="4" max="4" width="10.85546875" bestFit="1" customWidth="1"/>
  </cols>
  <sheetData>
    <row r="1" spans="1:4" x14ac:dyDescent="0.25">
      <c r="A1" s="33" t="s">
        <v>28</v>
      </c>
      <c r="B1" s="33"/>
      <c r="C1" s="33"/>
      <c r="D1" s="33"/>
    </row>
    <row r="2" spans="1:4" x14ac:dyDescent="0.25">
      <c r="A2" s="33" t="s">
        <v>27</v>
      </c>
      <c r="B2" s="33"/>
      <c r="C2" s="33"/>
      <c r="D2" s="33"/>
    </row>
    <row r="3" spans="1:4" x14ac:dyDescent="0.25">
      <c r="A3" s="24" t="s">
        <v>30</v>
      </c>
      <c r="B3" s="27" t="s">
        <v>31</v>
      </c>
      <c r="C3" s="27" t="s">
        <v>32</v>
      </c>
      <c r="D3" s="27" t="s">
        <v>33</v>
      </c>
    </row>
    <row r="4" spans="1:4" x14ac:dyDescent="0.25">
      <c r="A4" s="26">
        <v>1</v>
      </c>
      <c r="B4" s="26">
        <f>TOTALES!$P$4</f>
        <v>10</v>
      </c>
      <c r="C4" s="26">
        <f>SEPARADOS!$P$4</f>
        <v>10</v>
      </c>
      <c r="D4" s="26">
        <f>B4-C4</f>
        <v>0</v>
      </c>
    </row>
    <row r="5" spans="1:4" ht="21" x14ac:dyDescent="0.35">
      <c r="A5" s="28" t="s">
        <v>31</v>
      </c>
      <c r="B5" s="28">
        <f>SUM(B4:B4)</f>
        <v>10</v>
      </c>
      <c r="C5" s="28">
        <f>SUM(C4:C4)</f>
        <v>10</v>
      </c>
      <c r="D5" s="28">
        <f>SUM(D4:D4)</f>
        <v>0</v>
      </c>
    </row>
  </sheetData>
  <mergeCells count="2">
    <mergeCell ref="A1:D1"/>
    <mergeCell ref="A2:D2"/>
  </mergeCells>
  <hyperlinks>
    <hyperlink ref="A1" location="'PLANILLA'!A1" tooltip="Ir a PLANILLA." display="'PLANILLA'!A1"/>
    <hyperlink ref="A2" location="'PLANILLA'!$L$2" tooltip="Ir a PISTOLERA en PLANILLA." display="'PLANILLA'!$L$2"/>
    <hyperlink ref="B3" location="'TOTALES'!A1" tooltip="Ir a TOTALES." display="TOTALES"/>
    <hyperlink ref="C3" location="'SEPARADOS'!A1" tooltip="Ir a SEPARADOS." display="SEPARADOS"/>
    <hyperlink ref="D3" location="'FALTANTES'!A1" tooltip="Ir a FALTANTES." display="FALTANTE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PLANILLA</vt:lpstr>
      <vt:lpstr>TOTALES</vt:lpstr>
      <vt:lpstr>SEPARADOS</vt:lpstr>
      <vt:lpstr>FALTANTES</vt:lpstr>
      <vt:lpstr>CAMISA MC</vt:lpstr>
      <vt:lpstr>CAMPERA</vt:lpstr>
      <vt:lpstr>GORRA SAL</vt:lpstr>
      <vt:lpstr>PANTALON</vt:lpstr>
      <vt:lpstr>TRICOTA</vt:lpstr>
      <vt:lpstr>ZAPATOS</vt:lpstr>
      <vt:lpstr>HEBILLA</vt:lpstr>
      <vt:lpstr>PISTOLERA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2023-05-18T13:54:18Z</cp:lastPrinted>
  <dcterms:created xsi:type="dcterms:W3CDTF">2023-04-19T16:42:15Z</dcterms:created>
  <dcterms:modified xsi:type="dcterms:W3CDTF">2024-05-29T15:55:38Z</dcterms:modified>
</cp:coreProperties>
</file>