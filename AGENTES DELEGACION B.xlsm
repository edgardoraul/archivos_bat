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/>
  <bookViews>
    <workbookView xWindow="0" yWindow="0" windowWidth="20490" windowHeight="7095" firstSheet="6" activeTab="6"/>
  </bookViews>
  <sheets>
    <sheet name="PLANILLA" sheetId="11" r:id="rId1"/>
    <sheet name="TOTALES" sheetId="81" r:id="rId2"/>
    <sheet name="SEPARADOS" sheetId="82" r:id="rId3"/>
    <sheet name="CAMISA MC" sheetId="83" r:id="rId4"/>
    <sheet name="CAMPERA" sheetId="84" r:id="rId5"/>
    <sheet name="GORRA" sheetId="85" r:id="rId6"/>
    <sheet name="PANTALON" sheetId="86" r:id="rId7"/>
    <sheet name="REMERA" sheetId="87" r:id="rId8"/>
    <sheet name="TRICOTA" sheetId="88" r:id="rId9"/>
    <sheet name="ZAPATOS" sheetId="89" r:id="rId10"/>
    <sheet name="CAMISA ML" sheetId="90" r:id="rId11"/>
    <sheet name="ESC BORD 2" sheetId="91" r:id="rId12"/>
    <sheet name="GORRA IUSP" sheetId="92" r:id="rId13"/>
    <sheet name="HEBILLA" sheetId="93" r:id="rId14"/>
    <sheet name="HOMBRERA" sheetId="94" r:id="rId15"/>
    <sheet name="NOMB 2" sheetId="95" r:id="rId16"/>
    <sheet name="PISTOLERA" sheetId="96" r:id="rId17"/>
    <sheet name="P. CARG" sheetId="97" r:id="rId18"/>
    <sheet name="RIEL" sheetId="98" r:id="rId19"/>
    <sheet name="TRABA" sheetId="99" r:id="rId20"/>
    <sheet name="CINTO" sheetId="100" r:id="rId21"/>
    <sheet name="CORBATA" sheetId="101" r:id="rId22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1"/>
  <c r="C4"/>
  <c r="C5" s="1"/>
  <c r="B4"/>
  <c r="D4" s="1"/>
  <c r="D5" s="1"/>
  <c r="AL5" i="82"/>
  <c r="AL5" i="81"/>
  <c r="C4" i="100"/>
  <c r="C5" s="1"/>
  <c r="B4"/>
  <c r="B5" s="1"/>
  <c r="AJ5" i="82"/>
  <c r="AJ5" i="81"/>
  <c r="C5" i="99"/>
  <c r="B5"/>
  <c r="C4"/>
  <c r="B4"/>
  <c r="D4" s="1"/>
  <c r="D5" s="1"/>
  <c r="AH5" i="82"/>
  <c r="AH5" i="81"/>
  <c r="C4" i="98"/>
  <c r="B4"/>
  <c r="B5" s="1"/>
  <c r="AF5" i="82"/>
  <c r="AF5" i="81"/>
  <c r="B5" i="97"/>
  <c r="C4"/>
  <c r="C5" s="1"/>
  <c r="B4"/>
  <c r="D4" s="1"/>
  <c r="D5" s="1"/>
  <c r="AD5" i="82"/>
  <c r="AD5" i="81"/>
  <c r="C4" i="96"/>
  <c r="C5" s="1"/>
  <c r="B4"/>
  <c r="B5" s="1"/>
  <c r="AB5" i="82"/>
  <c r="AB5" i="81"/>
  <c r="B5" i="95"/>
  <c r="C4"/>
  <c r="C5" s="1"/>
  <c r="B4"/>
  <c r="Z5" i="82"/>
  <c r="Z5" i="81"/>
  <c r="C4" i="94"/>
  <c r="B4"/>
  <c r="B5" s="1"/>
  <c r="X5" i="82"/>
  <c r="X5" i="81"/>
  <c r="C5" i="93"/>
  <c r="B5"/>
  <c r="D4"/>
  <c r="D5" s="1"/>
  <c r="C4"/>
  <c r="B4"/>
  <c r="V5" i="82"/>
  <c r="V5" i="81"/>
  <c r="C4" i="92"/>
  <c r="C5" s="1"/>
  <c r="B4"/>
  <c r="B5" s="1"/>
  <c r="T5" i="82"/>
  <c r="T5" i="81"/>
  <c r="B5" i="91"/>
  <c r="C4"/>
  <c r="D4" s="1"/>
  <c r="D5" s="1"/>
  <c r="B4"/>
  <c r="R5" i="82"/>
  <c r="R5" i="81"/>
  <c r="C21" i="90"/>
  <c r="B21"/>
  <c r="P22" i="82"/>
  <c r="P22" i="81"/>
  <c r="C20" i="90"/>
  <c r="B20"/>
  <c r="C19"/>
  <c r="B19"/>
  <c r="C18"/>
  <c r="D18" s="1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C8"/>
  <c r="B8"/>
  <c r="C7"/>
  <c r="B7"/>
  <c r="C6"/>
  <c r="B6"/>
  <c r="C5"/>
  <c r="B5"/>
  <c r="C4"/>
  <c r="B4"/>
  <c r="D29" i="89"/>
  <c r="C29"/>
  <c r="B29"/>
  <c r="N30" i="82"/>
  <c r="N30" i="81"/>
  <c r="D28" i="89"/>
  <c r="C28"/>
  <c r="B28"/>
  <c r="D27"/>
  <c r="C27"/>
  <c r="B27"/>
  <c r="D26"/>
  <c r="C26"/>
  <c r="B26"/>
  <c r="D25"/>
  <c r="C25"/>
  <c r="B25"/>
  <c r="D24"/>
  <c r="C24"/>
  <c r="B24"/>
  <c r="D23"/>
  <c r="C23"/>
  <c r="B23"/>
  <c r="C21"/>
  <c r="B21"/>
  <c r="C20"/>
  <c r="B20"/>
  <c r="D20" s="1"/>
  <c r="C19"/>
  <c r="D19" s="1"/>
  <c r="B19"/>
  <c r="C18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D8"/>
  <c r="C8"/>
  <c r="B8"/>
  <c r="C7"/>
  <c r="B7"/>
  <c r="C6"/>
  <c r="B6"/>
  <c r="D6" s="1"/>
  <c r="C5"/>
  <c r="B5"/>
  <c r="C4"/>
  <c r="D4" s="1"/>
  <c r="B4"/>
  <c r="C15" i="88"/>
  <c r="B15"/>
  <c r="L16" i="82"/>
  <c r="L16" i="81"/>
  <c r="C14" i="88"/>
  <c r="B14"/>
  <c r="C13"/>
  <c r="B13"/>
  <c r="C12"/>
  <c r="B12"/>
  <c r="C11"/>
  <c r="B11"/>
  <c r="C10"/>
  <c r="B10"/>
  <c r="C9"/>
  <c r="B9"/>
  <c r="C8"/>
  <c r="B8"/>
  <c r="C7"/>
  <c r="B7"/>
  <c r="C6"/>
  <c r="B6"/>
  <c r="C5"/>
  <c r="D5" s="1"/>
  <c r="B5"/>
  <c r="C4"/>
  <c r="B4"/>
  <c r="C15" i="87"/>
  <c r="B15"/>
  <c r="J16" i="82"/>
  <c r="J16" i="81"/>
  <c r="C14" i="87"/>
  <c r="B14"/>
  <c r="C13"/>
  <c r="B13"/>
  <c r="C12"/>
  <c r="B12"/>
  <c r="C11"/>
  <c r="B11"/>
  <c r="C10"/>
  <c r="B10"/>
  <c r="D10" s="1"/>
  <c r="C9"/>
  <c r="B9"/>
  <c r="C8"/>
  <c r="B8"/>
  <c r="C7"/>
  <c r="B7"/>
  <c r="D7" s="1"/>
  <c r="C6"/>
  <c r="B6"/>
  <c r="C5"/>
  <c r="B5"/>
  <c r="C4"/>
  <c r="B4"/>
  <c r="C21" i="86"/>
  <c r="B21"/>
  <c r="H22" i="82"/>
  <c r="H22" i="81"/>
  <c r="C20" i="86"/>
  <c r="D20" s="1"/>
  <c r="B20"/>
  <c r="C19"/>
  <c r="B19"/>
  <c r="C18"/>
  <c r="B18"/>
  <c r="D18" s="1"/>
  <c r="C17"/>
  <c r="B17"/>
  <c r="D17" s="1"/>
  <c r="C16"/>
  <c r="B16"/>
  <c r="D16" s="1"/>
  <c r="C15"/>
  <c r="D15" s="1"/>
  <c r="B15"/>
  <c r="C14"/>
  <c r="B14"/>
  <c r="D14" s="1"/>
  <c r="C13"/>
  <c r="B13"/>
  <c r="C12"/>
  <c r="B12"/>
  <c r="C11"/>
  <c r="B11"/>
  <c r="C10"/>
  <c r="B10"/>
  <c r="D10" s="1"/>
  <c r="C9"/>
  <c r="B9"/>
  <c r="C8"/>
  <c r="B8"/>
  <c r="D8" s="1"/>
  <c r="C7"/>
  <c r="B7"/>
  <c r="D7" s="1"/>
  <c r="C6"/>
  <c r="B6"/>
  <c r="C5"/>
  <c r="B5"/>
  <c r="C4"/>
  <c r="B4"/>
  <c r="D24" i="85"/>
  <c r="C24"/>
  <c r="B24"/>
  <c r="F25" i="82"/>
  <c r="F25" i="81"/>
  <c r="D23" i="85"/>
  <c r="C23"/>
  <c r="B23"/>
  <c r="C21"/>
  <c r="B21"/>
  <c r="C20"/>
  <c r="D20" s="1"/>
  <c r="B20"/>
  <c r="C19"/>
  <c r="B19"/>
  <c r="D19" s="1"/>
  <c r="C18"/>
  <c r="B18"/>
  <c r="C17"/>
  <c r="D17" s="1"/>
  <c r="B17"/>
  <c r="C16"/>
  <c r="B16"/>
  <c r="C15"/>
  <c r="B15"/>
  <c r="C14"/>
  <c r="B14"/>
  <c r="C13"/>
  <c r="B13"/>
  <c r="C12"/>
  <c r="B12"/>
  <c r="C11"/>
  <c r="D11" s="1"/>
  <c r="B11"/>
  <c r="C10"/>
  <c r="B10"/>
  <c r="C9"/>
  <c r="B9"/>
  <c r="C8"/>
  <c r="B8"/>
  <c r="C7"/>
  <c r="B7"/>
  <c r="D6"/>
  <c r="C6"/>
  <c r="B6"/>
  <c r="C5"/>
  <c r="D5" s="1"/>
  <c r="B5"/>
  <c r="C4"/>
  <c r="B4"/>
  <c r="C15" i="84"/>
  <c r="D15" s="1"/>
  <c r="B15"/>
  <c r="D16" i="81"/>
  <c r="C14" i="84"/>
  <c r="B14"/>
  <c r="C13"/>
  <c r="B13"/>
  <c r="C12"/>
  <c r="D12" s="1"/>
  <c r="B12"/>
  <c r="C11"/>
  <c r="D11" s="1"/>
  <c r="B11"/>
  <c r="C10"/>
  <c r="B10"/>
  <c r="D9"/>
  <c r="C9"/>
  <c r="B9"/>
  <c r="C8"/>
  <c r="D8" s="1"/>
  <c r="B8"/>
  <c r="C7"/>
  <c r="B7"/>
  <c r="C6"/>
  <c r="B6"/>
  <c r="C5"/>
  <c r="D5" s="1"/>
  <c r="B5"/>
  <c r="C4"/>
  <c r="B4"/>
  <c r="C21" i="83"/>
  <c r="B21"/>
  <c r="B22" i="82"/>
  <c r="C22" i="89" s="1"/>
  <c r="B22" i="81"/>
  <c r="B22" i="89" s="1"/>
  <c r="C20" i="83"/>
  <c r="B20"/>
  <c r="D20" s="1"/>
  <c r="C19"/>
  <c r="B19"/>
  <c r="C18"/>
  <c r="B18"/>
  <c r="C17"/>
  <c r="B17"/>
  <c r="C16"/>
  <c r="B16"/>
  <c r="C15"/>
  <c r="B15"/>
  <c r="C14"/>
  <c r="B14"/>
  <c r="C13"/>
  <c r="B13"/>
  <c r="D13" s="1"/>
  <c r="C12"/>
  <c r="D12" s="1"/>
  <c r="B12"/>
  <c r="C11"/>
  <c r="B11"/>
  <c r="C10"/>
  <c r="B10"/>
  <c r="D10" s="1"/>
  <c r="C9"/>
  <c r="B9"/>
  <c r="C8"/>
  <c r="D8" s="1"/>
  <c r="B8"/>
  <c r="C7"/>
  <c r="B7"/>
  <c r="C6"/>
  <c r="B6"/>
  <c r="C5"/>
  <c r="B5"/>
  <c r="C4"/>
  <c r="B4"/>
  <c r="A1" i="82"/>
  <c r="A1" i="81"/>
  <c r="D21" i="90" l="1"/>
  <c r="D19"/>
  <c r="D16" i="89"/>
  <c r="D15" i="85"/>
  <c r="D15" i="89"/>
  <c r="D14" i="84"/>
  <c r="D14" i="85"/>
  <c r="D14" i="90"/>
  <c r="D12" i="86"/>
  <c r="D12" i="87"/>
  <c r="D11" i="83"/>
  <c r="C5" i="91"/>
  <c r="D4" i="95"/>
  <c r="D5" s="1"/>
  <c r="D5" i="83"/>
  <c r="D7" i="85"/>
  <c r="D6" i="88"/>
  <c r="D8"/>
  <c r="D10" i="89"/>
  <c r="D12"/>
  <c r="D12" i="90"/>
  <c r="D6" i="83"/>
  <c r="D10" i="84"/>
  <c r="D8" i="85"/>
  <c r="D10"/>
  <c r="D7" i="88"/>
  <c r="D13"/>
  <c r="D7" i="90"/>
  <c r="D11"/>
  <c r="D13"/>
  <c r="D21" i="83"/>
  <c r="D21" i="86"/>
  <c r="D21" i="85"/>
  <c r="D20" i="90"/>
  <c r="D19" i="83"/>
  <c r="D19" i="86"/>
  <c r="D18" i="83"/>
  <c r="D15" i="88"/>
  <c r="D15" i="83"/>
  <c r="D13" i="86"/>
  <c r="D10" i="88"/>
  <c r="D7" i="84"/>
  <c r="D4" i="94"/>
  <c r="D5" s="1"/>
  <c r="D4" i="98"/>
  <c r="D5" s="1"/>
  <c r="D9" i="85"/>
  <c r="D9" i="86"/>
  <c r="D9" i="89"/>
  <c r="D11"/>
  <c r="D6" i="90"/>
  <c r="D8"/>
  <c r="D10"/>
  <c r="D12" i="85"/>
  <c r="D11" i="88"/>
  <c r="D5" i="89"/>
  <c r="B16" i="84"/>
  <c r="D11" i="87"/>
  <c r="D14" i="88"/>
  <c r="D21" i="89"/>
  <c r="D18" i="85"/>
  <c r="D18" i="89"/>
  <c r="D17" i="83"/>
  <c r="D17" i="90"/>
  <c r="D17" i="89"/>
  <c r="D16" i="85"/>
  <c r="D16" i="83"/>
  <c r="D16" i="90"/>
  <c r="D15" i="87"/>
  <c r="D15" i="90"/>
  <c r="D14" i="87"/>
  <c r="D14" i="89"/>
  <c r="D14" i="83"/>
  <c r="D13" i="84"/>
  <c r="D13" i="85"/>
  <c r="D13" i="87"/>
  <c r="D13" i="89"/>
  <c r="D12" i="88"/>
  <c r="D11" i="86"/>
  <c r="D9" i="83"/>
  <c r="D9" i="90"/>
  <c r="D9" i="87"/>
  <c r="D9" i="88"/>
  <c r="C22" i="90"/>
  <c r="D8" i="87"/>
  <c r="C22" i="83"/>
  <c r="D7" i="89"/>
  <c r="D7" i="83"/>
  <c r="D6" i="84"/>
  <c r="D6" i="86"/>
  <c r="D6" i="87"/>
  <c r="C16"/>
  <c r="C16" i="84"/>
  <c r="C22" i="86"/>
  <c r="C30" i="89"/>
  <c r="D5" i="90"/>
  <c r="D5" i="86"/>
  <c r="D5" i="87"/>
  <c r="C16" i="88"/>
  <c r="D22" i="89"/>
  <c r="C22" i="85"/>
  <c r="C25" s="1"/>
  <c r="D4" i="92"/>
  <c r="D5" s="1"/>
  <c r="C5" i="94"/>
  <c r="D4" i="96"/>
  <c r="D5" s="1"/>
  <c r="C5" i="98"/>
  <c r="D4" i="100"/>
  <c r="D5" s="1"/>
  <c r="B16" i="88"/>
  <c r="B22" i="86"/>
  <c r="B22" i="90"/>
  <c r="B16" i="87"/>
  <c r="B22" i="83"/>
  <c r="B30" i="89"/>
  <c r="D4" i="83"/>
  <c r="D4" i="85"/>
  <c r="B22"/>
  <c r="D4" i="86"/>
  <c r="D4" i="88"/>
  <c r="D4" i="90"/>
  <c r="D4" i="84"/>
  <c r="D4" i="87"/>
  <c r="D16" i="84" l="1"/>
  <c r="D22" i="86"/>
  <c r="D30" i="89"/>
  <c r="D16" i="88"/>
  <c r="D22" i="85"/>
  <c r="D25" s="1"/>
  <c r="D22" i="83"/>
  <c r="D16" i="87"/>
  <c r="D22" i="90"/>
  <c r="B25" i="85"/>
</calcChain>
</file>

<file path=xl/sharedStrings.xml><?xml version="1.0" encoding="utf-8"?>
<sst xmlns="http://schemas.openxmlformats.org/spreadsheetml/2006/main" count="613" uniqueCount="105">
  <si>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</si>
  <si>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</si>
  <si>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</si>
  <si>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</si>
  <si>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</si>
  <si>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</si>
  <si>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</si>
  <si>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</si>
  <si>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</si>
  <si>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</si>
  <si>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</si>
  <si>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</si>
  <si>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</si>
  <si>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</si>
  <si>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</si>
  <si>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</si>
  <si>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</si>
  <si>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</si>
  <si>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</si>
  <si>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</si>
  <si>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</si>
  <si>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</si>
  <si>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</si>
  <si>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</si>
  <si>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</si>
  <si>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</si>
  <si>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</si>
  <si>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</si>
  <si>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</si>
  <si>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</si>
  <si>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</si>
  <si>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</si>
  <si>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</si>
  <si>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</si>
  <si>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</si>
  <si>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</si>
  <si>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</si>
  <si>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</si>
  <si>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</si>
  <si>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</si>
  <si>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</si>
  <si>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</si>
  <si>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</si>
  <si>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</si>
  <si>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</si>
  <si>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</si>
  <si>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</si>
  <si>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</si>
  <si>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</si>
  <si>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</si>
  <si>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</si>
  <si>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</si>
  <si>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</si>
  <si>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</si>
  <si>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</si>
  <si>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</si>
  <si>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</si>
  <si>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</si>
  <si>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</si>
  <si>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</si>
  <si>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</si>
  <si>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</si>
  <si>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</si>
  <si>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</si>
  <si>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</si>
  <si>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</si>
  <si>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</si>
  <si>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</si>
  <si>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</si>
  <si>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</si>
  <si>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</si>
  <si>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</si>
  <si>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</si>
  <si>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</si>
  <si>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</si>
  <si>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</si>
  <si>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</si>
  <si>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</si>
  <si>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</si>
  <si>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</si>
  <si>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</si>
  <si>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</si>
  <si>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</si>
  <si>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</si>
  <si>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</si>
  <si>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</si>
  <si>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</si>
  <si>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</si>
  <si>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</si>
  <si>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</si>
  <si>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</si>
  <si>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</si>
  <si>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</si>
  <si>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</si>
  <si>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</si>
  <si>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</si>
  <si>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</si>
  <si>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</si>
  <si>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RIEL</t>
  </si>
  <si>
    <t>TRABA</t>
  </si>
  <si>
    <t>CINTO</t>
  </si>
  <si>
    <t>CORBATA</t>
  </si>
  <si>
    <t>AGENTES DELEGACION B</t>
  </si>
  <si>
    <t>*</t>
  </si>
  <si>
    <t>P. CARG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</si>
</sst>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6" fillId="0" borderId="1" xfId="0" applyFont="1" applyBorder="1"/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W66"/>
  <sheetViews>
    <sheetView topLeftCell="N1" zoomScaleNormal="100" workbookViewId="0">
      <pane ySplit="2" topLeftCell="A3" activePane="bottomLeft" state="frozen"/>
      <selection pane="bottomLeft" activeCell="W3" sqref="W3"/>
    </sheetView>
  </sheetViews>
  <sheetFormatPr baseColWidth="10" defaultRowHeight="1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7.42578125" style="1" customWidth="1"/>
    <col min="8" max="8" width="10.85546875" style="1" customWidth="1"/>
    <col min="9" max="9" width="8.42578125" style="1" customWidth="1"/>
    <col min="10" max="10" width="8.5703125" style="1" customWidth="1"/>
    <col min="11" max="11" width="9.140625" style="1" customWidth="1"/>
    <col min="12" max="12" width="11.28515625" style="5" customWidth="1"/>
    <col min="13" max="13" width="11" style="5" customWidth="1"/>
    <col min="14" max="14" width="12" style="5" customWidth="1"/>
    <col min="15" max="15" width="8" style="5" customWidth="1"/>
    <col min="16" max="16" width="11.28515625" style="5" customWidth="1"/>
    <col min="17" max="17" width="8.28515625" style="5" customWidth="1"/>
    <col min="18" max="18" width="10.42578125" style="5" customWidth="1"/>
    <col min="19" max="19" width="8.7109375" style="5" customWidth="1"/>
    <col min="20" max="20" width="4.5703125" style="5" customWidth="1"/>
    <col min="21" max="21" width="6.85546875" style="5" customWidth="1"/>
    <col min="22" max="22" width="6.5703125" style="5" customWidth="1"/>
    <col min="23" max="23" width="9.42578125" style="5" customWidth="1"/>
    <col min="24" max="16384" width="11.42578125" style="1"/>
  </cols>
  <sheetData>
    <row r="1" spans="1:23" s="11" customFormat="1" ht="18.75">
      <c r="A1" s="24" t="s">
        <v>102</v>
      </c>
      <c r="B1" s="24"/>
      <c r="C1" s="24"/>
      <c r="D1" s="24"/>
      <c r="E1" s="12"/>
      <c r="F1" s="12"/>
      <c r="G1" s="12"/>
      <c r="H1" s="12"/>
      <c r="I1" s="12"/>
      <c r="J1" s="12"/>
      <c r="K1" s="12" t="s">
        <v>103</v>
      </c>
    </row>
    <row r="2" spans="1:23">
      <c r="A2" s="13" t="s">
        <v>22</v>
      </c>
      <c r="B2" s="13" t="s">
        <v>15</v>
      </c>
      <c r="C2" s="13" t="s">
        <v>14</v>
      </c>
      <c r="D2" s="13" t="s">
        <v>89</v>
      </c>
      <c r="E2" s="13" t="s">
        <v>91</v>
      </c>
      <c r="F2" s="13" t="s">
        <v>11</v>
      </c>
      <c r="G2" s="13" t="s">
        <v>0</v>
      </c>
      <c r="H2" s="13" t="s">
        <v>10</v>
      </c>
      <c r="I2" s="13" t="s">
        <v>12</v>
      </c>
      <c r="J2" s="13" t="s">
        <v>13</v>
      </c>
      <c r="K2" s="13" t="s">
        <v>9</v>
      </c>
      <c r="L2" s="13" t="s">
        <v>90</v>
      </c>
      <c r="M2" s="13" t="s">
        <v>92</v>
      </c>
      <c r="N2" s="13" t="s">
        <v>93</v>
      </c>
      <c r="O2" s="13" t="s">
        <v>94</v>
      </c>
      <c r="P2" s="13" t="s">
        <v>95</v>
      </c>
      <c r="Q2" s="13" t="s">
        <v>96</v>
      </c>
      <c r="R2" s="13" t="s">
        <v>97</v>
      </c>
      <c r="S2" s="13" t="s">
        <v>104</v>
      </c>
      <c r="T2" s="13" t="s">
        <v>98</v>
      </c>
      <c r="U2" s="13" t="s">
        <v>99</v>
      </c>
      <c r="V2" s="13" t="s">
        <v>100</v>
      </c>
      <c r="W2" s="13" t="s">
        <v>101</v>
      </c>
    </row>
    <row r="3" spans="1:23">
      <c r="A3" s="4">
        <v>1</v>
      </c>
      <c r="B3" s="14">
        <v>5608</v>
      </c>
      <c r="C3" s="15">
        <v>37137843</v>
      </c>
      <c r="D3" s="16" t="s">
        <v>25</v>
      </c>
      <c r="E3" s="17">
        <v>44</v>
      </c>
      <c r="F3" s="9" t="s">
        <v>3</v>
      </c>
      <c r="G3" s="8">
        <v>56</v>
      </c>
      <c r="H3" s="8">
        <v>48</v>
      </c>
      <c r="I3" s="10" t="s">
        <v>3</v>
      </c>
      <c r="J3" s="8" t="s">
        <v>3</v>
      </c>
      <c r="K3" s="10">
        <v>42</v>
      </c>
      <c r="L3" s="18">
        <v>44</v>
      </c>
      <c r="M3" s="10">
        <v>1</v>
      </c>
      <c r="N3" s="10">
        <v>1</v>
      </c>
      <c r="O3" s="8">
        <v>1</v>
      </c>
      <c r="P3" s="10">
        <v>1</v>
      </c>
      <c r="Q3" s="10">
        <v>1</v>
      </c>
      <c r="R3" s="8">
        <v>1</v>
      </c>
      <c r="S3" s="8">
        <v>1</v>
      </c>
      <c r="T3" s="10">
        <v>1</v>
      </c>
      <c r="U3" s="10">
        <v>1</v>
      </c>
      <c r="V3" s="8">
        <v>1</v>
      </c>
      <c r="W3" s="8">
        <v>1</v>
      </c>
    </row>
    <row r="4" spans="1:23">
      <c r="A4" s="4">
        <v>2</v>
      </c>
      <c r="B4" s="19">
        <v>5576</v>
      </c>
      <c r="C4" s="20">
        <v>39084966</v>
      </c>
      <c r="D4" s="21" t="s">
        <v>26</v>
      </c>
      <c r="E4" s="22">
        <v>44</v>
      </c>
      <c r="F4" s="22" t="s">
        <v>3</v>
      </c>
      <c r="G4" s="23">
        <v>59</v>
      </c>
      <c r="H4" s="22">
        <v>46</v>
      </c>
      <c r="I4" s="22" t="s">
        <v>3</v>
      </c>
      <c r="J4" s="23" t="s">
        <v>3</v>
      </c>
      <c r="K4" s="22">
        <v>42</v>
      </c>
      <c r="L4" s="18">
        <v>44</v>
      </c>
      <c r="M4" s="10">
        <v>1</v>
      </c>
      <c r="N4" s="10">
        <v>1</v>
      </c>
      <c r="O4" s="10">
        <v>1</v>
      </c>
      <c r="P4" s="10">
        <v>1</v>
      </c>
      <c r="Q4" s="10">
        <v>1</v>
      </c>
      <c r="R4" s="8">
        <v>1</v>
      </c>
      <c r="S4" s="8">
        <v>1</v>
      </c>
      <c r="T4" s="10">
        <v>1</v>
      </c>
      <c r="U4" s="10">
        <v>1</v>
      </c>
      <c r="V4" s="8">
        <v>1</v>
      </c>
      <c r="W4" s="8">
        <v>1</v>
      </c>
    </row>
    <row r="5" spans="1:23">
      <c r="A5" s="4">
        <v>3</v>
      </c>
      <c r="B5" s="19">
        <v>5652</v>
      </c>
      <c r="C5" s="20">
        <v>41660305</v>
      </c>
      <c r="D5" s="21" t="s">
        <v>27</v>
      </c>
      <c r="E5" s="23">
        <v>42</v>
      </c>
      <c r="F5" s="22" t="s">
        <v>1</v>
      </c>
      <c r="G5" s="23">
        <v>59</v>
      </c>
      <c r="H5" s="22">
        <v>42</v>
      </c>
      <c r="I5" s="22" t="s">
        <v>1</v>
      </c>
      <c r="J5" s="23" t="s">
        <v>1</v>
      </c>
      <c r="K5" s="23">
        <v>40</v>
      </c>
      <c r="L5" s="17">
        <v>42</v>
      </c>
      <c r="M5" s="10">
        <v>1</v>
      </c>
      <c r="N5" s="10">
        <v>1</v>
      </c>
      <c r="O5" s="10">
        <v>1</v>
      </c>
      <c r="P5" s="10">
        <v>1</v>
      </c>
      <c r="Q5" s="10">
        <v>1</v>
      </c>
      <c r="R5" s="8">
        <v>1</v>
      </c>
      <c r="S5" s="8">
        <v>1</v>
      </c>
      <c r="T5" s="10">
        <v>1</v>
      </c>
      <c r="U5" s="10">
        <v>1</v>
      </c>
      <c r="V5" s="8">
        <v>1</v>
      </c>
      <c r="W5" s="8">
        <v>1</v>
      </c>
    </row>
    <row r="6" spans="1:23">
      <c r="A6" s="4">
        <v>4</v>
      </c>
      <c r="B6" s="7">
        <v>5642</v>
      </c>
      <c r="C6" s="20">
        <v>44438036</v>
      </c>
      <c r="D6" s="21" t="s">
        <v>28</v>
      </c>
      <c r="E6" s="23">
        <v>40</v>
      </c>
      <c r="F6" s="23" t="s">
        <v>2</v>
      </c>
      <c r="G6" s="22">
        <v>57</v>
      </c>
      <c r="H6" s="22">
        <v>42</v>
      </c>
      <c r="I6" s="22" t="s">
        <v>2</v>
      </c>
      <c r="J6" s="23" t="s">
        <v>2</v>
      </c>
      <c r="K6" s="22">
        <v>41</v>
      </c>
      <c r="L6" s="17">
        <v>40</v>
      </c>
      <c r="M6" s="10">
        <v>1</v>
      </c>
      <c r="N6" s="10">
        <v>1</v>
      </c>
      <c r="O6" s="10">
        <v>1</v>
      </c>
      <c r="P6" s="10">
        <v>1</v>
      </c>
      <c r="Q6" s="10">
        <v>1</v>
      </c>
      <c r="R6" s="8">
        <v>1</v>
      </c>
      <c r="S6" s="8">
        <v>1</v>
      </c>
      <c r="T6" s="10">
        <v>1</v>
      </c>
      <c r="U6" s="10">
        <v>1</v>
      </c>
      <c r="V6" s="8">
        <v>1</v>
      </c>
      <c r="W6" s="8">
        <v>1</v>
      </c>
    </row>
    <row r="7" spans="1:23">
      <c r="A7" s="4">
        <v>5</v>
      </c>
      <c r="B7" s="7">
        <v>5670</v>
      </c>
      <c r="C7" s="20">
        <v>33821501</v>
      </c>
      <c r="D7" s="21" t="s">
        <v>29</v>
      </c>
      <c r="E7" s="23">
        <v>38</v>
      </c>
      <c r="F7" s="23" t="s">
        <v>2</v>
      </c>
      <c r="G7" s="22">
        <v>56</v>
      </c>
      <c r="H7" s="22">
        <v>42</v>
      </c>
      <c r="I7" s="22" t="s">
        <v>4</v>
      </c>
      <c r="J7" s="23" t="s">
        <v>4</v>
      </c>
      <c r="K7" s="23">
        <v>38</v>
      </c>
      <c r="L7" s="17">
        <v>38</v>
      </c>
      <c r="M7" s="10">
        <v>1</v>
      </c>
      <c r="N7" s="10">
        <v>1</v>
      </c>
      <c r="O7" s="10">
        <v>1</v>
      </c>
      <c r="P7" s="10">
        <v>1</v>
      </c>
      <c r="Q7" s="10">
        <v>1</v>
      </c>
      <c r="R7" s="8">
        <v>1</v>
      </c>
      <c r="S7" s="8">
        <v>1</v>
      </c>
      <c r="T7" s="10">
        <v>1</v>
      </c>
      <c r="U7" s="10">
        <v>1</v>
      </c>
      <c r="V7" s="8">
        <v>1</v>
      </c>
      <c r="W7" s="8">
        <v>1</v>
      </c>
    </row>
    <row r="8" spans="1:23">
      <c r="A8" s="4">
        <v>6</v>
      </c>
      <c r="B8" s="7">
        <v>5611</v>
      </c>
      <c r="C8" s="20">
        <v>36767411</v>
      </c>
      <c r="D8" s="21" t="s">
        <v>30</v>
      </c>
      <c r="E8" s="22">
        <v>42</v>
      </c>
      <c r="F8" s="22" t="s">
        <v>6</v>
      </c>
      <c r="G8" s="22">
        <v>58</v>
      </c>
      <c r="H8" s="23">
        <v>44</v>
      </c>
      <c r="I8" s="22" t="s">
        <v>1</v>
      </c>
      <c r="J8" s="23" t="s">
        <v>1</v>
      </c>
      <c r="K8" s="22">
        <v>41</v>
      </c>
      <c r="L8" s="17">
        <v>42</v>
      </c>
      <c r="M8" s="10">
        <v>1</v>
      </c>
      <c r="N8" s="10">
        <v>1</v>
      </c>
      <c r="O8" s="10">
        <v>1</v>
      </c>
      <c r="P8" s="10">
        <v>1</v>
      </c>
      <c r="Q8" s="10">
        <v>1</v>
      </c>
      <c r="R8" s="8">
        <v>1</v>
      </c>
      <c r="S8" s="8">
        <v>1</v>
      </c>
      <c r="T8" s="10">
        <v>1</v>
      </c>
      <c r="U8" s="10">
        <v>1</v>
      </c>
      <c r="V8" s="8">
        <v>1</v>
      </c>
      <c r="W8" s="8">
        <v>1</v>
      </c>
    </row>
    <row r="9" spans="1:23">
      <c r="A9" s="4">
        <v>7</v>
      </c>
      <c r="B9" s="7">
        <v>5606</v>
      </c>
      <c r="C9" s="20">
        <v>39019581</v>
      </c>
      <c r="D9" s="21" t="s">
        <v>31</v>
      </c>
      <c r="E9" s="22">
        <v>44</v>
      </c>
      <c r="F9" s="22" t="s">
        <v>6</v>
      </c>
      <c r="G9" s="22">
        <v>58</v>
      </c>
      <c r="H9" s="23">
        <v>48</v>
      </c>
      <c r="I9" s="22" t="s">
        <v>3</v>
      </c>
      <c r="J9" s="23" t="s">
        <v>3</v>
      </c>
      <c r="K9" s="22">
        <v>42</v>
      </c>
      <c r="L9" s="18">
        <v>44</v>
      </c>
      <c r="M9" s="10">
        <v>1</v>
      </c>
      <c r="N9" s="10">
        <v>1</v>
      </c>
      <c r="O9" s="10">
        <v>1</v>
      </c>
      <c r="P9" s="10">
        <v>1</v>
      </c>
      <c r="Q9" s="10">
        <v>1</v>
      </c>
      <c r="R9" s="8">
        <v>1</v>
      </c>
      <c r="S9" s="8">
        <v>1</v>
      </c>
      <c r="T9" s="10">
        <v>1</v>
      </c>
      <c r="U9" s="10">
        <v>1</v>
      </c>
      <c r="V9" s="8">
        <v>1</v>
      </c>
      <c r="W9" s="8">
        <v>1</v>
      </c>
    </row>
    <row r="10" spans="1:23">
      <c r="A10" s="4">
        <v>8</v>
      </c>
      <c r="B10" s="7">
        <v>5634</v>
      </c>
      <c r="C10" s="20">
        <v>42509069</v>
      </c>
      <c r="D10" s="21" t="s">
        <v>32</v>
      </c>
      <c r="E10" s="22">
        <v>42</v>
      </c>
      <c r="F10" s="22" t="s">
        <v>1</v>
      </c>
      <c r="G10" s="23">
        <v>59</v>
      </c>
      <c r="H10" s="23">
        <v>44</v>
      </c>
      <c r="I10" s="22" t="s">
        <v>1</v>
      </c>
      <c r="J10" s="23" t="s">
        <v>3</v>
      </c>
      <c r="K10" s="22">
        <v>42</v>
      </c>
      <c r="L10" s="17">
        <v>42</v>
      </c>
      <c r="M10" s="10">
        <v>1</v>
      </c>
      <c r="N10" s="10">
        <v>1</v>
      </c>
      <c r="O10" s="10">
        <v>1</v>
      </c>
      <c r="P10" s="10">
        <v>1</v>
      </c>
      <c r="Q10" s="10">
        <v>1</v>
      </c>
      <c r="R10" s="8">
        <v>1</v>
      </c>
      <c r="S10" s="8">
        <v>1</v>
      </c>
      <c r="T10" s="10">
        <v>1</v>
      </c>
      <c r="U10" s="10">
        <v>1</v>
      </c>
      <c r="V10" s="8">
        <v>1</v>
      </c>
      <c r="W10" s="8">
        <v>1</v>
      </c>
    </row>
    <row r="11" spans="1:23">
      <c r="A11" s="4">
        <v>9</v>
      </c>
      <c r="B11" s="7">
        <v>5677</v>
      </c>
      <c r="C11" s="20">
        <v>41271099</v>
      </c>
      <c r="D11" s="21" t="s">
        <v>33</v>
      </c>
      <c r="E11" s="23">
        <v>34</v>
      </c>
      <c r="F11" s="22" t="s">
        <v>8</v>
      </c>
      <c r="G11" s="22">
        <v>56</v>
      </c>
      <c r="H11" s="23">
        <v>38</v>
      </c>
      <c r="I11" s="22" t="s">
        <v>5</v>
      </c>
      <c r="J11" s="23" t="s">
        <v>5</v>
      </c>
      <c r="K11" s="23">
        <v>37</v>
      </c>
      <c r="L11" s="18">
        <v>34</v>
      </c>
      <c r="M11" s="10">
        <v>1</v>
      </c>
      <c r="N11" s="10">
        <v>1</v>
      </c>
      <c r="O11" s="10">
        <v>1</v>
      </c>
      <c r="P11" s="10">
        <v>1</v>
      </c>
      <c r="Q11" s="10">
        <v>1</v>
      </c>
      <c r="R11" s="8">
        <v>1</v>
      </c>
      <c r="S11" s="8">
        <v>1</v>
      </c>
      <c r="T11" s="10">
        <v>1</v>
      </c>
      <c r="U11" s="10">
        <v>1</v>
      </c>
      <c r="V11" s="8">
        <v>1</v>
      </c>
      <c r="W11" s="8">
        <v>1</v>
      </c>
    </row>
    <row r="12" spans="1:23">
      <c r="A12" s="4">
        <v>10</v>
      </c>
      <c r="B12" s="7">
        <v>5680</v>
      </c>
      <c r="C12" s="20">
        <v>37964317</v>
      </c>
      <c r="D12" s="21" t="s">
        <v>34</v>
      </c>
      <c r="E12" s="23">
        <v>38</v>
      </c>
      <c r="F12" s="23" t="s">
        <v>4</v>
      </c>
      <c r="G12" s="22">
        <v>57</v>
      </c>
      <c r="H12" s="23">
        <v>44</v>
      </c>
      <c r="I12" s="22" t="s">
        <v>2</v>
      </c>
      <c r="J12" s="23" t="s">
        <v>2</v>
      </c>
      <c r="K12" s="23">
        <v>38</v>
      </c>
      <c r="L12" s="17">
        <v>40</v>
      </c>
      <c r="M12" s="10">
        <v>1</v>
      </c>
      <c r="N12" s="10">
        <v>1</v>
      </c>
      <c r="O12" s="10">
        <v>1</v>
      </c>
      <c r="P12" s="10">
        <v>1</v>
      </c>
      <c r="Q12" s="10">
        <v>1</v>
      </c>
      <c r="R12" s="8">
        <v>1</v>
      </c>
      <c r="S12" s="8">
        <v>1</v>
      </c>
      <c r="T12" s="10">
        <v>1</v>
      </c>
      <c r="U12" s="10">
        <v>1</v>
      </c>
      <c r="V12" s="8">
        <v>1</v>
      </c>
      <c r="W12" s="8">
        <v>1</v>
      </c>
    </row>
    <row r="13" spans="1:23">
      <c r="A13" s="4">
        <v>11</v>
      </c>
      <c r="B13" s="7">
        <v>5667</v>
      </c>
      <c r="C13" s="20">
        <v>42750488</v>
      </c>
      <c r="D13" s="21" t="s">
        <v>35</v>
      </c>
      <c r="E13" s="22">
        <v>42</v>
      </c>
      <c r="F13" s="22" t="s">
        <v>3</v>
      </c>
      <c r="G13" s="22">
        <v>59</v>
      </c>
      <c r="H13" s="22">
        <v>46</v>
      </c>
      <c r="I13" s="22" t="s">
        <v>1</v>
      </c>
      <c r="J13" s="23" t="s">
        <v>1</v>
      </c>
      <c r="K13" s="22">
        <v>41</v>
      </c>
      <c r="L13" s="17">
        <v>42</v>
      </c>
      <c r="M13" s="10">
        <v>1</v>
      </c>
      <c r="N13" s="10">
        <v>1</v>
      </c>
      <c r="O13" s="10">
        <v>1</v>
      </c>
      <c r="P13" s="10">
        <v>1</v>
      </c>
      <c r="Q13" s="10">
        <v>1</v>
      </c>
      <c r="R13" s="8">
        <v>1</v>
      </c>
      <c r="S13" s="8">
        <v>1</v>
      </c>
      <c r="T13" s="10">
        <v>1</v>
      </c>
      <c r="U13" s="10">
        <v>1</v>
      </c>
      <c r="V13" s="8">
        <v>1</v>
      </c>
      <c r="W13" s="8">
        <v>1</v>
      </c>
    </row>
    <row r="14" spans="1:23">
      <c r="A14" s="4">
        <v>12</v>
      </c>
      <c r="B14" s="7">
        <v>5675</v>
      </c>
      <c r="C14" s="20">
        <v>35937940</v>
      </c>
      <c r="D14" s="21" t="s">
        <v>36</v>
      </c>
      <c r="E14" s="23">
        <v>38</v>
      </c>
      <c r="F14" s="23" t="s">
        <v>4</v>
      </c>
      <c r="G14" s="22">
        <v>56</v>
      </c>
      <c r="H14" s="23">
        <v>44</v>
      </c>
      <c r="I14" s="22" t="s">
        <v>2</v>
      </c>
      <c r="J14" s="23" t="s">
        <v>1</v>
      </c>
      <c r="K14" s="23">
        <v>39</v>
      </c>
      <c r="L14" s="17">
        <v>38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8">
        <v>1</v>
      </c>
      <c r="S14" s="8">
        <v>1</v>
      </c>
      <c r="T14" s="10">
        <v>1</v>
      </c>
      <c r="U14" s="10">
        <v>1</v>
      </c>
      <c r="V14" s="8">
        <v>1</v>
      </c>
      <c r="W14" s="8">
        <v>1</v>
      </c>
    </row>
    <row r="15" spans="1:23">
      <c r="A15" s="4">
        <v>13</v>
      </c>
      <c r="B15" s="7">
        <v>5658</v>
      </c>
      <c r="C15" s="20">
        <v>37136579</v>
      </c>
      <c r="D15" s="21" t="s">
        <v>37</v>
      </c>
      <c r="E15" s="22">
        <v>42</v>
      </c>
      <c r="F15" s="22" t="s">
        <v>1</v>
      </c>
      <c r="G15" s="22">
        <v>57</v>
      </c>
      <c r="H15" s="23">
        <v>44</v>
      </c>
      <c r="I15" s="22" t="s">
        <v>1</v>
      </c>
      <c r="J15" s="23" t="s">
        <v>1</v>
      </c>
      <c r="K15" s="22">
        <v>41</v>
      </c>
      <c r="L15" s="17">
        <v>42</v>
      </c>
      <c r="M15" s="10">
        <v>1</v>
      </c>
      <c r="N15" s="10">
        <v>1</v>
      </c>
      <c r="O15" s="10">
        <v>1</v>
      </c>
      <c r="P15" s="10">
        <v>1</v>
      </c>
      <c r="Q15" s="10">
        <v>1</v>
      </c>
      <c r="R15" s="8">
        <v>1</v>
      </c>
      <c r="S15" s="8">
        <v>1</v>
      </c>
      <c r="T15" s="10">
        <v>1</v>
      </c>
      <c r="U15" s="10">
        <v>1</v>
      </c>
      <c r="V15" s="8">
        <v>1</v>
      </c>
      <c r="W15" s="8">
        <v>1</v>
      </c>
    </row>
    <row r="16" spans="1:23">
      <c r="A16" s="4">
        <v>14</v>
      </c>
      <c r="B16" s="7">
        <v>5628</v>
      </c>
      <c r="C16" s="20">
        <v>34607254</v>
      </c>
      <c r="D16" s="21" t="s">
        <v>38</v>
      </c>
      <c r="E16" s="22">
        <v>42</v>
      </c>
      <c r="F16" s="22" t="s">
        <v>3</v>
      </c>
      <c r="G16" s="22">
        <v>59</v>
      </c>
      <c r="H16" s="22">
        <v>46</v>
      </c>
      <c r="I16" s="22" t="s">
        <v>1</v>
      </c>
      <c r="J16" s="23" t="s">
        <v>1</v>
      </c>
      <c r="K16" s="23">
        <v>43</v>
      </c>
      <c r="L16" s="17">
        <v>42</v>
      </c>
      <c r="M16" s="10">
        <v>1</v>
      </c>
      <c r="N16" s="10">
        <v>1</v>
      </c>
      <c r="O16" s="10">
        <v>1</v>
      </c>
      <c r="P16" s="10">
        <v>1</v>
      </c>
      <c r="Q16" s="10">
        <v>1</v>
      </c>
      <c r="R16" s="8">
        <v>1</v>
      </c>
      <c r="S16" s="8">
        <v>1</v>
      </c>
      <c r="T16" s="10">
        <v>1</v>
      </c>
      <c r="U16" s="10">
        <v>1</v>
      </c>
      <c r="V16" s="8">
        <v>1</v>
      </c>
      <c r="W16" s="8">
        <v>1</v>
      </c>
    </row>
    <row r="17" spans="1:23">
      <c r="A17" s="4">
        <v>15</v>
      </c>
      <c r="B17" s="7">
        <v>5573</v>
      </c>
      <c r="C17" s="20">
        <v>37623494</v>
      </c>
      <c r="D17" s="21" t="s">
        <v>39</v>
      </c>
      <c r="E17" s="22">
        <v>42</v>
      </c>
      <c r="F17" s="22" t="s">
        <v>3</v>
      </c>
      <c r="G17" s="22">
        <v>59</v>
      </c>
      <c r="H17" s="23">
        <v>44</v>
      </c>
      <c r="I17" s="22" t="s">
        <v>1</v>
      </c>
      <c r="J17" s="23" t="s">
        <v>1</v>
      </c>
      <c r="K17" s="23">
        <v>45</v>
      </c>
      <c r="L17" s="17">
        <v>42</v>
      </c>
      <c r="M17" s="10">
        <v>1</v>
      </c>
      <c r="N17" s="10">
        <v>1</v>
      </c>
      <c r="O17" s="10">
        <v>1</v>
      </c>
      <c r="P17" s="10">
        <v>1</v>
      </c>
      <c r="Q17" s="10">
        <v>1</v>
      </c>
      <c r="R17" s="8">
        <v>1</v>
      </c>
      <c r="S17" s="8">
        <v>1</v>
      </c>
      <c r="T17" s="10">
        <v>1</v>
      </c>
      <c r="U17" s="10">
        <v>1</v>
      </c>
      <c r="V17" s="8">
        <v>1</v>
      </c>
      <c r="W17" s="8">
        <v>1</v>
      </c>
    </row>
    <row r="18" spans="1:23">
      <c r="A18" s="4">
        <v>16</v>
      </c>
      <c r="B18" s="7">
        <v>5590</v>
      </c>
      <c r="C18" s="20">
        <v>36812634</v>
      </c>
      <c r="D18" s="21" t="s">
        <v>40</v>
      </c>
      <c r="E18" s="23">
        <v>40</v>
      </c>
      <c r="F18" s="23" t="s">
        <v>2</v>
      </c>
      <c r="G18" s="22">
        <v>56</v>
      </c>
      <c r="H18" s="22">
        <v>42</v>
      </c>
      <c r="I18" s="22" t="s">
        <v>2</v>
      </c>
      <c r="J18" s="23" t="s">
        <v>2</v>
      </c>
      <c r="K18" s="23">
        <v>40</v>
      </c>
      <c r="L18" s="17">
        <v>40</v>
      </c>
      <c r="M18" s="10">
        <v>1</v>
      </c>
      <c r="N18" s="10">
        <v>1</v>
      </c>
      <c r="O18" s="10">
        <v>1</v>
      </c>
      <c r="P18" s="10">
        <v>1</v>
      </c>
      <c r="Q18" s="10">
        <v>1</v>
      </c>
      <c r="R18" s="8">
        <v>1</v>
      </c>
      <c r="S18" s="8">
        <v>1</v>
      </c>
      <c r="T18" s="10">
        <v>1</v>
      </c>
      <c r="U18" s="10">
        <v>1</v>
      </c>
      <c r="V18" s="8">
        <v>1</v>
      </c>
      <c r="W18" s="8">
        <v>1</v>
      </c>
    </row>
    <row r="19" spans="1:23">
      <c r="A19" s="4">
        <v>17</v>
      </c>
      <c r="B19" s="19">
        <v>1</v>
      </c>
      <c r="C19" s="20">
        <v>1</v>
      </c>
      <c r="D19" s="21" t="s">
        <v>41</v>
      </c>
      <c r="E19" s="22">
        <v>36</v>
      </c>
      <c r="F19" s="22" t="s">
        <v>4</v>
      </c>
      <c r="G19" s="22">
        <v>57</v>
      </c>
      <c r="H19" s="22">
        <v>44</v>
      </c>
      <c r="I19" s="22" t="s">
        <v>4</v>
      </c>
      <c r="J19" s="22" t="s">
        <v>4</v>
      </c>
      <c r="K19" s="22">
        <v>38</v>
      </c>
      <c r="L19" s="18">
        <v>36</v>
      </c>
      <c r="M19" s="10">
        <v>1</v>
      </c>
      <c r="N19" s="10">
        <v>1</v>
      </c>
      <c r="O19" s="10">
        <v>1</v>
      </c>
      <c r="P19" s="10">
        <v>1</v>
      </c>
      <c r="Q19" s="10">
        <v>1</v>
      </c>
      <c r="R19" s="10">
        <v>1</v>
      </c>
      <c r="S19" s="10">
        <v>1</v>
      </c>
      <c r="T19" s="10">
        <v>1</v>
      </c>
      <c r="U19" s="10">
        <v>1</v>
      </c>
      <c r="V19" s="10">
        <v>1</v>
      </c>
      <c r="W19" s="10">
        <v>1</v>
      </c>
    </row>
    <row r="20" spans="1:23">
      <c r="A20" s="4">
        <v>18</v>
      </c>
      <c r="B20" s="7">
        <v>5644</v>
      </c>
      <c r="C20" s="20">
        <v>39602708</v>
      </c>
      <c r="D20" s="21" t="s">
        <v>42</v>
      </c>
      <c r="E20" s="22">
        <v>44</v>
      </c>
      <c r="F20" s="22" t="s">
        <v>1</v>
      </c>
      <c r="G20" s="22">
        <v>58</v>
      </c>
      <c r="H20" s="23">
        <v>48</v>
      </c>
      <c r="I20" s="22" t="s">
        <v>3</v>
      </c>
      <c r="J20" s="23" t="s">
        <v>3</v>
      </c>
      <c r="K20" s="22">
        <v>42</v>
      </c>
      <c r="L20" s="18">
        <v>44</v>
      </c>
      <c r="M20" s="10">
        <v>1</v>
      </c>
      <c r="N20" s="10">
        <v>1</v>
      </c>
      <c r="O20" s="10">
        <v>1</v>
      </c>
      <c r="P20" s="10">
        <v>1</v>
      </c>
      <c r="Q20" s="10">
        <v>1</v>
      </c>
      <c r="R20" s="8">
        <v>1</v>
      </c>
      <c r="S20" s="8">
        <v>1</v>
      </c>
      <c r="T20" s="10">
        <v>1</v>
      </c>
      <c r="U20" s="10">
        <v>1</v>
      </c>
      <c r="V20" s="8">
        <v>1</v>
      </c>
      <c r="W20" s="8">
        <v>1</v>
      </c>
    </row>
    <row r="21" spans="1:23">
      <c r="A21" s="4">
        <v>19</v>
      </c>
      <c r="B21" s="7">
        <v>5687</v>
      </c>
      <c r="C21" s="20">
        <v>37426939</v>
      </c>
      <c r="D21" s="21" t="s">
        <v>43</v>
      </c>
      <c r="E21" s="23">
        <v>38</v>
      </c>
      <c r="F21" s="22" t="s">
        <v>4</v>
      </c>
      <c r="G21" s="22">
        <v>58</v>
      </c>
      <c r="H21" s="22">
        <v>42</v>
      </c>
      <c r="I21" s="22" t="s">
        <v>4</v>
      </c>
      <c r="J21" s="23" t="s">
        <v>4</v>
      </c>
      <c r="K21" s="23">
        <v>37</v>
      </c>
      <c r="L21" s="17">
        <v>38</v>
      </c>
      <c r="M21" s="10">
        <v>1</v>
      </c>
      <c r="N21" s="10">
        <v>1</v>
      </c>
      <c r="O21" s="10">
        <v>1</v>
      </c>
      <c r="P21" s="10">
        <v>1</v>
      </c>
      <c r="Q21" s="10">
        <v>1</v>
      </c>
      <c r="R21" s="8">
        <v>1</v>
      </c>
      <c r="S21" s="8">
        <v>1</v>
      </c>
      <c r="T21" s="10">
        <v>1</v>
      </c>
      <c r="U21" s="10">
        <v>1</v>
      </c>
      <c r="V21" s="8">
        <v>1</v>
      </c>
      <c r="W21" s="8">
        <v>1</v>
      </c>
    </row>
    <row r="22" spans="1:23">
      <c r="A22" s="4">
        <v>20</v>
      </c>
      <c r="B22" s="7">
        <v>5600</v>
      </c>
      <c r="C22" s="20">
        <v>41368304</v>
      </c>
      <c r="D22" s="21" t="s">
        <v>44</v>
      </c>
      <c r="E22" s="23">
        <v>46</v>
      </c>
      <c r="F22" s="22" t="s">
        <v>3</v>
      </c>
      <c r="G22" s="22">
        <v>56</v>
      </c>
      <c r="H22" s="23">
        <v>50</v>
      </c>
      <c r="I22" s="22" t="s">
        <v>3</v>
      </c>
      <c r="J22" s="23" t="s">
        <v>6</v>
      </c>
      <c r="K22" s="23">
        <v>45</v>
      </c>
      <c r="L22" s="18">
        <v>46</v>
      </c>
      <c r="M22" s="10">
        <v>1</v>
      </c>
      <c r="N22" s="10">
        <v>1</v>
      </c>
      <c r="O22" s="10">
        <v>1</v>
      </c>
      <c r="P22" s="10">
        <v>1</v>
      </c>
      <c r="Q22" s="10">
        <v>1</v>
      </c>
      <c r="R22" s="8">
        <v>1</v>
      </c>
      <c r="S22" s="8">
        <v>1</v>
      </c>
      <c r="T22" s="10">
        <v>1</v>
      </c>
      <c r="U22" s="10">
        <v>1</v>
      </c>
      <c r="V22" s="8">
        <v>1</v>
      </c>
      <c r="W22" s="8">
        <v>1</v>
      </c>
    </row>
    <row r="23" spans="1:23">
      <c r="A23" s="4">
        <v>21</v>
      </c>
      <c r="B23" s="7">
        <v>5597</v>
      </c>
      <c r="C23" s="20">
        <v>36812626</v>
      </c>
      <c r="D23" s="21" t="s">
        <v>45</v>
      </c>
      <c r="E23" s="22">
        <v>42</v>
      </c>
      <c r="F23" s="22" t="s">
        <v>4</v>
      </c>
      <c r="G23" s="22">
        <v>57</v>
      </c>
      <c r="H23" s="22">
        <v>42</v>
      </c>
      <c r="I23" s="22" t="s">
        <v>1</v>
      </c>
      <c r="J23" s="23" t="s">
        <v>1</v>
      </c>
      <c r="K23" s="23">
        <v>40</v>
      </c>
      <c r="L23" s="18">
        <v>42</v>
      </c>
      <c r="M23" s="10">
        <v>1</v>
      </c>
      <c r="N23" s="10">
        <v>1</v>
      </c>
      <c r="O23" s="10">
        <v>1</v>
      </c>
      <c r="P23" s="10">
        <v>1</v>
      </c>
      <c r="Q23" s="10">
        <v>1</v>
      </c>
      <c r="R23" s="8">
        <v>1</v>
      </c>
      <c r="S23" s="8">
        <v>1</v>
      </c>
      <c r="T23" s="10">
        <v>1</v>
      </c>
      <c r="U23" s="10">
        <v>1</v>
      </c>
      <c r="V23" s="8">
        <v>1</v>
      </c>
      <c r="W23" s="8">
        <v>1</v>
      </c>
    </row>
    <row r="24" spans="1:23">
      <c r="A24" s="4">
        <v>22</v>
      </c>
      <c r="B24" s="7">
        <v>5605</v>
      </c>
      <c r="C24" s="20">
        <v>40925990</v>
      </c>
      <c r="D24" s="21" t="s">
        <v>46</v>
      </c>
      <c r="E24" s="22">
        <v>42</v>
      </c>
      <c r="F24" s="22" t="s">
        <v>1</v>
      </c>
      <c r="G24" s="22">
        <v>60</v>
      </c>
      <c r="H24" s="22">
        <v>42</v>
      </c>
      <c r="I24" s="22" t="s">
        <v>1</v>
      </c>
      <c r="J24" s="23" t="s">
        <v>3</v>
      </c>
      <c r="K24" s="23">
        <v>43</v>
      </c>
      <c r="L24" s="18">
        <v>42</v>
      </c>
      <c r="M24" s="10">
        <v>1</v>
      </c>
      <c r="N24" s="10">
        <v>1</v>
      </c>
      <c r="O24" s="10">
        <v>1</v>
      </c>
      <c r="P24" s="10">
        <v>1</v>
      </c>
      <c r="Q24" s="10">
        <v>1</v>
      </c>
      <c r="R24" s="8">
        <v>1</v>
      </c>
      <c r="S24" s="8">
        <v>1</v>
      </c>
      <c r="T24" s="10">
        <v>1</v>
      </c>
      <c r="U24" s="10">
        <v>1</v>
      </c>
      <c r="V24" s="8">
        <v>1</v>
      </c>
      <c r="W24" s="8">
        <v>1</v>
      </c>
    </row>
    <row r="25" spans="1:23">
      <c r="A25" s="4">
        <v>23</v>
      </c>
      <c r="B25" s="7">
        <v>5620</v>
      </c>
      <c r="C25" s="20">
        <v>41364882</v>
      </c>
      <c r="D25" s="21" t="s">
        <v>47</v>
      </c>
      <c r="E25" s="23">
        <v>40</v>
      </c>
      <c r="F25" s="23" t="s">
        <v>2</v>
      </c>
      <c r="G25" s="22">
        <v>57</v>
      </c>
      <c r="H25" s="22">
        <v>42</v>
      </c>
      <c r="I25" s="22" t="s">
        <v>2</v>
      </c>
      <c r="J25" s="23" t="s">
        <v>2</v>
      </c>
      <c r="K25" s="22">
        <v>41</v>
      </c>
      <c r="L25" s="17">
        <v>40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8">
        <v>1</v>
      </c>
      <c r="S25" s="8">
        <v>1</v>
      </c>
      <c r="T25" s="10">
        <v>1</v>
      </c>
      <c r="U25" s="10">
        <v>1</v>
      </c>
      <c r="V25" s="8">
        <v>1</v>
      </c>
      <c r="W25" s="8">
        <v>1</v>
      </c>
    </row>
    <row r="26" spans="1:23">
      <c r="A26" s="4">
        <v>24</v>
      </c>
      <c r="B26" s="7">
        <v>5635</v>
      </c>
      <c r="C26" s="20">
        <v>42510645</v>
      </c>
      <c r="D26" s="21" t="s">
        <v>48</v>
      </c>
      <c r="E26" s="22">
        <v>42</v>
      </c>
      <c r="F26" s="22" t="s">
        <v>1</v>
      </c>
      <c r="G26" s="22">
        <v>57</v>
      </c>
      <c r="H26" s="22">
        <v>42</v>
      </c>
      <c r="I26" s="22" t="s">
        <v>1</v>
      </c>
      <c r="J26" s="23" t="s">
        <v>3</v>
      </c>
      <c r="K26" s="22">
        <v>42</v>
      </c>
      <c r="L26" s="18">
        <v>42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8">
        <v>1</v>
      </c>
      <c r="S26" s="8">
        <v>1</v>
      </c>
      <c r="T26" s="10">
        <v>1</v>
      </c>
      <c r="U26" s="10">
        <v>1</v>
      </c>
      <c r="V26" s="8">
        <v>1</v>
      </c>
      <c r="W26" s="8">
        <v>1</v>
      </c>
    </row>
    <row r="27" spans="1:23">
      <c r="A27" s="4">
        <v>25</v>
      </c>
      <c r="B27" s="7">
        <v>5585</v>
      </c>
      <c r="C27" s="20">
        <v>43638589</v>
      </c>
      <c r="D27" s="21" t="s">
        <v>49</v>
      </c>
      <c r="E27" s="22">
        <v>42</v>
      </c>
      <c r="F27" s="22" t="s">
        <v>1</v>
      </c>
      <c r="G27" s="22">
        <v>57</v>
      </c>
      <c r="H27" s="22">
        <v>46</v>
      </c>
      <c r="I27" s="22" t="s">
        <v>1</v>
      </c>
      <c r="J27" s="23" t="s">
        <v>3</v>
      </c>
      <c r="K27" s="23">
        <v>43</v>
      </c>
      <c r="L27" s="18">
        <v>42</v>
      </c>
      <c r="M27" s="10">
        <v>1</v>
      </c>
      <c r="N27" s="10">
        <v>1</v>
      </c>
      <c r="O27" s="10">
        <v>1</v>
      </c>
      <c r="P27" s="10">
        <v>1</v>
      </c>
      <c r="Q27" s="10">
        <v>1</v>
      </c>
      <c r="R27" s="8">
        <v>1</v>
      </c>
      <c r="S27" s="8">
        <v>1</v>
      </c>
      <c r="T27" s="10">
        <v>1</v>
      </c>
      <c r="U27" s="10">
        <v>1</v>
      </c>
      <c r="V27" s="8">
        <v>1</v>
      </c>
      <c r="W27" s="8">
        <v>1</v>
      </c>
    </row>
    <row r="28" spans="1:23">
      <c r="A28" s="4">
        <v>26</v>
      </c>
      <c r="B28" s="7">
        <v>5632</v>
      </c>
      <c r="C28" s="20">
        <v>43690507</v>
      </c>
      <c r="D28" s="21" t="s">
        <v>50</v>
      </c>
      <c r="E28" s="22">
        <v>42</v>
      </c>
      <c r="F28" s="22" t="s">
        <v>3</v>
      </c>
      <c r="G28" s="22">
        <v>59</v>
      </c>
      <c r="H28" s="22">
        <v>46</v>
      </c>
      <c r="I28" s="22" t="s">
        <v>1</v>
      </c>
      <c r="J28" s="23" t="s">
        <v>1</v>
      </c>
      <c r="K28" s="23">
        <v>43</v>
      </c>
      <c r="L28" s="18">
        <v>42</v>
      </c>
      <c r="M28" s="10">
        <v>1</v>
      </c>
      <c r="N28" s="10">
        <v>1</v>
      </c>
      <c r="O28" s="10">
        <v>1</v>
      </c>
      <c r="P28" s="10">
        <v>1</v>
      </c>
      <c r="Q28" s="10">
        <v>1</v>
      </c>
      <c r="R28" s="8">
        <v>1</v>
      </c>
      <c r="S28" s="8">
        <v>1</v>
      </c>
      <c r="T28" s="10">
        <v>1</v>
      </c>
      <c r="U28" s="10">
        <v>1</v>
      </c>
      <c r="V28" s="8">
        <v>1</v>
      </c>
      <c r="W28" s="8">
        <v>1</v>
      </c>
    </row>
    <row r="29" spans="1:23">
      <c r="A29" s="4">
        <v>27</v>
      </c>
      <c r="B29" s="7">
        <v>5650</v>
      </c>
      <c r="C29" s="20">
        <v>36999681</v>
      </c>
      <c r="D29" s="21" t="s">
        <v>51</v>
      </c>
      <c r="E29" s="23">
        <v>46</v>
      </c>
      <c r="F29" s="22" t="s">
        <v>3</v>
      </c>
      <c r="G29" s="22">
        <v>58</v>
      </c>
      <c r="H29" s="23">
        <v>48</v>
      </c>
      <c r="I29" s="22" t="s">
        <v>3</v>
      </c>
      <c r="J29" s="23" t="s">
        <v>6</v>
      </c>
      <c r="K29" s="22"/>
      <c r="L29" s="18">
        <v>46</v>
      </c>
      <c r="M29" s="10">
        <v>1</v>
      </c>
      <c r="N29" s="10">
        <v>1</v>
      </c>
      <c r="O29" s="10">
        <v>1</v>
      </c>
      <c r="P29" s="10">
        <v>1</v>
      </c>
      <c r="Q29" s="10">
        <v>1</v>
      </c>
      <c r="R29" s="8">
        <v>1</v>
      </c>
      <c r="S29" s="8">
        <v>1</v>
      </c>
      <c r="T29" s="10">
        <v>1</v>
      </c>
      <c r="U29" s="10">
        <v>1</v>
      </c>
      <c r="V29" s="8">
        <v>1</v>
      </c>
      <c r="W29" s="8">
        <v>1</v>
      </c>
    </row>
    <row r="30" spans="1:23">
      <c r="A30" s="4">
        <v>28</v>
      </c>
      <c r="B30" s="7">
        <v>5572</v>
      </c>
      <c r="C30" s="20">
        <v>37086895</v>
      </c>
      <c r="D30" s="21" t="s">
        <v>52</v>
      </c>
      <c r="E30" s="23">
        <v>38</v>
      </c>
      <c r="F30" s="23" t="s">
        <v>2</v>
      </c>
      <c r="G30" s="22">
        <v>56</v>
      </c>
      <c r="H30" s="23">
        <v>40</v>
      </c>
      <c r="I30" s="22" t="s">
        <v>2</v>
      </c>
      <c r="J30" s="23" t="s">
        <v>1</v>
      </c>
      <c r="K30" s="23">
        <v>43</v>
      </c>
      <c r="L30" s="17">
        <v>38</v>
      </c>
      <c r="M30" s="10">
        <v>1</v>
      </c>
      <c r="N30" s="10">
        <v>1</v>
      </c>
      <c r="O30" s="10">
        <v>1</v>
      </c>
      <c r="P30" s="10">
        <v>1</v>
      </c>
      <c r="Q30" s="10">
        <v>1</v>
      </c>
      <c r="R30" s="8">
        <v>1</v>
      </c>
      <c r="S30" s="8">
        <v>1</v>
      </c>
      <c r="T30" s="10">
        <v>1</v>
      </c>
      <c r="U30" s="10">
        <v>1</v>
      </c>
      <c r="V30" s="8">
        <v>1</v>
      </c>
      <c r="W30" s="8">
        <v>1</v>
      </c>
    </row>
    <row r="31" spans="1:23">
      <c r="A31" s="4">
        <v>29</v>
      </c>
      <c r="B31" s="7">
        <v>5646</v>
      </c>
      <c r="C31" s="20">
        <v>41644961</v>
      </c>
      <c r="D31" s="21" t="s">
        <v>53</v>
      </c>
      <c r="E31" s="22">
        <v>44</v>
      </c>
      <c r="F31" s="22" t="s">
        <v>1</v>
      </c>
      <c r="G31" s="22">
        <v>57</v>
      </c>
      <c r="H31" s="23">
        <v>48</v>
      </c>
      <c r="I31" s="22" t="s">
        <v>3</v>
      </c>
      <c r="J31" s="23" t="s">
        <v>3</v>
      </c>
      <c r="K31" s="23">
        <v>43</v>
      </c>
      <c r="L31" s="18">
        <v>44</v>
      </c>
      <c r="M31" s="10">
        <v>1</v>
      </c>
      <c r="N31" s="10">
        <v>1</v>
      </c>
      <c r="O31" s="10">
        <v>1</v>
      </c>
      <c r="P31" s="10">
        <v>1</v>
      </c>
      <c r="Q31" s="10">
        <v>1</v>
      </c>
      <c r="R31" s="8">
        <v>1</v>
      </c>
      <c r="S31" s="8">
        <v>1</v>
      </c>
      <c r="T31" s="10">
        <v>1</v>
      </c>
      <c r="U31" s="10">
        <v>1</v>
      </c>
      <c r="V31" s="8">
        <v>1</v>
      </c>
      <c r="W31" s="8">
        <v>1</v>
      </c>
    </row>
    <row r="32" spans="1:23">
      <c r="A32" s="4">
        <v>30</v>
      </c>
      <c r="B32" s="7">
        <v>5563</v>
      </c>
      <c r="C32" s="20">
        <v>43750657</v>
      </c>
      <c r="D32" s="21" t="s">
        <v>54</v>
      </c>
      <c r="E32" s="23">
        <v>48</v>
      </c>
      <c r="F32" s="22" t="s">
        <v>6</v>
      </c>
      <c r="G32" s="22">
        <v>60</v>
      </c>
      <c r="H32" s="22">
        <v>58</v>
      </c>
      <c r="I32" s="22" t="s">
        <v>7</v>
      </c>
      <c r="J32" s="23" t="s">
        <v>7</v>
      </c>
      <c r="K32" s="22">
        <v>43</v>
      </c>
      <c r="L32" s="17">
        <v>48</v>
      </c>
      <c r="M32" s="10">
        <v>1</v>
      </c>
      <c r="N32" s="10">
        <v>1</v>
      </c>
      <c r="O32" s="10">
        <v>1</v>
      </c>
      <c r="P32" s="10">
        <v>1</v>
      </c>
      <c r="Q32" s="10">
        <v>1</v>
      </c>
      <c r="R32" s="8">
        <v>1</v>
      </c>
      <c r="S32" s="8">
        <v>1</v>
      </c>
      <c r="T32" s="10">
        <v>1</v>
      </c>
      <c r="U32" s="10">
        <v>1</v>
      </c>
      <c r="V32" s="8">
        <v>1</v>
      </c>
      <c r="W32" s="8">
        <v>1</v>
      </c>
    </row>
    <row r="33" spans="1:23">
      <c r="A33" s="4">
        <v>31</v>
      </c>
      <c r="B33" s="7">
        <v>5618</v>
      </c>
      <c r="C33" s="20">
        <v>38207855</v>
      </c>
      <c r="D33" s="21" t="s">
        <v>55</v>
      </c>
      <c r="E33" s="22">
        <v>44</v>
      </c>
      <c r="F33" s="22" t="s">
        <v>3</v>
      </c>
      <c r="G33" s="22">
        <v>60</v>
      </c>
      <c r="H33" s="22">
        <v>50</v>
      </c>
      <c r="I33" s="22" t="s">
        <v>3</v>
      </c>
      <c r="J33" s="23" t="s">
        <v>3</v>
      </c>
      <c r="K33" s="22"/>
      <c r="L33" s="18">
        <v>44</v>
      </c>
      <c r="M33" s="10">
        <v>1</v>
      </c>
      <c r="N33" s="10">
        <v>1</v>
      </c>
      <c r="O33" s="10">
        <v>1</v>
      </c>
      <c r="P33" s="10">
        <v>1</v>
      </c>
      <c r="Q33" s="10">
        <v>1</v>
      </c>
      <c r="R33" s="8">
        <v>1</v>
      </c>
      <c r="S33" s="8">
        <v>1</v>
      </c>
      <c r="T33" s="10">
        <v>1</v>
      </c>
      <c r="U33" s="10">
        <v>1</v>
      </c>
      <c r="V33" s="8">
        <v>1</v>
      </c>
      <c r="W33" s="8">
        <v>1</v>
      </c>
    </row>
    <row r="34" spans="1:23">
      <c r="A34" s="4">
        <v>32</v>
      </c>
      <c r="B34" s="7">
        <v>5660</v>
      </c>
      <c r="C34" s="20">
        <v>38909402</v>
      </c>
      <c r="D34" s="21" t="s">
        <v>56</v>
      </c>
      <c r="E34" s="22">
        <v>42</v>
      </c>
      <c r="F34" s="23" t="s">
        <v>7</v>
      </c>
      <c r="G34" s="22">
        <v>60</v>
      </c>
      <c r="H34" s="23">
        <v>44</v>
      </c>
      <c r="I34" s="22" t="s">
        <v>1</v>
      </c>
      <c r="J34" s="23" t="s">
        <v>1</v>
      </c>
      <c r="K34" s="22">
        <v>42</v>
      </c>
      <c r="L34" s="18">
        <v>42</v>
      </c>
      <c r="M34" s="10">
        <v>1</v>
      </c>
      <c r="N34" s="10">
        <v>1</v>
      </c>
      <c r="O34" s="10">
        <v>1</v>
      </c>
      <c r="P34" s="10">
        <v>1</v>
      </c>
      <c r="Q34" s="10">
        <v>1</v>
      </c>
      <c r="R34" s="8">
        <v>1</v>
      </c>
      <c r="S34" s="8">
        <v>1</v>
      </c>
      <c r="T34" s="10">
        <v>1</v>
      </c>
      <c r="U34" s="10">
        <v>1</v>
      </c>
      <c r="V34" s="8">
        <v>1</v>
      </c>
      <c r="W34" s="8">
        <v>1</v>
      </c>
    </row>
    <row r="35" spans="1:23">
      <c r="A35" s="4">
        <v>33</v>
      </c>
      <c r="B35" s="7">
        <v>5664</v>
      </c>
      <c r="C35" s="20">
        <v>35626747</v>
      </c>
      <c r="D35" s="21" t="s">
        <v>57</v>
      </c>
      <c r="E35" s="23">
        <v>48</v>
      </c>
      <c r="F35" s="22" t="s">
        <v>1</v>
      </c>
      <c r="G35" s="22">
        <v>58</v>
      </c>
      <c r="H35" s="22">
        <v>54</v>
      </c>
      <c r="I35" s="22" t="s">
        <v>6</v>
      </c>
      <c r="J35" s="23" t="s">
        <v>6</v>
      </c>
      <c r="K35" s="23">
        <v>45</v>
      </c>
      <c r="L35" s="17">
        <v>48</v>
      </c>
      <c r="M35" s="10">
        <v>1</v>
      </c>
      <c r="N35" s="10">
        <v>1</v>
      </c>
      <c r="O35" s="10">
        <v>1</v>
      </c>
      <c r="P35" s="10">
        <v>1</v>
      </c>
      <c r="Q35" s="10">
        <v>1</v>
      </c>
      <c r="R35" s="8">
        <v>1</v>
      </c>
      <c r="S35" s="8">
        <v>1</v>
      </c>
      <c r="T35" s="10">
        <v>1</v>
      </c>
      <c r="U35" s="10">
        <v>1</v>
      </c>
      <c r="V35" s="8">
        <v>1</v>
      </c>
      <c r="W35" s="8">
        <v>1</v>
      </c>
    </row>
    <row r="36" spans="1:23">
      <c r="A36" s="4">
        <v>34</v>
      </c>
      <c r="B36" s="7">
        <v>5668</v>
      </c>
      <c r="C36" s="20">
        <v>35937684</v>
      </c>
      <c r="D36" s="21" t="s">
        <v>58</v>
      </c>
      <c r="E36" s="23">
        <v>38</v>
      </c>
      <c r="F36" s="22" t="s">
        <v>4</v>
      </c>
      <c r="G36" s="22">
        <v>58</v>
      </c>
      <c r="H36" s="23">
        <v>44</v>
      </c>
      <c r="I36" s="22" t="s">
        <v>2</v>
      </c>
      <c r="J36" s="23" t="s">
        <v>2</v>
      </c>
      <c r="K36" s="23">
        <v>37</v>
      </c>
      <c r="L36" s="17">
        <v>38</v>
      </c>
      <c r="M36" s="10">
        <v>1</v>
      </c>
      <c r="N36" s="10">
        <v>1</v>
      </c>
      <c r="O36" s="10">
        <v>1</v>
      </c>
      <c r="P36" s="10">
        <v>1</v>
      </c>
      <c r="Q36" s="10">
        <v>1</v>
      </c>
      <c r="R36" s="8">
        <v>1</v>
      </c>
      <c r="S36" s="8">
        <v>1</v>
      </c>
      <c r="T36" s="10">
        <v>1</v>
      </c>
      <c r="U36" s="10">
        <v>1</v>
      </c>
      <c r="V36" s="8">
        <v>1</v>
      </c>
      <c r="W36" s="8">
        <v>1</v>
      </c>
    </row>
    <row r="37" spans="1:23">
      <c r="A37" s="4">
        <v>35</v>
      </c>
      <c r="B37" s="7">
        <v>5665</v>
      </c>
      <c r="C37" s="20">
        <v>42669873</v>
      </c>
      <c r="D37" s="21" t="s">
        <v>59</v>
      </c>
      <c r="E37" s="22">
        <v>44</v>
      </c>
      <c r="F37" s="22" t="s">
        <v>1</v>
      </c>
      <c r="G37" s="22">
        <v>57</v>
      </c>
      <c r="H37" s="22">
        <v>46</v>
      </c>
      <c r="I37" s="22" t="s">
        <v>3</v>
      </c>
      <c r="J37" s="23" t="s">
        <v>3</v>
      </c>
      <c r="K37" s="22">
        <v>41</v>
      </c>
      <c r="L37" s="18">
        <v>44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8">
        <v>1</v>
      </c>
      <c r="S37" s="8">
        <v>1</v>
      </c>
      <c r="T37" s="10">
        <v>1</v>
      </c>
      <c r="U37" s="10">
        <v>1</v>
      </c>
      <c r="V37" s="8">
        <v>1</v>
      </c>
      <c r="W37" s="8">
        <v>1</v>
      </c>
    </row>
    <row r="38" spans="1:23">
      <c r="A38" s="4">
        <v>36</v>
      </c>
      <c r="B38" s="7">
        <v>5580</v>
      </c>
      <c r="C38" s="20">
        <v>41967328</v>
      </c>
      <c r="D38" s="21" t="s">
        <v>60</v>
      </c>
      <c r="E38" s="23">
        <v>46</v>
      </c>
      <c r="F38" s="22" t="s">
        <v>6</v>
      </c>
      <c r="G38" s="22">
        <v>58</v>
      </c>
      <c r="H38" s="22">
        <v>54</v>
      </c>
      <c r="I38" s="22" t="s">
        <v>6</v>
      </c>
      <c r="J38" s="23" t="s">
        <v>3</v>
      </c>
      <c r="K38" s="22">
        <v>43</v>
      </c>
      <c r="L38" s="18">
        <v>46</v>
      </c>
      <c r="M38" s="10">
        <v>1</v>
      </c>
      <c r="N38" s="10">
        <v>1</v>
      </c>
      <c r="O38" s="10">
        <v>1</v>
      </c>
      <c r="P38" s="10">
        <v>1</v>
      </c>
      <c r="Q38" s="10">
        <v>1</v>
      </c>
      <c r="R38" s="8">
        <v>1</v>
      </c>
      <c r="S38" s="8">
        <v>1</v>
      </c>
      <c r="T38" s="10">
        <v>1</v>
      </c>
      <c r="U38" s="10">
        <v>1</v>
      </c>
      <c r="V38" s="8">
        <v>1</v>
      </c>
      <c r="W38" s="8">
        <v>1</v>
      </c>
    </row>
    <row r="39" spans="1:23">
      <c r="A39" s="4">
        <v>37</v>
      </c>
      <c r="B39" s="7">
        <v>5636</v>
      </c>
      <c r="C39" s="20">
        <v>42357750</v>
      </c>
      <c r="D39" s="21" t="s">
        <v>61</v>
      </c>
      <c r="E39" s="22"/>
      <c r="F39" s="22"/>
      <c r="G39" s="22"/>
      <c r="H39" s="22"/>
      <c r="I39" s="22"/>
      <c r="J39" s="22"/>
      <c r="K39" s="22"/>
      <c r="L39" s="18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>
      <c r="A40" s="4">
        <v>38</v>
      </c>
      <c r="B40" s="7">
        <v>5614</v>
      </c>
      <c r="C40" s="20">
        <v>37413174</v>
      </c>
      <c r="D40" s="21" t="s">
        <v>62</v>
      </c>
      <c r="E40" s="22">
        <v>42</v>
      </c>
      <c r="F40" s="23" t="s">
        <v>2</v>
      </c>
      <c r="G40" s="22">
        <v>57</v>
      </c>
      <c r="H40" s="23">
        <v>44</v>
      </c>
      <c r="I40" s="22" t="s">
        <v>2</v>
      </c>
      <c r="J40" s="23" t="s">
        <v>2</v>
      </c>
      <c r="K40" s="22">
        <v>41</v>
      </c>
      <c r="L40" s="18">
        <v>42</v>
      </c>
      <c r="M40" s="10">
        <v>1</v>
      </c>
      <c r="N40" s="10">
        <v>1</v>
      </c>
      <c r="O40" s="10">
        <v>1</v>
      </c>
      <c r="P40" s="10">
        <v>1</v>
      </c>
      <c r="Q40" s="10">
        <v>1</v>
      </c>
      <c r="R40" s="8">
        <v>1</v>
      </c>
      <c r="S40" s="8">
        <v>1</v>
      </c>
      <c r="T40" s="10">
        <v>1</v>
      </c>
      <c r="U40" s="10">
        <v>1</v>
      </c>
      <c r="V40" s="8">
        <v>1</v>
      </c>
      <c r="W40" s="8">
        <v>1</v>
      </c>
    </row>
    <row r="41" spans="1:23">
      <c r="A41" s="4">
        <v>39</v>
      </c>
      <c r="B41" s="7">
        <v>5570</v>
      </c>
      <c r="C41" s="20">
        <v>43830599</v>
      </c>
      <c r="D41" s="21" t="s">
        <v>63</v>
      </c>
      <c r="E41" s="22">
        <v>42</v>
      </c>
      <c r="F41" s="23" t="s">
        <v>2</v>
      </c>
      <c r="G41" s="22">
        <v>57</v>
      </c>
      <c r="H41" s="22">
        <v>46</v>
      </c>
      <c r="I41" s="22" t="s">
        <v>1</v>
      </c>
      <c r="J41" s="23" t="s">
        <v>1</v>
      </c>
      <c r="K41" s="22">
        <v>42</v>
      </c>
      <c r="L41" s="18">
        <v>42</v>
      </c>
      <c r="M41" s="10">
        <v>1</v>
      </c>
      <c r="N41" s="10">
        <v>1</v>
      </c>
      <c r="O41" s="10">
        <v>1</v>
      </c>
      <c r="P41" s="10">
        <v>1</v>
      </c>
      <c r="Q41" s="10">
        <v>1</v>
      </c>
      <c r="R41" s="8">
        <v>1</v>
      </c>
      <c r="S41" s="8">
        <v>1</v>
      </c>
      <c r="T41" s="10">
        <v>1</v>
      </c>
      <c r="U41" s="10">
        <v>1</v>
      </c>
      <c r="V41" s="8">
        <v>1</v>
      </c>
      <c r="W41" s="8">
        <v>1</v>
      </c>
    </row>
    <row r="42" spans="1:23">
      <c r="A42" s="4">
        <v>40</v>
      </c>
      <c r="B42" s="7">
        <v>5594</v>
      </c>
      <c r="C42" s="20">
        <v>44984863</v>
      </c>
      <c r="D42" s="21" t="s">
        <v>64</v>
      </c>
      <c r="E42" s="23">
        <v>38</v>
      </c>
      <c r="F42" s="22" t="s">
        <v>4</v>
      </c>
      <c r="G42" s="22">
        <v>58</v>
      </c>
      <c r="H42" s="23">
        <v>40</v>
      </c>
      <c r="I42" s="22" t="s">
        <v>2</v>
      </c>
      <c r="J42" s="23" t="s">
        <v>2</v>
      </c>
      <c r="K42" s="22">
        <v>41</v>
      </c>
      <c r="L42" s="17">
        <v>38</v>
      </c>
      <c r="M42" s="10">
        <v>1</v>
      </c>
      <c r="N42" s="10">
        <v>1</v>
      </c>
      <c r="O42" s="10">
        <v>1</v>
      </c>
      <c r="P42" s="10">
        <v>1</v>
      </c>
      <c r="Q42" s="10">
        <v>1</v>
      </c>
      <c r="R42" s="8">
        <v>1</v>
      </c>
      <c r="S42" s="8">
        <v>1</v>
      </c>
      <c r="T42" s="10">
        <v>1</v>
      </c>
      <c r="U42" s="10">
        <v>1</v>
      </c>
      <c r="V42" s="8">
        <v>1</v>
      </c>
      <c r="W42" s="8">
        <v>1</v>
      </c>
    </row>
    <row r="43" spans="1:23">
      <c r="A43" s="4">
        <v>41</v>
      </c>
      <c r="B43" s="7">
        <v>5627</v>
      </c>
      <c r="C43" s="20">
        <v>39084982</v>
      </c>
      <c r="D43" s="21" t="s">
        <v>65</v>
      </c>
      <c r="E43" s="23">
        <v>40</v>
      </c>
      <c r="F43" s="22" t="s">
        <v>4</v>
      </c>
      <c r="G43" s="22">
        <v>57</v>
      </c>
      <c r="H43" s="22">
        <v>42</v>
      </c>
      <c r="I43" s="22" t="s">
        <v>2</v>
      </c>
      <c r="J43" s="23" t="s">
        <v>2</v>
      </c>
      <c r="K43" s="22">
        <v>41</v>
      </c>
      <c r="L43" s="17">
        <v>40</v>
      </c>
      <c r="M43" s="10">
        <v>1</v>
      </c>
      <c r="N43" s="10">
        <v>1</v>
      </c>
      <c r="O43" s="10">
        <v>1</v>
      </c>
      <c r="P43" s="10">
        <v>1</v>
      </c>
      <c r="Q43" s="10">
        <v>1</v>
      </c>
      <c r="R43" s="8">
        <v>1</v>
      </c>
      <c r="S43" s="8">
        <v>1</v>
      </c>
      <c r="T43" s="10">
        <v>1</v>
      </c>
      <c r="U43" s="10">
        <v>1</v>
      </c>
      <c r="V43" s="8">
        <v>1</v>
      </c>
      <c r="W43" s="8">
        <v>1</v>
      </c>
    </row>
    <row r="44" spans="1:23">
      <c r="A44" s="4">
        <v>42</v>
      </c>
      <c r="B44" s="7">
        <v>5610</v>
      </c>
      <c r="C44" s="20">
        <v>41750593</v>
      </c>
      <c r="D44" s="21" t="s">
        <v>66</v>
      </c>
      <c r="E44" s="22">
        <v>42</v>
      </c>
      <c r="F44" s="22" t="s">
        <v>4</v>
      </c>
      <c r="G44" s="22">
        <v>57</v>
      </c>
      <c r="H44" s="23">
        <v>44</v>
      </c>
      <c r="I44" s="22" t="s">
        <v>1</v>
      </c>
      <c r="J44" s="23" t="s">
        <v>1</v>
      </c>
      <c r="K44" s="23">
        <v>40</v>
      </c>
      <c r="L44" s="18">
        <v>42</v>
      </c>
      <c r="M44" s="10">
        <v>1</v>
      </c>
      <c r="N44" s="10">
        <v>1</v>
      </c>
      <c r="O44" s="10">
        <v>1</v>
      </c>
      <c r="P44" s="10">
        <v>1</v>
      </c>
      <c r="Q44" s="10">
        <v>1</v>
      </c>
      <c r="R44" s="8">
        <v>1</v>
      </c>
      <c r="S44" s="8">
        <v>1</v>
      </c>
      <c r="T44" s="10">
        <v>1</v>
      </c>
      <c r="U44" s="10">
        <v>1</v>
      </c>
      <c r="V44" s="8">
        <v>1</v>
      </c>
      <c r="W44" s="8">
        <v>1</v>
      </c>
    </row>
    <row r="45" spans="1:23">
      <c r="A45" s="4">
        <v>43</v>
      </c>
      <c r="B45" s="7">
        <v>5581</v>
      </c>
      <c r="C45" s="20">
        <v>37964139</v>
      </c>
      <c r="D45" s="21" t="s">
        <v>67</v>
      </c>
      <c r="E45" s="22">
        <v>42</v>
      </c>
      <c r="F45" s="22" t="s">
        <v>1</v>
      </c>
      <c r="G45" s="22">
        <v>59</v>
      </c>
      <c r="H45" s="22">
        <v>44</v>
      </c>
      <c r="I45" s="22" t="s">
        <v>1</v>
      </c>
      <c r="J45" s="23" t="s">
        <v>1</v>
      </c>
      <c r="K45" s="22">
        <v>41</v>
      </c>
      <c r="L45" s="18">
        <v>42</v>
      </c>
      <c r="M45" s="10">
        <v>1</v>
      </c>
      <c r="N45" s="10">
        <v>1</v>
      </c>
      <c r="O45" s="10">
        <v>1</v>
      </c>
      <c r="P45" s="10">
        <v>1</v>
      </c>
      <c r="Q45" s="10">
        <v>1</v>
      </c>
      <c r="R45" s="8">
        <v>1</v>
      </c>
      <c r="S45" s="8">
        <v>1</v>
      </c>
      <c r="T45" s="10">
        <v>1</v>
      </c>
      <c r="U45" s="10">
        <v>1</v>
      </c>
      <c r="V45" s="8">
        <v>1</v>
      </c>
      <c r="W45" s="8">
        <v>1</v>
      </c>
    </row>
    <row r="46" spans="1:23">
      <c r="A46" s="4">
        <v>44</v>
      </c>
      <c r="B46" s="7">
        <v>5626</v>
      </c>
      <c r="C46" s="20">
        <v>37625830</v>
      </c>
      <c r="D46" s="21" t="s">
        <v>68</v>
      </c>
      <c r="E46" s="23">
        <v>46</v>
      </c>
      <c r="F46" s="22" t="s">
        <v>3</v>
      </c>
      <c r="G46" s="22">
        <v>57</v>
      </c>
      <c r="H46" s="22">
        <v>46</v>
      </c>
      <c r="I46" s="22" t="s">
        <v>3</v>
      </c>
      <c r="J46" s="23" t="s">
        <v>6</v>
      </c>
      <c r="K46" s="22">
        <v>43</v>
      </c>
      <c r="L46" s="18">
        <v>46</v>
      </c>
      <c r="M46" s="10">
        <v>1</v>
      </c>
      <c r="N46" s="10">
        <v>1</v>
      </c>
      <c r="O46" s="10">
        <v>1</v>
      </c>
      <c r="P46" s="10">
        <v>1</v>
      </c>
      <c r="Q46" s="10">
        <v>1</v>
      </c>
      <c r="R46" s="8">
        <v>1</v>
      </c>
      <c r="S46" s="8">
        <v>1</v>
      </c>
      <c r="T46" s="10">
        <v>1</v>
      </c>
      <c r="U46" s="10">
        <v>1</v>
      </c>
      <c r="V46" s="8">
        <v>1</v>
      </c>
      <c r="W46" s="8">
        <v>1</v>
      </c>
    </row>
    <row r="47" spans="1:23">
      <c r="A47" s="4">
        <v>45</v>
      </c>
      <c r="B47" s="7">
        <v>5579</v>
      </c>
      <c r="C47" s="20">
        <v>42357612</v>
      </c>
      <c r="D47" s="21" t="s">
        <v>69</v>
      </c>
      <c r="E47" s="22">
        <v>42</v>
      </c>
      <c r="F47" s="22" t="s">
        <v>3</v>
      </c>
      <c r="G47" s="22">
        <v>56</v>
      </c>
      <c r="H47" s="22">
        <v>42</v>
      </c>
      <c r="I47" s="22" t="s">
        <v>3</v>
      </c>
      <c r="J47" s="23" t="s">
        <v>3</v>
      </c>
      <c r="K47" s="23">
        <v>44</v>
      </c>
      <c r="L47" s="18">
        <v>42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8">
        <v>1</v>
      </c>
      <c r="S47" s="8">
        <v>1</v>
      </c>
      <c r="T47" s="10">
        <v>1</v>
      </c>
      <c r="U47" s="10">
        <v>1</v>
      </c>
      <c r="V47" s="8">
        <v>1</v>
      </c>
      <c r="W47" s="8">
        <v>1</v>
      </c>
    </row>
    <row r="48" spans="1:23">
      <c r="A48" s="4">
        <v>46</v>
      </c>
      <c r="B48" s="7">
        <v>5569</v>
      </c>
      <c r="C48" s="20">
        <v>43748477</v>
      </c>
      <c r="D48" s="21" t="s">
        <v>70</v>
      </c>
      <c r="E48" s="23">
        <v>38</v>
      </c>
      <c r="F48" s="23" t="s">
        <v>2</v>
      </c>
      <c r="G48" s="22">
        <v>56</v>
      </c>
      <c r="H48" s="23">
        <v>40</v>
      </c>
      <c r="I48" s="22" t="s">
        <v>2</v>
      </c>
      <c r="J48" s="23" t="s">
        <v>2</v>
      </c>
      <c r="K48" s="22">
        <v>41</v>
      </c>
      <c r="L48" s="17">
        <v>38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8">
        <v>1</v>
      </c>
      <c r="S48" s="8">
        <v>1</v>
      </c>
      <c r="T48" s="10">
        <v>1</v>
      </c>
      <c r="U48" s="10">
        <v>1</v>
      </c>
      <c r="V48" s="8">
        <v>1</v>
      </c>
      <c r="W48" s="8">
        <v>1</v>
      </c>
    </row>
    <row r="49" spans="1:23">
      <c r="A49" s="4">
        <v>47</v>
      </c>
      <c r="B49" s="7">
        <v>5630</v>
      </c>
      <c r="C49" s="20">
        <v>43748476</v>
      </c>
      <c r="D49" s="21" t="s">
        <v>71</v>
      </c>
      <c r="E49" s="23">
        <v>38</v>
      </c>
      <c r="F49" s="22" t="s">
        <v>2</v>
      </c>
      <c r="G49" s="22">
        <v>56</v>
      </c>
      <c r="H49" s="23">
        <v>40</v>
      </c>
      <c r="I49" s="22" t="s">
        <v>2</v>
      </c>
      <c r="J49" s="23" t="s">
        <v>2</v>
      </c>
      <c r="K49" s="22">
        <v>41</v>
      </c>
      <c r="L49" s="17">
        <v>38</v>
      </c>
      <c r="M49" s="10">
        <v>1</v>
      </c>
      <c r="N49" s="10">
        <v>1</v>
      </c>
      <c r="O49" s="10">
        <v>1</v>
      </c>
      <c r="P49" s="10">
        <v>1</v>
      </c>
      <c r="Q49" s="10">
        <v>1</v>
      </c>
      <c r="R49" s="8">
        <v>1</v>
      </c>
      <c r="S49" s="8">
        <v>1</v>
      </c>
      <c r="T49" s="10">
        <v>1</v>
      </c>
      <c r="U49" s="10">
        <v>1</v>
      </c>
      <c r="V49" s="8">
        <v>1</v>
      </c>
      <c r="W49" s="8">
        <v>1</v>
      </c>
    </row>
    <row r="50" spans="1:23">
      <c r="A50" s="4">
        <v>48</v>
      </c>
      <c r="B50" s="7">
        <v>5662</v>
      </c>
      <c r="C50" s="20">
        <v>43691227</v>
      </c>
      <c r="D50" s="21" t="s">
        <v>72</v>
      </c>
      <c r="E50" s="23">
        <v>40</v>
      </c>
      <c r="F50" s="22" t="s">
        <v>2</v>
      </c>
      <c r="G50" s="22">
        <v>59</v>
      </c>
      <c r="H50" s="22">
        <v>44</v>
      </c>
      <c r="I50" s="22" t="s">
        <v>2</v>
      </c>
      <c r="J50" s="23" t="s">
        <v>2</v>
      </c>
      <c r="K50" s="22">
        <v>40</v>
      </c>
      <c r="L50" s="17">
        <v>40</v>
      </c>
      <c r="M50" s="10">
        <v>1</v>
      </c>
      <c r="N50" s="10">
        <v>1</v>
      </c>
      <c r="O50" s="10">
        <v>1</v>
      </c>
      <c r="P50" s="10">
        <v>1</v>
      </c>
      <c r="Q50" s="10">
        <v>1</v>
      </c>
      <c r="R50" s="8">
        <v>1</v>
      </c>
      <c r="S50" s="8">
        <v>1</v>
      </c>
      <c r="T50" s="10">
        <v>1</v>
      </c>
      <c r="U50" s="10">
        <v>1</v>
      </c>
      <c r="V50" s="8">
        <v>1</v>
      </c>
      <c r="W50" s="8">
        <v>1</v>
      </c>
    </row>
    <row r="51" spans="1:23">
      <c r="A51" s="4">
        <v>49</v>
      </c>
      <c r="B51" s="7">
        <v>5663</v>
      </c>
      <c r="C51" s="20">
        <v>40559041</v>
      </c>
      <c r="D51" s="21" t="s">
        <v>73</v>
      </c>
      <c r="E51" s="23">
        <v>46</v>
      </c>
      <c r="F51" s="22" t="s">
        <v>3</v>
      </c>
      <c r="G51" s="22">
        <v>59</v>
      </c>
      <c r="H51" s="23">
        <v>48</v>
      </c>
      <c r="I51" s="22" t="s">
        <v>3</v>
      </c>
      <c r="J51" s="23" t="s">
        <v>3</v>
      </c>
      <c r="K51" s="23">
        <v>44</v>
      </c>
      <c r="L51" s="18">
        <v>46</v>
      </c>
      <c r="M51" s="10">
        <v>1</v>
      </c>
      <c r="N51" s="10">
        <v>1</v>
      </c>
      <c r="O51" s="10">
        <v>1</v>
      </c>
      <c r="P51" s="10">
        <v>1</v>
      </c>
      <c r="Q51" s="10">
        <v>1</v>
      </c>
      <c r="R51" s="8">
        <v>1</v>
      </c>
      <c r="S51" s="8">
        <v>1</v>
      </c>
      <c r="T51" s="10">
        <v>1</v>
      </c>
      <c r="U51" s="10">
        <v>1</v>
      </c>
      <c r="V51" s="8">
        <v>1</v>
      </c>
      <c r="W51" s="8">
        <v>1</v>
      </c>
    </row>
    <row r="52" spans="1:23">
      <c r="A52" s="4">
        <v>50</v>
      </c>
      <c r="B52" s="7">
        <v>5612</v>
      </c>
      <c r="C52" s="20">
        <v>41112678</v>
      </c>
      <c r="D52" s="21" t="s">
        <v>74</v>
      </c>
      <c r="E52" s="22">
        <v>42</v>
      </c>
      <c r="F52" s="22" t="s">
        <v>1</v>
      </c>
      <c r="G52" s="22">
        <v>59</v>
      </c>
      <c r="H52" s="22">
        <v>42</v>
      </c>
      <c r="I52" s="22" t="s">
        <v>1</v>
      </c>
      <c r="J52" s="23" t="s">
        <v>1</v>
      </c>
      <c r="K52" s="22">
        <v>42</v>
      </c>
      <c r="L52" s="18">
        <v>42</v>
      </c>
      <c r="M52" s="10">
        <v>1</v>
      </c>
      <c r="N52" s="10">
        <v>1</v>
      </c>
      <c r="O52" s="10">
        <v>1</v>
      </c>
      <c r="P52" s="10">
        <v>1</v>
      </c>
      <c r="Q52" s="10">
        <v>1</v>
      </c>
      <c r="R52" s="8">
        <v>1</v>
      </c>
      <c r="S52" s="8">
        <v>1</v>
      </c>
      <c r="T52" s="10">
        <v>1</v>
      </c>
      <c r="U52" s="10">
        <v>1</v>
      </c>
      <c r="V52" s="8">
        <v>1</v>
      </c>
      <c r="W52" s="8">
        <v>1</v>
      </c>
    </row>
    <row r="53" spans="1:23">
      <c r="A53" s="4">
        <v>51</v>
      </c>
      <c r="B53" s="7">
        <v>5656</v>
      </c>
      <c r="C53" s="20">
        <v>39767479</v>
      </c>
      <c r="D53" s="21" t="s">
        <v>75</v>
      </c>
      <c r="E53" s="22">
        <v>42</v>
      </c>
      <c r="F53" s="22" t="s">
        <v>2</v>
      </c>
      <c r="G53" s="22">
        <v>57</v>
      </c>
      <c r="H53" s="22">
        <v>42</v>
      </c>
      <c r="I53" s="22" t="s">
        <v>1</v>
      </c>
      <c r="J53" s="23" t="s">
        <v>1</v>
      </c>
      <c r="K53" s="22">
        <v>42</v>
      </c>
      <c r="L53" s="18">
        <v>42</v>
      </c>
      <c r="M53" s="10">
        <v>1</v>
      </c>
      <c r="N53" s="10">
        <v>1</v>
      </c>
      <c r="O53" s="10">
        <v>1</v>
      </c>
      <c r="P53" s="10">
        <v>1</v>
      </c>
      <c r="Q53" s="10">
        <v>1</v>
      </c>
      <c r="R53" s="8">
        <v>1</v>
      </c>
      <c r="S53" s="8">
        <v>1</v>
      </c>
      <c r="T53" s="10">
        <v>1</v>
      </c>
      <c r="U53" s="10">
        <v>1</v>
      </c>
      <c r="V53" s="8">
        <v>1</v>
      </c>
      <c r="W53" s="8">
        <v>1</v>
      </c>
    </row>
    <row r="54" spans="1:23">
      <c r="A54" s="4">
        <v>52</v>
      </c>
      <c r="B54" s="7">
        <v>5669</v>
      </c>
      <c r="C54" s="20">
        <v>35877190</v>
      </c>
      <c r="D54" s="21" t="s">
        <v>76</v>
      </c>
      <c r="E54" s="22"/>
      <c r="F54" s="22" t="s">
        <v>4</v>
      </c>
      <c r="G54" s="22">
        <v>55</v>
      </c>
      <c r="H54" s="22"/>
      <c r="I54" s="22"/>
      <c r="J54" s="23" t="s">
        <v>4</v>
      </c>
      <c r="K54" s="22"/>
      <c r="L54" s="18"/>
      <c r="M54" s="10">
        <v>1</v>
      </c>
      <c r="N54" s="10">
        <v>1</v>
      </c>
      <c r="O54" s="10">
        <v>1</v>
      </c>
      <c r="P54" s="10">
        <v>1</v>
      </c>
      <c r="Q54" s="10">
        <v>1</v>
      </c>
      <c r="R54" s="8">
        <v>1</v>
      </c>
      <c r="S54" s="8">
        <v>1</v>
      </c>
      <c r="T54" s="10">
        <v>1</v>
      </c>
      <c r="U54" s="10">
        <v>1</v>
      </c>
      <c r="V54" s="8">
        <v>1</v>
      </c>
      <c r="W54" s="8">
        <v>1</v>
      </c>
    </row>
    <row r="55" spans="1:23">
      <c r="A55" s="4">
        <v>53</v>
      </c>
      <c r="B55" s="7">
        <v>5578</v>
      </c>
      <c r="C55" s="20">
        <v>41794975</v>
      </c>
      <c r="D55" s="21" t="s">
        <v>77</v>
      </c>
      <c r="E55" s="23">
        <v>40</v>
      </c>
      <c r="F55" s="22" t="s">
        <v>2</v>
      </c>
      <c r="G55" s="22">
        <v>56</v>
      </c>
      <c r="H55" s="23">
        <v>40</v>
      </c>
      <c r="I55" s="22" t="s">
        <v>2</v>
      </c>
      <c r="J55" s="23" t="s">
        <v>2</v>
      </c>
      <c r="K55" s="22">
        <v>41</v>
      </c>
      <c r="L55" s="18">
        <v>40</v>
      </c>
      <c r="M55" s="10">
        <v>1</v>
      </c>
      <c r="N55" s="10">
        <v>1</v>
      </c>
      <c r="O55" s="10">
        <v>1</v>
      </c>
      <c r="P55" s="10">
        <v>1</v>
      </c>
      <c r="Q55" s="10">
        <v>1</v>
      </c>
      <c r="R55" s="8">
        <v>1</v>
      </c>
      <c r="S55" s="8">
        <v>1</v>
      </c>
      <c r="T55" s="10">
        <v>1</v>
      </c>
      <c r="U55" s="10">
        <v>1</v>
      </c>
      <c r="V55" s="8">
        <v>1</v>
      </c>
      <c r="W55" s="8">
        <v>1</v>
      </c>
    </row>
    <row r="56" spans="1:23">
      <c r="A56" s="4">
        <v>54</v>
      </c>
      <c r="B56" s="7">
        <v>5582</v>
      </c>
      <c r="C56" s="20">
        <v>41728006</v>
      </c>
      <c r="D56" s="21" t="s">
        <v>78</v>
      </c>
      <c r="E56" s="23">
        <v>46</v>
      </c>
      <c r="F56" s="22" t="s">
        <v>6</v>
      </c>
      <c r="G56" s="22">
        <v>59</v>
      </c>
      <c r="H56" s="22">
        <v>46</v>
      </c>
      <c r="I56" s="22" t="s">
        <v>6</v>
      </c>
      <c r="J56" s="23" t="s">
        <v>6</v>
      </c>
      <c r="K56" s="23">
        <v>45</v>
      </c>
      <c r="L56" s="18">
        <v>46</v>
      </c>
      <c r="M56" s="10">
        <v>1</v>
      </c>
      <c r="N56" s="10">
        <v>1</v>
      </c>
      <c r="O56" s="10">
        <v>1</v>
      </c>
      <c r="P56" s="10">
        <v>1</v>
      </c>
      <c r="Q56" s="10">
        <v>1</v>
      </c>
      <c r="R56" s="8">
        <v>1</v>
      </c>
      <c r="S56" s="8">
        <v>1</v>
      </c>
      <c r="T56" s="10">
        <v>1</v>
      </c>
      <c r="U56" s="10">
        <v>1</v>
      </c>
      <c r="V56" s="8">
        <v>1</v>
      </c>
      <c r="W56" s="8">
        <v>1</v>
      </c>
    </row>
    <row r="57" spans="1:23">
      <c r="A57" s="4">
        <v>55</v>
      </c>
      <c r="B57" s="7">
        <v>5571</v>
      </c>
      <c r="C57" s="20">
        <v>36999306</v>
      </c>
      <c r="D57" s="21" t="s">
        <v>79</v>
      </c>
      <c r="E57" s="22">
        <v>42</v>
      </c>
      <c r="F57" s="22" t="s">
        <v>1</v>
      </c>
      <c r="G57" s="22">
        <v>55</v>
      </c>
      <c r="H57" s="22">
        <v>46</v>
      </c>
      <c r="I57" s="22" t="s">
        <v>2</v>
      </c>
      <c r="J57" s="23" t="s">
        <v>2</v>
      </c>
      <c r="K57" s="23">
        <v>39</v>
      </c>
      <c r="L57" s="18">
        <v>42</v>
      </c>
      <c r="M57" s="10">
        <v>1</v>
      </c>
      <c r="N57" s="10">
        <v>1</v>
      </c>
      <c r="O57" s="10">
        <v>1</v>
      </c>
      <c r="P57" s="10">
        <v>1</v>
      </c>
      <c r="Q57" s="10">
        <v>1</v>
      </c>
      <c r="R57" s="8">
        <v>1</v>
      </c>
      <c r="S57" s="8">
        <v>1</v>
      </c>
      <c r="T57" s="10">
        <v>1</v>
      </c>
      <c r="U57" s="10">
        <v>1</v>
      </c>
      <c r="V57" s="8">
        <v>1</v>
      </c>
      <c r="W57" s="8">
        <v>1</v>
      </c>
    </row>
    <row r="58" spans="1:23">
      <c r="A58" s="4">
        <v>56</v>
      </c>
      <c r="B58" s="7">
        <v>5649</v>
      </c>
      <c r="C58" s="20">
        <v>37613215</v>
      </c>
      <c r="D58" s="21" t="s">
        <v>80</v>
      </c>
      <c r="E58" s="23">
        <v>40</v>
      </c>
      <c r="F58" s="22" t="s">
        <v>4</v>
      </c>
      <c r="G58" s="22">
        <v>55</v>
      </c>
      <c r="H58" s="22">
        <v>42</v>
      </c>
      <c r="I58" s="22" t="s">
        <v>2</v>
      </c>
      <c r="J58" s="23" t="s">
        <v>2</v>
      </c>
      <c r="K58" s="22">
        <v>41</v>
      </c>
      <c r="L58" s="18">
        <v>40</v>
      </c>
      <c r="M58" s="10">
        <v>1</v>
      </c>
      <c r="N58" s="10">
        <v>1</v>
      </c>
      <c r="O58" s="8">
        <v>1</v>
      </c>
      <c r="P58" s="10">
        <v>1</v>
      </c>
      <c r="Q58" s="10">
        <v>1</v>
      </c>
      <c r="R58" s="8">
        <v>1</v>
      </c>
      <c r="S58" s="8">
        <v>1</v>
      </c>
      <c r="T58" s="10">
        <v>1</v>
      </c>
      <c r="U58" s="10">
        <v>1</v>
      </c>
      <c r="V58" s="8">
        <v>1</v>
      </c>
      <c r="W58" s="8">
        <v>1</v>
      </c>
    </row>
    <row r="59" spans="1:23">
      <c r="A59" s="4">
        <v>57</v>
      </c>
      <c r="B59" s="7">
        <v>5583</v>
      </c>
      <c r="C59" s="20">
        <v>45140002</v>
      </c>
      <c r="D59" s="21" t="s">
        <v>81</v>
      </c>
      <c r="E59" s="22">
        <v>38</v>
      </c>
      <c r="F59" s="22" t="s">
        <v>1</v>
      </c>
      <c r="G59" s="22">
        <v>55</v>
      </c>
      <c r="H59" s="23">
        <v>40</v>
      </c>
      <c r="I59" s="22" t="s">
        <v>1</v>
      </c>
      <c r="J59" s="23" t="s">
        <v>1</v>
      </c>
      <c r="K59" s="22">
        <v>40</v>
      </c>
      <c r="L59" s="18">
        <v>38</v>
      </c>
      <c r="M59" s="10">
        <v>1</v>
      </c>
      <c r="N59" s="10">
        <v>1</v>
      </c>
      <c r="O59" s="8">
        <v>1</v>
      </c>
      <c r="P59" s="10">
        <v>1</v>
      </c>
      <c r="Q59" s="10">
        <v>1</v>
      </c>
      <c r="R59" s="8">
        <v>1</v>
      </c>
      <c r="S59" s="8">
        <v>1</v>
      </c>
      <c r="T59" s="10">
        <v>1</v>
      </c>
      <c r="U59" s="10">
        <v>1</v>
      </c>
      <c r="V59" s="8">
        <v>1</v>
      </c>
      <c r="W59" s="8">
        <v>1</v>
      </c>
    </row>
    <row r="60" spans="1:23">
      <c r="A60" s="4">
        <v>58</v>
      </c>
      <c r="B60" s="7">
        <v>5671</v>
      </c>
      <c r="C60" s="20">
        <v>43748475</v>
      </c>
      <c r="D60" s="21" t="s">
        <v>82</v>
      </c>
      <c r="E60" s="23">
        <v>36</v>
      </c>
      <c r="F60" s="22" t="s">
        <v>4</v>
      </c>
      <c r="G60" s="22">
        <v>57</v>
      </c>
      <c r="H60" s="23">
        <v>40</v>
      </c>
      <c r="I60" s="22" t="s">
        <v>4</v>
      </c>
      <c r="J60" s="23" t="s">
        <v>4</v>
      </c>
      <c r="K60" s="23">
        <v>36</v>
      </c>
      <c r="L60" s="18">
        <v>36</v>
      </c>
      <c r="M60" s="10">
        <v>1</v>
      </c>
      <c r="N60" s="10">
        <v>1</v>
      </c>
      <c r="O60" s="8">
        <v>1</v>
      </c>
      <c r="P60" s="10">
        <v>1</v>
      </c>
      <c r="Q60" s="10">
        <v>1</v>
      </c>
      <c r="R60" s="8">
        <v>1</v>
      </c>
      <c r="S60" s="8">
        <v>1</v>
      </c>
      <c r="T60" s="10">
        <v>1</v>
      </c>
      <c r="U60" s="10">
        <v>1</v>
      </c>
      <c r="V60" s="8">
        <v>1</v>
      </c>
      <c r="W60" s="8">
        <v>1</v>
      </c>
    </row>
    <row r="61" spans="1:23">
      <c r="A61" s="4">
        <v>59</v>
      </c>
      <c r="B61" s="7">
        <v>5681</v>
      </c>
      <c r="C61" s="20">
        <v>34626668</v>
      </c>
      <c r="D61" s="21" t="s">
        <v>83</v>
      </c>
      <c r="E61" s="23">
        <v>40</v>
      </c>
      <c r="F61" s="22" t="s">
        <v>2</v>
      </c>
      <c r="G61" s="22">
        <v>56</v>
      </c>
      <c r="H61" s="23">
        <v>48</v>
      </c>
      <c r="I61" s="22" t="s">
        <v>2</v>
      </c>
      <c r="J61" s="23" t="s">
        <v>2</v>
      </c>
      <c r="K61" s="23">
        <v>38</v>
      </c>
      <c r="L61" s="18">
        <v>40</v>
      </c>
      <c r="M61" s="10">
        <v>1</v>
      </c>
      <c r="N61" s="10">
        <v>1</v>
      </c>
      <c r="O61" s="8">
        <v>1</v>
      </c>
      <c r="P61" s="10">
        <v>1</v>
      </c>
      <c r="Q61" s="10">
        <v>1</v>
      </c>
      <c r="R61" s="8">
        <v>1</v>
      </c>
      <c r="S61" s="8">
        <v>1</v>
      </c>
      <c r="T61" s="10">
        <v>1</v>
      </c>
      <c r="U61" s="10">
        <v>1</v>
      </c>
      <c r="V61" s="8">
        <v>1</v>
      </c>
      <c r="W61" s="8">
        <v>1</v>
      </c>
    </row>
    <row r="62" spans="1:23">
      <c r="A62" s="4">
        <v>60</v>
      </c>
      <c r="B62" s="7">
        <v>5567</v>
      </c>
      <c r="C62" s="20">
        <v>35046404</v>
      </c>
      <c r="D62" s="21" t="s">
        <v>84</v>
      </c>
      <c r="E62" s="22">
        <v>44</v>
      </c>
      <c r="F62" s="22" t="s">
        <v>6</v>
      </c>
      <c r="G62" s="22">
        <v>58</v>
      </c>
      <c r="H62" s="22">
        <v>46</v>
      </c>
      <c r="I62" s="22" t="s">
        <v>3</v>
      </c>
      <c r="J62" s="23" t="s">
        <v>3</v>
      </c>
      <c r="K62" s="23">
        <v>45</v>
      </c>
      <c r="L62" s="18">
        <v>44</v>
      </c>
      <c r="M62" s="10">
        <v>1</v>
      </c>
      <c r="N62" s="10">
        <v>1</v>
      </c>
      <c r="O62" s="8">
        <v>1</v>
      </c>
      <c r="P62" s="10">
        <v>1</v>
      </c>
      <c r="Q62" s="10">
        <v>1</v>
      </c>
      <c r="R62" s="8">
        <v>1</v>
      </c>
      <c r="S62" s="8">
        <v>1</v>
      </c>
      <c r="T62" s="10">
        <v>1</v>
      </c>
      <c r="U62" s="10">
        <v>1</v>
      </c>
      <c r="V62" s="8">
        <v>1</v>
      </c>
      <c r="W62" s="8">
        <v>1</v>
      </c>
    </row>
    <row r="63" spans="1:23">
      <c r="A63" s="4">
        <v>61</v>
      </c>
      <c r="B63" s="7">
        <v>5686</v>
      </c>
      <c r="C63" s="20">
        <v>40661260</v>
      </c>
      <c r="D63" s="21" t="s">
        <v>85</v>
      </c>
      <c r="E63" s="23">
        <v>34</v>
      </c>
      <c r="F63" s="22" t="s">
        <v>5</v>
      </c>
      <c r="G63" s="22">
        <v>56</v>
      </c>
      <c r="H63" s="23">
        <v>38</v>
      </c>
      <c r="I63" s="22" t="s">
        <v>5</v>
      </c>
      <c r="J63" s="23" t="s">
        <v>5</v>
      </c>
      <c r="K63" s="23">
        <v>38</v>
      </c>
      <c r="L63" s="18">
        <v>34</v>
      </c>
      <c r="M63" s="10">
        <v>1</v>
      </c>
      <c r="N63" s="10">
        <v>1</v>
      </c>
      <c r="O63" s="8">
        <v>1</v>
      </c>
      <c r="P63" s="10">
        <v>1</v>
      </c>
      <c r="Q63" s="10">
        <v>1</v>
      </c>
      <c r="R63" s="8">
        <v>1</v>
      </c>
      <c r="S63" s="8">
        <v>1</v>
      </c>
      <c r="T63" s="10">
        <v>1</v>
      </c>
      <c r="U63" s="10">
        <v>1</v>
      </c>
      <c r="V63" s="8">
        <v>1</v>
      </c>
      <c r="W63" s="8">
        <v>1</v>
      </c>
    </row>
    <row r="64" spans="1:23">
      <c r="A64" s="4">
        <v>62</v>
      </c>
      <c r="B64" s="7">
        <v>5616</v>
      </c>
      <c r="C64" s="20">
        <v>41794460</v>
      </c>
      <c r="D64" s="21" t="s">
        <v>86</v>
      </c>
      <c r="E64" s="22">
        <v>44</v>
      </c>
      <c r="F64" s="22" t="s">
        <v>1</v>
      </c>
      <c r="G64" s="22">
        <v>59</v>
      </c>
      <c r="H64" s="22">
        <v>44</v>
      </c>
      <c r="I64" s="22" t="s">
        <v>1</v>
      </c>
      <c r="J64" s="23" t="s">
        <v>6</v>
      </c>
      <c r="K64" s="22">
        <v>43</v>
      </c>
      <c r="L64" s="18">
        <v>44</v>
      </c>
      <c r="M64" s="10">
        <v>1</v>
      </c>
      <c r="N64" s="10">
        <v>1</v>
      </c>
      <c r="O64" s="8">
        <v>1</v>
      </c>
      <c r="P64" s="10">
        <v>1</v>
      </c>
      <c r="Q64" s="10">
        <v>1</v>
      </c>
      <c r="R64" s="8">
        <v>1</v>
      </c>
      <c r="S64" s="8">
        <v>1</v>
      </c>
      <c r="T64" s="10">
        <v>1</v>
      </c>
      <c r="U64" s="10">
        <v>1</v>
      </c>
      <c r="V64" s="8">
        <v>1</v>
      </c>
      <c r="W64" s="8">
        <v>1</v>
      </c>
    </row>
    <row r="65" spans="1:23">
      <c r="A65" s="4">
        <v>63</v>
      </c>
      <c r="B65" s="7">
        <v>5568</v>
      </c>
      <c r="C65" s="20">
        <v>45967450</v>
      </c>
      <c r="D65" s="21" t="s">
        <v>87</v>
      </c>
      <c r="E65" s="23">
        <v>40</v>
      </c>
      <c r="F65" s="22" t="s">
        <v>4</v>
      </c>
      <c r="G65" s="22">
        <v>56</v>
      </c>
      <c r="H65" s="22">
        <v>42</v>
      </c>
      <c r="I65" s="22" t="s">
        <v>2</v>
      </c>
      <c r="J65" s="22" t="s">
        <v>2</v>
      </c>
      <c r="K65" s="22">
        <v>40</v>
      </c>
      <c r="L65" s="18">
        <v>40</v>
      </c>
      <c r="M65" s="10">
        <v>1</v>
      </c>
      <c r="N65" s="10">
        <v>1</v>
      </c>
      <c r="O65" s="8">
        <v>1</v>
      </c>
      <c r="P65" s="10">
        <v>1</v>
      </c>
      <c r="Q65" s="10">
        <v>1</v>
      </c>
      <c r="R65" s="8">
        <v>1</v>
      </c>
      <c r="S65" s="8">
        <v>1</v>
      </c>
      <c r="T65" s="10">
        <v>1</v>
      </c>
      <c r="U65" s="10">
        <v>1</v>
      </c>
      <c r="V65" s="8">
        <v>1</v>
      </c>
      <c r="W65" s="8">
        <v>1</v>
      </c>
    </row>
    <row r="66" spans="1:23">
      <c r="A66" s="4">
        <v>64</v>
      </c>
      <c r="B66" s="7">
        <v>5588</v>
      </c>
      <c r="C66" s="20">
        <v>41112969</v>
      </c>
      <c r="D66" s="21" t="s">
        <v>88</v>
      </c>
      <c r="E66" s="22">
        <v>42</v>
      </c>
      <c r="F66" s="22" t="s">
        <v>2</v>
      </c>
      <c r="G66" s="22">
        <v>57</v>
      </c>
      <c r="H66" s="23">
        <v>48</v>
      </c>
      <c r="I66" s="22" t="s">
        <v>1</v>
      </c>
      <c r="J66" s="23" t="s">
        <v>1</v>
      </c>
      <c r="K66" s="22">
        <v>42</v>
      </c>
      <c r="L66" s="18">
        <v>42</v>
      </c>
      <c r="M66" s="10">
        <v>1</v>
      </c>
      <c r="N66" s="10">
        <v>1</v>
      </c>
      <c r="O66" s="8">
        <v>1</v>
      </c>
      <c r="P66" s="10">
        <v>1</v>
      </c>
      <c r="Q66" s="10">
        <v>1</v>
      </c>
      <c r="R66" s="8">
        <v>1</v>
      </c>
      <c r="S66" s="8">
        <v>1</v>
      </c>
      <c r="T66" s="10">
        <v>1</v>
      </c>
      <c r="U66" s="10">
        <v>1</v>
      </c>
      <c r="V66" s="8">
        <v>1</v>
      </c>
      <c r="W66" s="8">
        <v>1</v>
      </c>
    </row>
  </sheetData>
  <sheetProtection formatCells="0" formatRows="0"/>
  <mergeCells count="1">
    <mergeCell ref="A1:D1"/>
  </mergeCells>
  <conditionalFormatting sqref="C1:W23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A3:W66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A3:W66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A3:W66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A3:W66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A3:W66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A3:W66">
    <cfRule type="cellIs" priority="24" stopIfTrue="1" operator="equal">
      <formula>"&lt;&gt;"""</formula>
    </cfRule>
  </conditionalFormatting>
  <conditionalFormatting sqref="A3:W66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A3:W66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1">
    <dataValidation type="list" allowBlank="1" showInputMessage="1" showErrorMessage="1" sqref="E3:E66 L3:L66">
      <formula1>$E$3:$E$66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#REF!</xm:f>
          </x14:formula1>
          <xm:sqref>J3:J66</xm:sqref>
        </x14:dataValidation>
        <x14:dataValidation type="list" allowBlank="1" showInputMessage="1" showErrorMessage="1" promptTitle="Talles de Remeras" prompt="Del 3XS al 6XL">
          <x14:formula1>
            <xm:f>#REF!</xm:f>
          </x14:formula1>
          <xm:sqref>I3:I66</xm:sqref>
        </x14:dataValidation>
        <x14:dataValidation type="list" allowBlank="1" showInputMessage="1" showErrorMessage="1" promptTitle="Talle de Pantalón" prompt="Del 32 al 66">
          <x14:formula1>
            <xm:f>#REF!</xm:f>
          </x14:formula1>
          <xm:sqref>H3:H66</xm:sqref>
        </x14:dataValidation>
        <x14:dataValidation type="list" allowBlank="1" showInputMessage="1" showErrorMessage="1" promptTitle="Talle de Casquete/Quepi/Boina" prompt="Del 50 al 65">
          <x14:formula1>
            <xm:f>#REF!</xm:f>
          </x14:formula1>
          <xm:sqref>G3:G66</xm:sqref>
        </x14:dataValidation>
        <x14:dataValidation type="list" allowBlank="1" showInputMessage="1" showErrorMessage="1" promptTitle="Talles de Camperas" prompt="Del 3XS al 6XL">
          <x14:formula1>
            <xm:f>#REF!</xm:f>
          </x14:formula1>
          <xm:sqref>F3:F66</xm:sqref>
        </x14:dataValidation>
        <x14:dataValidation type="list" allowBlank="1" showInputMessage="1" showErrorMessage="1" promptTitle="Talle de Camisas" prompt="Del 32 al 66">
          <x14:formula1>
            <xm:f>#REF!</xm:f>
          </x14:formula1>
          <xm:sqref>E3:E66 L3:L66</xm:sqref>
        </x14:dataValidation>
        <x14:dataValidation type="list" allowBlank="1" showInputMessage="1" showErrorMessage="1" promptTitle="Talle de Zapatos" prompt="Del 20 al 55">
          <x14:formula1>
            <xm:f>#REF!</xm:f>
          </x14:formula1>
          <xm:sqref>K3:K66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70"/>
  <dimension ref="A1:AL30"/>
  <sheetViews>
    <sheetView workbookViewId="0">
      <selection activeCell="B6" sqref="B6"/>
    </sheetView>
  </sheetViews>
  <sheetFormatPr baseColWidth="10" defaultRowHeight="15"/>
  <sheetData>
    <row r="1" spans="1:38">
      <c r="A1" t="str">
        <f>PLANILLA!$A$1</f>
        <v>AGENTES DELEGACION B</v>
      </c>
    </row>
    <row r="2" spans="1:38">
      <c r="A2" t="s">
        <v>91</v>
      </c>
      <c r="C2" t="s">
        <v>11</v>
      </c>
      <c r="E2" t="s">
        <v>0</v>
      </c>
      <c r="G2" t="s">
        <v>10</v>
      </c>
      <c r="I2" t="s">
        <v>12</v>
      </c>
      <c r="K2" t="s">
        <v>13</v>
      </c>
      <c r="M2" t="s">
        <v>9</v>
      </c>
      <c r="O2" t="s">
        <v>90</v>
      </c>
      <c r="Q2" t="s">
        <v>92</v>
      </c>
      <c r="S2" t="s">
        <v>93</v>
      </c>
      <c r="U2" t="s">
        <v>94</v>
      </c>
      <c r="W2" t="s">
        <v>95</v>
      </c>
      <c r="Y2" t="s">
        <v>96</v>
      </c>
      <c r="AA2" t="s">
        <v>97</v>
      </c>
      <c r="AC2" t="s">
        <v>104</v>
      </c>
      <c r="AE2" t="s">
        <v>98</v>
      </c>
      <c r="AG2" t="s">
        <v>99</v>
      </c>
      <c r="AI2" t="s">
        <v>100</v>
      </c>
      <c r="AK2" t="s">
        <v>101</v>
      </c>
    </row>
    <row r="3" spans="1:38">
      <c r="A3" t="s">
        <v>20</v>
      </c>
      <c r="B3" t="s">
        <v>21</v>
      </c>
      <c r="C3" t="s">
        <v>20</v>
      </c>
      <c r="D3" t="s">
        <v>21</v>
      </c>
      <c r="E3" t="s">
        <v>20</v>
      </c>
      <c r="F3" t="s">
        <v>21</v>
      </c>
      <c r="G3" t="s">
        <v>20</v>
      </c>
      <c r="H3" t="s">
        <v>21</v>
      </c>
      <c r="I3" t="s">
        <v>20</v>
      </c>
      <c r="J3" t="s">
        <v>21</v>
      </c>
      <c r="K3" t="s">
        <v>20</v>
      </c>
      <c r="L3" t="s">
        <v>21</v>
      </c>
      <c r="M3" t="s">
        <v>20</v>
      </c>
      <c r="N3" t="s">
        <v>21</v>
      </c>
      <c r="O3" t="s">
        <v>20</v>
      </c>
      <c r="P3" t="s">
        <v>21</v>
      </c>
      <c r="Q3" t="s">
        <v>20</v>
      </c>
      <c r="R3" t="s">
        <v>21</v>
      </c>
      <c r="S3" t="s">
        <v>20</v>
      </c>
      <c r="T3" t="s">
        <v>21</v>
      </c>
      <c r="U3" t="s">
        <v>20</v>
      </c>
      <c r="V3" t="s">
        <v>21</v>
      </c>
      <c r="W3" t="s">
        <v>20</v>
      </c>
      <c r="X3" t="s">
        <v>21</v>
      </c>
      <c r="Y3" t="s">
        <v>20</v>
      </c>
      <c r="Z3" t="s">
        <v>21</v>
      </c>
      <c r="AA3" t="s">
        <v>20</v>
      </c>
      <c r="AB3" t="s">
        <v>21</v>
      </c>
      <c r="AC3" t="s">
        <v>20</v>
      </c>
      <c r="AD3" t="s">
        <v>21</v>
      </c>
      <c r="AE3" t="s">
        <v>20</v>
      </c>
      <c r="AF3" t="s">
        <v>21</v>
      </c>
      <c r="AG3" t="s">
        <v>20</v>
      </c>
      <c r="AH3" t="s">
        <v>21</v>
      </c>
      <c r="AI3" t="s">
        <v>20</v>
      </c>
      <c r="AJ3" t="s">
        <v>21</v>
      </c>
      <c r="AK3" t="s">
        <v>20</v>
      </c>
      <c r="AL3" t="s">
        <v>21</v>
      </c>
    </row>
    <row r="4" spans="1:38">
      <c r="A4">
        <v>32</v>
      </c>
      <c r="C4" t="s">
        <v>18</v>
      </c>
      <c r="E4">
        <v>50</v>
      </c>
      <c r="G4">
        <v>32</v>
      </c>
      <c r="I4" t="s">
        <v>18</v>
      </c>
      <c r="K4" t="s">
        <v>18</v>
      </c>
      <c r="M4">
        <v>30</v>
      </c>
      <c r="O4">
        <v>32</v>
      </c>
      <c r="Q4">
        <v>1</v>
      </c>
      <c r="R4">
        <v>63</v>
      </c>
      <c r="S4">
        <v>1</v>
      </c>
      <c r="T4">
        <v>63</v>
      </c>
      <c r="U4">
        <v>1</v>
      </c>
      <c r="V4">
        <v>63</v>
      </c>
      <c r="W4">
        <v>1</v>
      </c>
      <c r="X4">
        <v>63</v>
      </c>
      <c r="Y4">
        <v>1</v>
      </c>
      <c r="Z4">
        <v>63</v>
      </c>
      <c r="AA4">
        <v>1</v>
      </c>
      <c r="AB4">
        <v>63</v>
      </c>
      <c r="AC4">
        <v>1</v>
      </c>
      <c r="AD4">
        <v>63</v>
      </c>
      <c r="AE4">
        <v>1</v>
      </c>
      <c r="AF4">
        <v>63</v>
      </c>
      <c r="AG4">
        <v>1</v>
      </c>
      <c r="AH4">
        <v>63</v>
      </c>
      <c r="AI4">
        <v>1</v>
      </c>
      <c r="AJ4">
        <v>63</v>
      </c>
      <c r="AK4">
        <v>1</v>
      </c>
      <c r="AL4">
        <v>63</v>
      </c>
    </row>
    <row r="5" spans="1:38">
      <c r="A5">
        <v>34</v>
      </c>
      <c r="B5">
        <v>2</v>
      </c>
      <c r="C5" t="s">
        <v>8</v>
      </c>
      <c r="D5">
        <v>1</v>
      </c>
      <c r="E5">
        <v>51</v>
      </c>
      <c r="G5">
        <v>34</v>
      </c>
      <c r="I5" t="s">
        <v>8</v>
      </c>
      <c r="K5" t="s">
        <v>8</v>
      </c>
      <c r="M5">
        <v>31</v>
      </c>
      <c r="O5">
        <v>34</v>
      </c>
      <c r="P5">
        <v>2</v>
      </c>
      <c r="R5">
        <f>SUM($R$4:$R$4)</f>
        <v>63</v>
      </c>
      <c r="T5">
        <f>SUM($T$4:$T$4)</f>
        <v>63</v>
      </c>
      <c r="V5">
        <f>SUM($V$4:$V$4)</f>
        <v>63</v>
      </c>
      <c r="X5">
        <f>SUM($X$4:$X$4)</f>
        <v>63</v>
      </c>
      <c r="Z5">
        <f>SUM($Z$4:$Z$4)</f>
        <v>63</v>
      </c>
      <c r="AB5">
        <f>SUM($AB$4:$AB$4)</f>
        <v>63</v>
      </c>
      <c r="AD5">
        <f>SUM($AD$4:$AD$4)</f>
        <v>63</v>
      </c>
      <c r="AF5">
        <f>SUM($AF$4:$AF$4)</f>
        <v>63</v>
      </c>
      <c r="AH5">
        <f>SUM($AH$4:$AH$4)</f>
        <v>63</v>
      </c>
      <c r="AJ5">
        <f>SUM($AJ$4:$AJ$4)</f>
        <v>63</v>
      </c>
      <c r="AL5">
        <f>SUM($AL$4:$AL$4)</f>
        <v>63</v>
      </c>
    </row>
    <row r="6" spans="1:38">
      <c r="A6">
        <v>36</v>
      </c>
      <c r="B6">
        <v>2</v>
      </c>
      <c r="C6" t="s">
        <v>5</v>
      </c>
      <c r="D6">
        <v>1</v>
      </c>
      <c r="E6">
        <v>52</v>
      </c>
      <c r="G6">
        <v>36</v>
      </c>
      <c r="I6" t="s">
        <v>5</v>
      </c>
      <c r="J6">
        <v>2</v>
      </c>
      <c r="K6" t="s">
        <v>5</v>
      </c>
      <c r="L6">
        <v>2</v>
      </c>
      <c r="M6">
        <v>32</v>
      </c>
      <c r="O6">
        <v>36</v>
      </c>
      <c r="P6">
        <v>2</v>
      </c>
    </row>
    <row r="7" spans="1:38">
      <c r="A7">
        <v>38</v>
      </c>
      <c r="B7">
        <v>10</v>
      </c>
      <c r="C7" t="s">
        <v>4</v>
      </c>
      <c r="D7">
        <v>13</v>
      </c>
      <c r="E7">
        <v>53</v>
      </c>
      <c r="G7">
        <v>38</v>
      </c>
      <c r="H7">
        <v>2</v>
      </c>
      <c r="I7" t="s">
        <v>4</v>
      </c>
      <c r="J7">
        <v>4</v>
      </c>
      <c r="K7" t="s">
        <v>4</v>
      </c>
      <c r="L7">
        <v>5</v>
      </c>
      <c r="M7">
        <v>33</v>
      </c>
      <c r="O7">
        <v>38</v>
      </c>
      <c r="P7">
        <v>9</v>
      </c>
    </row>
    <row r="8" spans="1:38">
      <c r="A8">
        <v>40</v>
      </c>
      <c r="B8">
        <v>9</v>
      </c>
      <c r="C8" t="s">
        <v>2</v>
      </c>
      <c r="D8">
        <v>14</v>
      </c>
      <c r="E8">
        <v>54</v>
      </c>
      <c r="G8">
        <v>40</v>
      </c>
      <c r="H8">
        <v>7</v>
      </c>
      <c r="I8" t="s">
        <v>2</v>
      </c>
      <c r="J8">
        <v>18</v>
      </c>
      <c r="K8" t="s">
        <v>2</v>
      </c>
      <c r="L8">
        <v>16</v>
      </c>
      <c r="M8">
        <v>34</v>
      </c>
      <c r="O8">
        <v>40</v>
      </c>
      <c r="P8">
        <v>10</v>
      </c>
    </row>
    <row r="9" spans="1:38">
      <c r="A9">
        <v>42</v>
      </c>
      <c r="B9">
        <v>22</v>
      </c>
      <c r="C9" t="s">
        <v>1</v>
      </c>
      <c r="D9">
        <v>15</v>
      </c>
      <c r="E9">
        <v>55</v>
      </c>
      <c r="F9">
        <v>4</v>
      </c>
      <c r="G9">
        <v>42</v>
      </c>
      <c r="H9">
        <v>15</v>
      </c>
      <c r="I9" t="s">
        <v>1</v>
      </c>
      <c r="J9">
        <v>21</v>
      </c>
      <c r="K9" t="s">
        <v>1</v>
      </c>
      <c r="L9">
        <v>18</v>
      </c>
      <c r="M9">
        <v>35</v>
      </c>
      <c r="O9">
        <v>42</v>
      </c>
      <c r="P9">
        <v>22</v>
      </c>
    </row>
    <row r="10" spans="1:38">
      <c r="A10">
        <v>44</v>
      </c>
      <c r="B10">
        <v>9</v>
      </c>
      <c r="C10" t="s">
        <v>3</v>
      </c>
      <c r="D10">
        <v>12</v>
      </c>
      <c r="E10">
        <v>56</v>
      </c>
      <c r="F10">
        <v>14</v>
      </c>
      <c r="G10">
        <v>44</v>
      </c>
      <c r="H10">
        <v>14</v>
      </c>
      <c r="I10" t="s">
        <v>3</v>
      </c>
      <c r="J10">
        <v>13</v>
      </c>
      <c r="K10" t="s">
        <v>3</v>
      </c>
      <c r="L10">
        <v>15</v>
      </c>
      <c r="M10">
        <v>36</v>
      </c>
      <c r="N10">
        <v>1</v>
      </c>
      <c r="O10">
        <v>44</v>
      </c>
      <c r="P10">
        <v>9</v>
      </c>
    </row>
    <row r="11" spans="1:38">
      <c r="A11">
        <v>46</v>
      </c>
      <c r="B11">
        <v>6</v>
      </c>
      <c r="C11" t="s">
        <v>6</v>
      </c>
      <c r="D11">
        <v>6</v>
      </c>
      <c r="E11">
        <v>57</v>
      </c>
      <c r="F11">
        <v>18</v>
      </c>
      <c r="G11">
        <v>46</v>
      </c>
      <c r="H11">
        <v>11</v>
      </c>
      <c r="I11" t="s">
        <v>6</v>
      </c>
      <c r="J11">
        <v>3</v>
      </c>
      <c r="K11" t="s">
        <v>6</v>
      </c>
      <c r="L11">
        <v>6</v>
      </c>
      <c r="M11">
        <v>37</v>
      </c>
      <c r="N11">
        <v>3</v>
      </c>
      <c r="O11">
        <v>46</v>
      </c>
      <c r="P11">
        <v>6</v>
      </c>
    </row>
    <row r="12" spans="1:38">
      <c r="A12">
        <v>48</v>
      </c>
      <c r="B12">
        <v>2</v>
      </c>
      <c r="C12" t="s">
        <v>7</v>
      </c>
      <c r="D12">
        <v>1</v>
      </c>
      <c r="E12">
        <v>58</v>
      </c>
      <c r="F12">
        <v>10</v>
      </c>
      <c r="G12">
        <v>48</v>
      </c>
      <c r="H12">
        <v>8</v>
      </c>
      <c r="I12" t="s">
        <v>7</v>
      </c>
      <c r="J12">
        <v>1</v>
      </c>
      <c r="K12" t="s">
        <v>7</v>
      </c>
      <c r="L12">
        <v>1</v>
      </c>
      <c r="M12">
        <v>38</v>
      </c>
      <c r="N12">
        <v>5</v>
      </c>
      <c r="O12">
        <v>48</v>
      </c>
      <c r="P12">
        <v>2</v>
      </c>
    </row>
    <row r="13" spans="1:38">
      <c r="A13">
        <v>50</v>
      </c>
      <c r="C13" t="s">
        <v>16</v>
      </c>
      <c r="E13">
        <v>59</v>
      </c>
      <c r="F13">
        <v>13</v>
      </c>
      <c r="G13">
        <v>50</v>
      </c>
      <c r="H13">
        <v>2</v>
      </c>
      <c r="I13" t="s">
        <v>16</v>
      </c>
      <c r="K13" t="s">
        <v>16</v>
      </c>
      <c r="M13">
        <v>39</v>
      </c>
      <c r="N13">
        <v>2</v>
      </c>
      <c r="O13">
        <v>50</v>
      </c>
    </row>
    <row r="14" spans="1:38">
      <c r="A14">
        <v>52</v>
      </c>
      <c r="C14" t="s">
        <v>17</v>
      </c>
      <c r="E14">
        <v>60</v>
      </c>
      <c r="F14">
        <v>4</v>
      </c>
      <c r="G14">
        <v>52</v>
      </c>
      <c r="I14" t="s">
        <v>17</v>
      </c>
      <c r="K14" t="s">
        <v>17</v>
      </c>
      <c r="M14">
        <v>40</v>
      </c>
      <c r="N14">
        <v>7</v>
      </c>
      <c r="O14">
        <v>52</v>
      </c>
    </row>
    <row r="15" spans="1:38">
      <c r="A15">
        <v>54</v>
      </c>
      <c r="C15" t="s">
        <v>19</v>
      </c>
      <c r="E15">
        <v>61</v>
      </c>
      <c r="G15">
        <v>54</v>
      </c>
      <c r="H15">
        <v>2</v>
      </c>
      <c r="I15" t="s">
        <v>19</v>
      </c>
      <c r="K15" t="s">
        <v>19</v>
      </c>
      <c r="M15">
        <v>41</v>
      </c>
      <c r="N15">
        <v>14</v>
      </c>
      <c r="O15">
        <v>54</v>
      </c>
    </row>
    <row r="16" spans="1:38">
      <c r="A16">
        <v>56</v>
      </c>
      <c r="D16">
        <f>SUM($D$4:$D$15)</f>
        <v>63</v>
      </c>
      <c r="E16">
        <v>62</v>
      </c>
      <c r="G16">
        <v>56</v>
      </c>
      <c r="J16">
        <f>SUM($J$4:$J$15)</f>
        <v>62</v>
      </c>
      <c r="L16">
        <f>SUM($L$4:$L$15)</f>
        <v>63</v>
      </c>
      <c r="M16">
        <v>42</v>
      </c>
      <c r="N16">
        <v>11</v>
      </c>
      <c r="O16">
        <v>56</v>
      </c>
    </row>
    <row r="17" spans="1:16">
      <c r="A17">
        <v>58</v>
      </c>
      <c r="E17">
        <v>63</v>
      </c>
      <c r="G17">
        <v>58</v>
      </c>
      <c r="H17">
        <v>1</v>
      </c>
      <c r="M17">
        <v>43</v>
      </c>
      <c r="N17">
        <v>10</v>
      </c>
      <c r="O17">
        <v>58</v>
      </c>
    </row>
    <row r="18" spans="1:16">
      <c r="A18">
        <v>60</v>
      </c>
      <c r="E18">
        <v>64</v>
      </c>
      <c r="G18">
        <v>60</v>
      </c>
      <c r="M18">
        <v>44</v>
      </c>
      <c r="N18">
        <v>2</v>
      </c>
      <c r="O18">
        <v>60</v>
      </c>
    </row>
    <row r="19" spans="1:16">
      <c r="A19">
        <v>62</v>
      </c>
      <c r="E19">
        <v>65</v>
      </c>
      <c r="G19">
        <v>62</v>
      </c>
      <c r="M19">
        <v>45</v>
      </c>
      <c r="N19">
        <v>5</v>
      </c>
      <c r="O19">
        <v>62</v>
      </c>
    </row>
    <row r="20" spans="1:16">
      <c r="A20">
        <v>64</v>
      </c>
      <c r="E20">
        <v>66</v>
      </c>
      <c r="G20">
        <v>64</v>
      </c>
      <c r="M20">
        <v>46</v>
      </c>
      <c r="O20">
        <v>64</v>
      </c>
    </row>
    <row r="21" spans="1:16">
      <c r="A21">
        <v>66</v>
      </c>
      <c r="E21">
        <v>67</v>
      </c>
      <c r="G21">
        <v>66</v>
      </c>
      <c r="M21">
        <v>47</v>
      </c>
      <c r="O21">
        <v>66</v>
      </c>
    </row>
    <row r="22" spans="1:16">
      <c r="B22">
        <f>SUM($B$4:$B$21)</f>
        <v>62</v>
      </c>
      <c r="E22">
        <v>68</v>
      </c>
      <c r="H22">
        <f>SUM($H$4:$H$21)</f>
        <v>62</v>
      </c>
      <c r="M22">
        <v>48</v>
      </c>
      <c r="P22">
        <f>SUM($P$4:$P$21)</f>
        <v>62</v>
      </c>
    </row>
    <row r="23" spans="1:16">
      <c r="E23">
        <v>69</v>
      </c>
      <c r="M23">
        <v>49</v>
      </c>
    </row>
    <row r="24" spans="1:16">
      <c r="E24">
        <v>70</v>
      </c>
      <c r="M24">
        <v>50</v>
      </c>
    </row>
    <row r="25" spans="1:16">
      <c r="F25">
        <f>SUM($F$4:$F$24)</f>
        <v>63</v>
      </c>
      <c r="M25">
        <v>51</v>
      </c>
    </row>
    <row r="26" spans="1:16">
      <c r="M26">
        <v>52</v>
      </c>
    </row>
    <row r="27" spans="1:16">
      <c r="M27">
        <v>53</v>
      </c>
    </row>
    <row r="28" spans="1:16">
      <c r="M28">
        <v>54</v>
      </c>
    </row>
    <row r="29" spans="1:16">
      <c r="M29">
        <v>55</v>
      </c>
    </row>
    <row r="30" spans="1:16">
      <c r="N30">
        <f>SUM($N$4:$N$29)</f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1"/>
  <dimension ref="A1:AL30"/>
  <sheetViews>
    <sheetView topLeftCell="AD1" workbookViewId="0">
      <selection activeCell="AK4" sqref="AK4"/>
    </sheetView>
  </sheetViews>
  <sheetFormatPr baseColWidth="10" defaultRowHeight="15"/>
  <sheetData>
    <row r="1" spans="1:38">
      <c r="A1" t="str">
        <f>PLANILLA!$A$1</f>
        <v>AGENTES DELEGACION B</v>
      </c>
    </row>
    <row r="2" spans="1:38">
      <c r="A2" t="s">
        <v>91</v>
      </c>
      <c r="C2" t="s">
        <v>11</v>
      </c>
      <c r="E2" t="s">
        <v>0</v>
      </c>
      <c r="G2" t="s">
        <v>10</v>
      </c>
      <c r="I2" t="s">
        <v>12</v>
      </c>
      <c r="K2" t="s">
        <v>13</v>
      </c>
      <c r="M2" t="s">
        <v>9</v>
      </c>
      <c r="O2" t="s">
        <v>90</v>
      </c>
      <c r="Q2" t="s">
        <v>92</v>
      </c>
      <c r="S2" t="s">
        <v>93</v>
      </c>
      <c r="U2" t="s">
        <v>94</v>
      </c>
      <c r="W2" t="s">
        <v>95</v>
      </c>
      <c r="Y2" t="s">
        <v>96</v>
      </c>
      <c r="AA2" t="s">
        <v>97</v>
      </c>
      <c r="AC2" t="s">
        <v>104</v>
      </c>
      <c r="AE2" t="s">
        <v>98</v>
      </c>
      <c r="AG2" t="s">
        <v>99</v>
      </c>
      <c r="AI2" t="s">
        <v>100</v>
      </c>
      <c r="AK2" t="s">
        <v>101</v>
      </c>
    </row>
    <row r="3" spans="1:38">
      <c r="A3" t="s">
        <v>20</v>
      </c>
      <c r="B3" t="s">
        <v>23</v>
      </c>
      <c r="C3" t="s">
        <v>20</v>
      </c>
      <c r="D3" t="s">
        <v>23</v>
      </c>
      <c r="E3" t="s">
        <v>20</v>
      </c>
      <c r="F3" t="s">
        <v>23</v>
      </c>
      <c r="G3" t="s">
        <v>20</v>
      </c>
      <c r="H3" t="s">
        <v>23</v>
      </c>
      <c r="I3" t="s">
        <v>20</v>
      </c>
      <c r="J3" t="s">
        <v>23</v>
      </c>
      <c r="K3" t="s">
        <v>20</v>
      </c>
      <c r="L3" t="s">
        <v>23</v>
      </c>
      <c r="M3" t="s">
        <v>20</v>
      </c>
      <c r="N3" t="s">
        <v>23</v>
      </c>
      <c r="O3" t="s">
        <v>20</v>
      </c>
      <c r="P3" t="s">
        <v>23</v>
      </c>
      <c r="Q3" t="s">
        <v>20</v>
      </c>
      <c r="R3" t="s">
        <v>23</v>
      </c>
      <c r="S3" t="s">
        <v>20</v>
      </c>
      <c r="T3" t="s">
        <v>23</v>
      </c>
      <c r="U3" t="s">
        <v>20</v>
      </c>
      <c r="V3" t="s">
        <v>23</v>
      </c>
      <c r="W3" t="s">
        <v>20</v>
      </c>
      <c r="X3" t="s">
        <v>23</v>
      </c>
      <c r="Y3" t="s">
        <v>20</v>
      </c>
      <c r="Z3" t="s">
        <v>23</v>
      </c>
      <c r="AA3" t="s">
        <v>20</v>
      </c>
      <c r="AB3" t="s">
        <v>23</v>
      </c>
      <c r="AC3" t="s">
        <v>20</v>
      </c>
      <c r="AD3" t="s">
        <v>23</v>
      </c>
      <c r="AE3" t="s">
        <v>20</v>
      </c>
      <c r="AF3" t="s">
        <v>23</v>
      </c>
      <c r="AG3" t="s">
        <v>20</v>
      </c>
      <c r="AH3" t="s">
        <v>23</v>
      </c>
      <c r="AI3" t="s">
        <v>20</v>
      </c>
      <c r="AJ3" t="s">
        <v>23</v>
      </c>
      <c r="AK3" t="s">
        <v>20</v>
      </c>
      <c r="AL3" t="s">
        <v>23</v>
      </c>
    </row>
    <row r="4" spans="1:38">
      <c r="A4">
        <v>32</v>
      </c>
      <c r="C4" t="s">
        <v>18</v>
      </c>
      <c r="E4">
        <v>50</v>
      </c>
      <c r="G4">
        <v>32</v>
      </c>
      <c r="I4" t="s">
        <v>18</v>
      </c>
      <c r="K4" t="s">
        <v>18</v>
      </c>
      <c r="M4">
        <v>30</v>
      </c>
      <c r="O4">
        <v>32</v>
      </c>
      <c r="Q4">
        <v>1</v>
      </c>
      <c r="S4">
        <v>1</v>
      </c>
      <c r="U4">
        <v>1</v>
      </c>
      <c r="V4">
        <v>10</v>
      </c>
      <c r="W4">
        <v>1</v>
      </c>
      <c r="Y4">
        <v>1</v>
      </c>
      <c r="AA4">
        <v>1</v>
      </c>
      <c r="AB4">
        <v>62</v>
      </c>
      <c r="AC4">
        <v>1</v>
      </c>
      <c r="AD4">
        <v>62</v>
      </c>
      <c r="AE4">
        <v>1</v>
      </c>
      <c r="AG4">
        <v>1</v>
      </c>
      <c r="AI4">
        <v>1</v>
      </c>
      <c r="AJ4">
        <v>62</v>
      </c>
      <c r="AK4">
        <v>1</v>
      </c>
      <c r="AL4">
        <v>62</v>
      </c>
    </row>
    <row r="5" spans="1:38">
      <c r="A5">
        <v>34</v>
      </c>
      <c r="B5">
        <v>2</v>
      </c>
      <c r="C5" t="s">
        <v>8</v>
      </c>
      <c r="E5">
        <v>51</v>
      </c>
      <c r="G5">
        <v>34</v>
      </c>
      <c r="I5" t="s">
        <v>8</v>
      </c>
      <c r="K5" t="s">
        <v>8</v>
      </c>
      <c r="M5">
        <v>31</v>
      </c>
      <c r="O5">
        <v>34</v>
      </c>
      <c r="R5">
        <f>SUM($R$4:$R$4)</f>
        <v>0</v>
      </c>
      <c r="T5">
        <f>SUM($T$4:$T$4)</f>
        <v>0</v>
      </c>
      <c r="V5">
        <f>SUM($V$4:$V$4)</f>
        <v>10</v>
      </c>
      <c r="X5">
        <f>SUM($X$4:$X$4)</f>
        <v>0</v>
      </c>
      <c r="Z5">
        <f>SUM($Z$4:$Z$4)</f>
        <v>0</v>
      </c>
      <c r="AB5">
        <f>SUM($AB$4:$AB$4)</f>
        <v>62</v>
      </c>
      <c r="AD5">
        <f>SUM($AD$4:$AD$4)</f>
        <v>62</v>
      </c>
      <c r="AF5">
        <f>SUM($AF$4:$AF$4)</f>
        <v>0</v>
      </c>
      <c r="AH5">
        <f>SUM($AH$4:$AH$4)</f>
        <v>0</v>
      </c>
      <c r="AJ5">
        <f>SUM($AJ$4:$AJ$4)</f>
        <v>62</v>
      </c>
      <c r="AL5">
        <f>SUM($AL$4:$AL$4)</f>
        <v>62</v>
      </c>
    </row>
    <row r="6" spans="1:38">
      <c r="A6">
        <v>36</v>
      </c>
      <c r="B6">
        <v>1</v>
      </c>
      <c r="C6" t="s">
        <v>5</v>
      </c>
      <c r="E6">
        <v>52</v>
      </c>
      <c r="G6">
        <v>36</v>
      </c>
      <c r="I6" t="s">
        <v>5</v>
      </c>
      <c r="K6" t="s">
        <v>5</v>
      </c>
      <c r="L6">
        <v>2</v>
      </c>
      <c r="M6">
        <v>32</v>
      </c>
      <c r="O6">
        <v>36</v>
      </c>
    </row>
    <row r="7" spans="1:38">
      <c r="A7">
        <v>38</v>
      </c>
      <c r="B7">
        <v>9</v>
      </c>
      <c r="C7" t="s">
        <v>4</v>
      </c>
      <c r="D7">
        <v>2</v>
      </c>
      <c r="E7">
        <v>53</v>
      </c>
      <c r="G7">
        <v>38</v>
      </c>
      <c r="H7">
        <v>2</v>
      </c>
      <c r="I7" t="s">
        <v>4</v>
      </c>
      <c r="K7" t="s">
        <v>4</v>
      </c>
      <c r="L7">
        <v>4</v>
      </c>
      <c r="M7">
        <v>33</v>
      </c>
      <c r="O7">
        <v>38</v>
      </c>
      <c r="P7">
        <v>8</v>
      </c>
    </row>
    <row r="8" spans="1:38">
      <c r="A8">
        <v>40</v>
      </c>
      <c r="B8">
        <v>9</v>
      </c>
      <c r="C8" t="s">
        <v>2</v>
      </c>
      <c r="D8">
        <v>8</v>
      </c>
      <c r="E8">
        <v>54</v>
      </c>
      <c r="G8">
        <v>40</v>
      </c>
      <c r="H8">
        <v>7</v>
      </c>
      <c r="I8" t="s">
        <v>2</v>
      </c>
      <c r="K8" t="s">
        <v>2</v>
      </c>
      <c r="L8">
        <v>15</v>
      </c>
      <c r="M8">
        <v>34</v>
      </c>
      <c r="O8">
        <v>40</v>
      </c>
      <c r="P8">
        <v>6</v>
      </c>
    </row>
    <row r="9" spans="1:38">
      <c r="A9">
        <v>42</v>
      </c>
      <c r="B9">
        <v>1</v>
      </c>
      <c r="C9" t="s">
        <v>1</v>
      </c>
      <c r="E9">
        <v>55</v>
      </c>
      <c r="G9">
        <v>42</v>
      </c>
      <c r="I9" t="s">
        <v>1</v>
      </c>
      <c r="K9" t="s">
        <v>1</v>
      </c>
      <c r="L9">
        <v>18</v>
      </c>
      <c r="M9">
        <v>35</v>
      </c>
      <c r="O9">
        <v>42</v>
      </c>
      <c r="P9">
        <v>7</v>
      </c>
    </row>
    <row r="10" spans="1:38">
      <c r="A10">
        <v>44</v>
      </c>
      <c r="B10">
        <v>1</v>
      </c>
      <c r="C10" t="s">
        <v>3</v>
      </c>
      <c r="E10">
        <v>56</v>
      </c>
      <c r="F10">
        <v>1</v>
      </c>
      <c r="G10">
        <v>44</v>
      </c>
      <c r="H10">
        <v>10</v>
      </c>
      <c r="I10" t="s">
        <v>3</v>
      </c>
      <c r="K10" t="s">
        <v>3</v>
      </c>
      <c r="L10">
        <v>15</v>
      </c>
      <c r="M10">
        <v>36</v>
      </c>
      <c r="N10">
        <v>1</v>
      </c>
      <c r="O10">
        <v>44</v>
      </c>
    </row>
    <row r="11" spans="1:38">
      <c r="A11">
        <v>46</v>
      </c>
      <c r="B11">
        <v>6</v>
      </c>
      <c r="C11" t="s">
        <v>6</v>
      </c>
      <c r="E11">
        <v>57</v>
      </c>
      <c r="G11">
        <v>46</v>
      </c>
      <c r="I11" t="s">
        <v>6</v>
      </c>
      <c r="K11" t="s">
        <v>6</v>
      </c>
      <c r="L11">
        <v>6</v>
      </c>
      <c r="M11">
        <v>37</v>
      </c>
      <c r="N11">
        <v>3</v>
      </c>
      <c r="O11">
        <v>46</v>
      </c>
    </row>
    <row r="12" spans="1:38">
      <c r="A12">
        <v>48</v>
      </c>
      <c r="B12">
        <v>2</v>
      </c>
      <c r="C12" t="s">
        <v>7</v>
      </c>
      <c r="D12">
        <v>1</v>
      </c>
      <c r="E12">
        <v>58</v>
      </c>
      <c r="G12">
        <v>48</v>
      </c>
      <c r="H12">
        <v>8</v>
      </c>
      <c r="I12" t="s">
        <v>7</v>
      </c>
      <c r="K12" t="s">
        <v>7</v>
      </c>
      <c r="L12">
        <v>1</v>
      </c>
      <c r="M12">
        <v>38</v>
      </c>
      <c r="N12">
        <v>4</v>
      </c>
      <c r="O12">
        <v>48</v>
      </c>
      <c r="P12">
        <v>2</v>
      </c>
    </row>
    <row r="13" spans="1:38">
      <c r="A13">
        <v>50</v>
      </c>
      <c r="C13" t="s">
        <v>16</v>
      </c>
      <c r="E13">
        <v>59</v>
      </c>
      <c r="F13">
        <v>3</v>
      </c>
      <c r="G13">
        <v>50</v>
      </c>
      <c r="H13">
        <v>1</v>
      </c>
      <c r="I13" t="s">
        <v>16</v>
      </c>
      <c r="K13" t="s">
        <v>16</v>
      </c>
      <c r="M13">
        <v>39</v>
      </c>
      <c r="N13">
        <v>2</v>
      </c>
      <c r="O13">
        <v>50</v>
      </c>
    </row>
    <row r="14" spans="1:38">
      <c r="A14">
        <v>52</v>
      </c>
      <c r="C14" t="s">
        <v>17</v>
      </c>
      <c r="E14">
        <v>60</v>
      </c>
      <c r="G14">
        <v>52</v>
      </c>
      <c r="I14" t="s">
        <v>17</v>
      </c>
      <c r="K14" t="s">
        <v>17</v>
      </c>
      <c r="M14">
        <v>40</v>
      </c>
      <c r="N14">
        <v>4</v>
      </c>
      <c r="O14">
        <v>52</v>
      </c>
    </row>
    <row r="15" spans="1:38">
      <c r="A15">
        <v>54</v>
      </c>
      <c r="C15" t="s">
        <v>19</v>
      </c>
      <c r="E15">
        <v>61</v>
      </c>
      <c r="G15">
        <v>54</v>
      </c>
      <c r="I15" t="s">
        <v>19</v>
      </c>
      <c r="K15" t="s">
        <v>19</v>
      </c>
      <c r="M15">
        <v>41</v>
      </c>
      <c r="O15">
        <v>54</v>
      </c>
    </row>
    <row r="16" spans="1:38">
      <c r="A16">
        <v>56</v>
      </c>
      <c r="E16">
        <v>62</v>
      </c>
      <c r="G16">
        <v>56</v>
      </c>
      <c r="J16">
        <f>SUM($J$4:$J$15)</f>
        <v>0</v>
      </c>
      <c r="L16">
        <f>SUM($L$4:$L$15)</f>
        <v>61</v>
      </c>
      <c r="M16">
        <v>42</v>
      </c>
      <c r="O16">
        <v>56</v>
      </c>
    </row>
    <row r="17" spans="1:16">
      <c r="A17">
        <v>58</v>
      </c>
      <c r="E17">
        <v>63</v>
      </c>
      <c r="G17">
        <v>58</v>
      </c>
      <c r="M17">
        <v>43</v>
      </c>
      <c r="N17">
        <v>6</v>
      </c>
      <c r="O17">
        <v>58</v>
      </c>
    </row>
    <row r="18" spans="1:16">
      <c r="A18">
        <v>60</v>
      </c>
      <c r="E18">
        <v>64</v>
      </c>
      <c r="G18">
        <v>60</v>
      </c>
      <c r="M18">
        <v>44</v>
      </c>
      <c r="N18">
        <v>2</v>
      </c>
      <c r="O18">
        <v>60</v>
      </c>
    </row>
    <row r="19" spans="1:16">
      <c r="A19">
        <v>62</v>
      </c>
      <c r="E19">
        <v>65</v>
      </c>
      <c r="G19">
        <v>62</v>
      </c>
      <c r="M19">
        <v>45</v>
      </c>
      <c r="N19">
        <v>5</v>
      </c>
      <c r="O19">
        <v>62</v>
      </c>
    </row>
    <row r="20" spans="1:16">
      <c r="A20">
        <v>64</v>
      </c>
      <c r="E20">
        <v>66</v>
      </c>
      <c r="G20">
        <v>64</v>
      </c>
      <c r="M20">
        <v>46</v>
      </c>
      <c r="O20">
        <v>64</v>
      </c>
    </row>
    <row r="21" spans="1:16">
      <c r="A21">
        <v>66</v>
      </c>
      <c r="E21">
        <v>67</v>
      </c>
      <c r="G21">
        <v>66</v>
      </c>
      <c r="M21">
        <v>47</v>
      </c>
      <c r="O21">
        <v>66</v>
      </c>
    </row>
    <row r="22" spans="1:16">
      <c r="B22">
        <f>SUM($B$4:$B$21)</f>
        <v>31</v>
      </c>
      <c r="E22">
        <v>68</v>
      </c>
      <c r="H22">
        <f>SUM($H$4:$H$21)</f>
        <v>28</v>
      </c>
      <c r="M22">
        <v>48</v>
      </c>
      <c r="P22">
        <f>SUM($P$4:$P$21)</f>
        <v>23</v>
      </c>
    </row>
    <row r="23" spans="1:16">
      <c r="E23">
        <v>69</v>
      </c>
      <c r="M23">
        <v>49</v>
      </c>
    </row>
    <row r="24" spans="1:16">
      <c r="E24">
        <v>70</v>
      </c>
      <c r="M24">
        <v>50</v>
      </c>
    </row>
    <row r="25" spans="1:16">
      <c r="F25">
        <f>SUM($F$4:$F$24)</f>
        <v>4</v>
      </c>
      <c r="M25">
        <v>51</v>
      </c>
    </row>
    <row r="26" spans="1:16">
      <c r="M26">
        <v>52</v>
      </c>
    </row>
    <row r="27" spans="1:16">
      <c r="M27">
        <v>53</v>
      </c>
    </row>
    <row r="28" spans="1:16">
      <c r="M28">
        <v>54</v>
      </c>
    </row>
    <row r="29" spans="1:16">
      <c r="M29">
        <v>55</v>
      </c>
    </row>
    <row r="30" spans="1:16">
      <c r="N30">
        <f>SUM($N$4:$N$29)</f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72"/>
  <dimension ref="A2:D22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91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32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>
      <c r="A5" s="27">
        <v>34</v>
      </c>
      <c r="B5" s="27">
        <f>TOTALES!$B5</f>
        <v>2</v>
      </c>
      <c r="C5" s="27">
        <f>SEPARADOS!$B5</f>
        <v>2</v>
      </c>
      <c r="D5" s="27">
        <f>B5-C5</f>
        <v>0</v>
      </c>
    </row>
    <row r="6" spans="1:4">
      <c r="A6" s="27">
        <v>36</v>
      </c>
      <c r="B6" s="27">
        <f>TOTALES!$B6</f>
        <v>2</v>
      </c>
      <c r="C6" s="27">
        <f>SEPARADOS!$B6</f>
        <v>1</v>
      </c>
      <c r="D6" s="27">
        <f>B6-C6</f>
        <v>1</v>
      </c>
    </row>
    <row r="7" spans="1:4">
      <c r="A7" s="27">
        <v>38</v>
      </c>
      <c r="B7" s="27">
        <f>TOTALES!$B7</f>
        <v>10</v>
      </c>
      <c r="C7" s="27">
        <f>SEPARADOS!$B7</f>
        <v>9</v>
      </c>
      <c r="D7" s="27">
        <f>B7-C7</f>
        <v>1</v>
      </c>
    </row>
    <row r="8" spans="1:4">
      <c r="A8" s="27">
        <v>40</v>
      </c>
      <c r="B8" s="27">
        <f>TOTALES!$B8</f>
        <v>9</v>
      </c>
      <c r="C8" s="27">
        <f>SEPARADOS!$B8</f>
        <v>9</v>
      </c>
      <c r="D8" s="27">
        <f>B8-C8</f>
        <v>0</v>
      </c>
    </row>
    <row r="9" spans="1:4">
      <c r="A9" s="27">
        <v>42</v>
      </c>
      <c r="B9" s="27">
        <f>TOTALES!$B9</f>
        <v>22</v>
      </c>
      <c r="C9" s="27">
        <f>SEPARADOS!$B9</f>
        <v>1</v>
      </c>
      <c r="D9" s="27">
        <f>B9-C9</f>
        <v>21</v>
      </c>
    </row>
    <row r="10" spans="1:4">
      <c r="A10" s="27">
        <v>44</v>
      </c>
      <c r="B10" s="27">
        <f>TOTALES!$B10</f>
        <v>9</v>
      </c>
      <c r="C10" s="27">
        <f>SEPARADOS!$B10</f>
        <v>1</v>
      </c>
      <c r="D10" s="27">
        <f>B10-C10</f>
        <v>8</v>
      </c>
    </row>
    <row r="11" spans="1:4">
      <c r="A11" s="27">
        <v>46</v>
      </c>
      <c r="B11" s="27">
        <f>TOTALES!$B11</f>
        <v>6</v>
      </c>
      <c r="C11" s="27">
        <f>SEPARADOS!$B11</f>
        <v>6</v>
      </c>
      <c r="D11" s="27">
        <f>B11-C11</f>
        <v>0</v>
      </c>
    </row>
    <row r="12" spans="1:4">
      <c r="A12" s="27">
        <v>48</v>
      </c>
      <c r="B12" s="27">
        <f>TOTALES!$B12</f>
        <v>2</v>
      </c>
      <c r="C12" s="27">
        <f>SEPARADOS!$B12</f>
        <v>2</v>
      </c>
      <c r="D12" s="27">
        <f>B12-C12</f>
        <v>0</v>
      </c>
    </row>
    <row r="13" spans="1:4">
      <c r="A13" s="27">
        <v>50</v>
      </c>
      <c r="B13" s="27">
        <f>TOTALES!$B13</f>
        <v>0</v>
      </c>
      <c r="C13" s="27">
        <f>SEPARADOS!$B13</f>
        <v>0</v>
      </c>
      <c r="D13" s="27">
        <f>B13-C13</f>
        <v>0</v>
      </c>
    </row>
    <row r="14" spans="1:4">
      <c r="A14" s="27">
        <v>52</v>
      </c>
      <c r="B14" s="27">
        <f>TOTALES!$B14</f>
        <v>0</v>
      </c>
      <c r="C14" s="27">
        <f>SEPARADOS!$B14</f>
        <v>0</v>
      </c>
      <c r="D14" s="27">
        <f>B14-C14</f>
        <v>0</v>
      </c>
    </row>
    <row r="15" spans="1:4">
      <c r="A15" s="27">
        <v>54</v>
      </c>
      <c r="B15" s="27">
        <f>TOTALES!$B15</f>
        <v>0</v>
      </c>
      <c r="C15" s="27">
        <f>SEPARADOS!$B15</f>
        <v>0</v>
      </c>
      <c r="D15" s="27">
        <f>B15-C15</f>
        <v>0</v>
      </c>
    </row>
    <row r="16" spans="1:4">
      <c r="A16" s="27">
        <v>56</v>
      </c>
      <c r="B16" s="27">
        <f>TOTALES!$B16</f>
        <v>0</v>
      </c>
      <c r="C16" s="27">
        <f>SEPARADOS!$B16</f>
        <v>0</v>
      </c>
      <c r="D16" s="27">
        <f>B16-C16</f>
        <v>0</v>
      </c>
    </row>
    <row r="17" spans="1:4">
      <c r="A17" s="27">
        <v>58</v>
      </c>
      <c r="B17" s="27">
        <f>TOTALES!$B17</f>
        <v>0</v>
      </c>
      <c r="C17" s="27">
        <f>SEPARADOS!$B17</f>
        <v>0</v>
      </c>
      <c r="D17" s="27">
        <f>B17-C17</f>
        <v>0</v>
      </c>
    </row>
    <row r="18" spans="1:4">
      <c r="A18" s="27">
        <v>60</v>
      </c>
      <c r="B18" s="27">
        <f>TOTALES!$B18</f>
        <v>0</v>
      </c>
      <c r="C18" s="27">
        <f>SEPARADOS!$B18</f>
        <v>0</v>
      </c>
      <c r="D18" s="27">
        <f>B18-C18</f>
        <v>0</v>
      </c>
    </row>
    <row r="19" spans="1:4">
      <c r="A19" s="27">
        <v>62</v>
      </c>
      <c r="B19" s="27">
        <f>TOTALES!$B19</f>
        <v>0</v>
      </c>
      <c r="C19" s="27">
        <f>SEPARADOS!$B19</f>
        <v>0</v>
      </c>
      <c r="D19" s="27">
        <f>B19-C19</f>
        <v>0</v>
      </c>
    </row>
    <row r="20" spans="1:4">
      <c r="A20" s="27">
        <v>64</v>
      </c>
      <c r="B20" s="27">
        <f>TOTALES!$B20</f>
        <v>0</v>
      </c>
      <c r="C20" s="27">
        <f>SEPARADOS!$B20</f>
        <v>0</v>
      </c>
      <c r="D20" s="27">
        <f>B20-C20</f>
        <v>0</v>
      </c>
    </row>
    <row r="21" spans="1:4">
      <c r="A21" s="27">
        <v>66</v>
      </c>
      <c r="B21" s="27">
        <f>TOTALES!$B21</f>
        <v>0</v>
      </c>
      <c r="C21" s="27">
        <f>SEPARADOS!$B21</f>
        <v>0</v>
      </c>
      <c r="D21" s="27">
        <f>B21-C21</f>
        <v>0</v>
      </c>
    </row>
    <row r="22" spans="1:4" ht="21">
      <c r="A22" s="28" t="s">
        <v>21</v>
      </c>
      <c r="B22" s="28">
        <f>SUM(B4:B21)</f>
        <v>62</v>
      </c>
      <c r="C22" s="28">
        <f>SUM(C4:C21)</f>
        <v>31</v>
      </c>
      <c r="D22" s="28">
        <f>SUM(D4:D21)</f>
        <v>31</v>
      </c>
    </row>
  </sheetData>
  <mergeCells count="1">
    <mergeCell ref="A2: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73"/>
  <dimension ref="A2:D16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11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 t="s">
        <v>18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>
      <c r="A5" s="27" t="s">
        <v>8</v>
      </c>
      <c r="B5" s="27">
        <f>TOTALES!$B5</f>
        <v>2</v>
      </c>
      <c r="C5" s="27">
        <f>SEPARADOS!$B5</f>
        <v>2</v>
      </c>
      <c r="D5" s="27">
        <f>B5-C5</f>
        <v>0</v>
      </c>
    </row>
    <row r="6" spans="1:4">
      <c r="A6" s="27" t="s">
        <v>5</v>
      </c>
      <c r="B6" s="27">
        <f>TOTALES!$B6</f>
        <v>2</v>
      </c>
      <c r="C6" s="27">
        <f>SEPARADOS!$B6</f>
        <v>1</v>
      </c>
      <c r="D6" s="27">
        <f>B6-C6</f>
        <v>1</v>
      </c>
    </row>
    <row r="7" spans="1:4">
      <c r="A7" s="27" t="s">
        <v>4</v>
      </c>
      <c r="B7" s="27">
        <f>TOTALES!$B7</f>
        <v>10</v>
      </c>
      <c r="C7" s="27">
        <f>SEPARADOS!$B7</f>
        <v>9</v>
      </c>
      <c r="D7" s="27">
        <f>B7-C7</f>
        <v>1</v>
      </c>
    </row>
    <row r="8" spans="1:4">
      <c r="A8" s="27" t="s">
        <v>2</v>
      </c>
      <c r="B8" s="27">
        <f>TOTALES!$B8</f>
        <v>9</v>
      </c>
      <c r="C8" s="27">
        <f>SEPARADOS!$B8</f>
        <v>9</v>
      </c>
      <c r="D8" s="27">
        <f>B8-C8</f>
        <v>0</v>
      </c>
    </row>
    <row r="9" spans="1:4">
      <c r="A9" s="27" t="s">
        <v>1</v>
      </c>
      <c r="B9" s="27">
        <f>TOTALES!$B9</f>
        <v>22</v>
      </c>
      <c r="C9" s="27">
        <f>SEPARADOS!$B9</f>
        <v>1</v>
      </c>
      <c r="D9" s="27">
        <f>B9-C9</f>
        <v>21</v>
      </c>
    </row>
    <row r="10" spans="1:4">
      <c r="A10" s="27" t="s">
        <v>3</v>
      </c>
      <c r="B10" s="27">
        <f>TOTALES!$B10</f>
        <v>9</v>
      </c>
      <c r="C10" s="27">
        <f>SEPARADOS!$B10</f>
        <v>1</v>
      </c>
      <c r="D10" s="27">
        <f>B10-C10</f>
        <v>8</v>
      </c>
    </row>
    <row r="11" spans="1:4">
      <c r="A11" s="27" t="s">
        <v>6</v>
      </c>
      <c r="B11" s="27">
        <f>TOTALES!$B11</f>
        <v>6</v>
      </c>
      <c r="C11" s="27">
        <f>SEPARADOS!$B11</f>
        <v>6</v>
      </c>
      <c r="D11" s="27">
        <f>B11-C11</f>
        <v>0</v>
      </c>
    </row>
    <row r="12" spans="1:4">
      <c r="A12" s="27" t="s">
        <v>7</v>
      </c>
      <c r="B12" s="27">
        <f>TOTALES!$B12</f>
        <v>2</v>
      </c>
      <c r="C12" s="27">
        <f>SEPARADOS!$B12</f>
        <v>2</v>
      </c>
      <c r="D12" s="27">
        <f>B12-C12</f>
        <v>0</v>
      </c>
    </row>
    <row r="13" spans="1:4">
      <c r="A13" s="27" t="s">
        <v>16</v>
      </c>
      <c r="B13" s="27">
        <f>TOTALES!$B13</f>
        <v>0</v>
      </c>
      <c r="C13" s="27">
        <f>SEPARADOS!$B13</f>
        <v>0</v>
      </c>
      <c r="D13" s="27">
        <f>B13-C13</f>
        <v>0</v>
      </c>
    </row>
    <row r="14" spans="1:4">
      <c r="A14" s="27" t="s">
        <v>17</v>
      </c>
      <c r="B14" s="27">
        <f>TOTALES!$B14</f>
        <v>0</v>
      </c>
      <c r="C14" s="27">
        <f>SEPARADOS!$B14</f>
        <v>0</v>
      </c>
      <c r="D14" s="27">
        <f>B14-C14</f>
        <v>0</v>
      </c>
    </row>
    <row r="15" spans="1:4">
      <c r="A15" s="27" t="s">
        <v>19</v>
      </c>
      <c r="B15" s="27">
        <f>TOTALES!$B15</f>
        <v>0</v>
      </c>
      <c r="C15" s="27">
        <f>SEPARADOS!$B15</f>
        <v>0</v>
      </c>
      <c r="D15" s="27">
        <f>B15-C15</f>
        <v>0</v>
      </c>
    </row>
    <row r="16" spans="1:4" ht="21">
      <c r="A16" s="28" t="s">
        <v>21</v>
      </c>
      <c r="B16" s="28">
        <f>SUM(B4:B15)</f>
        <v>62</v>
      </c>
      <c r="C16" s="28">
        <f>SUM(C4:C15)</f>
        <v>31</v>
      </c>
      <c r="D16" s="28">
        <f>SUM(D4:D15)</f>
        <v>31</v>
      </c>
    </row>
  </sheetData>
  <mergeCells count="1">
    <mergeCell ref="A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74"/>
  <dimension ref="A2:D25"/>
  <sheetViews>
    <sheetView topLeftCell="A4"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0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50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>
      <c r="A5" s="27">
        <v>51</v>
      </c>
      <c r="B5" s="27">
        <f>TOTALES!$B5</f>
        <v>2</v>
      </c>
      <c r="C5" s="27">
        <f>SEPARADOS!$B5</f>
        <v>2</v>
      </c>
      <c r="D5" s="27">
        <f>B5-C5</f>
        <v>0</v>
      </c>
    </row>
    <row r="6" spans="1:4">
      <c r="A6" s="27">
        <v>52</v>
      </c>
      <c r="B6" s="27">
        <f>TOTALES!$B6</f>
        <v>2</v>
      </c>
      <c r="C6" s="27">
        <f>SEPARADOS!$B6</f>
        <v>1</v>
      </c>
      <c r="D6" s="27">
        <f>B6-C6</f>
        <v>1</v>
      </c>
    </row>
    <row r="7" spans="1:4">
      <c r="A7" s="27">
        <v>53</v>
      </c>
      <c r="B7" s="27">
        <f>TOTALES!$B7</f>
        <v>10</v>
      </c>
      <c r="C7" s="27">
        <f>SEPARADOS!$B7</f>
        <v>9</v>
      </c>
      <c r="D7" s="27">
        <f>B7-C7</f>
        <v>1</v>
      </c>
    </row>
    <row r="8" spans="1:4">
      <c r="A8" s="27">
        <v>54</v>
      </c>
      <c r="B8" s="27">
        <f>TOTALES!$B8</f>
        <v>9</v>
      </c>
      <c r="C8" s="27">
        <f>SEPARADOS!$B8</f>
        <v>9</v>
      </c>
      <c r="D8" s="27">
        <f>B8-C8</f>
        <v>0</v>
      </c>
    </row>
    <row r="9" spans="1:4">
      <c r="A9" s="27">
        <v>55</v>
      </c>
      <c r="B9" s="27">
        <f>TOTALES!$B9</f>
        <v>22</v>
      </c>
      <c r="C9" s="27">
        <f>SEPARADOS!$B9</f>
        <v>1</v>
      </c>
      <c r="D9" s="27">
        <f>B9-C9</f>
        <v>21</v>
      </c>
    </row>
    <row r="10" spans="1:4">
      <c r="A10" s="27">
        <v>56</v>
      </c>
      <c r="B10" s="27">
        <f>TOTALES!$B10</f>
        <v>9</v>
      </c>
      <c r="C10" s="27">
        <f>SEPARADOS!$B10</f>
        <v>1</v>
      </c>
      <c r="D10" s="27">
        <f>B10-C10</f>
        <v>8</v>
      </c>
    </row>
    <row r="11" spans="1:4">
      <c r="A11" s="27">
        <v>57</v>
      </c>
      <c r="B11" s="27">
        <f>TOTALES!$B11</f>
        <v>6</v>
      </c>
      <c r="C11" s="27">
        <f>SEPARADOS!$B11</f>
        <v>6</v>
      </c>
      <c r="D11" s="27">
        <f>B11-C11</f>
        <v>0</v>
      </c>
    </row>
    <row r="12" spans="1:4">
      <c r="A12" s="27">
        <v>58</v>
      </c>
      <c r="B12" s="27">
        <f>TOTALES!$B12</f>
        <v>2</v>
      </c>
      <c r="C12" s="27">
        <f>SEPARADOS!$B12</f>
        <v>2</v>
      </c>
      <c r="D12" s="27">
        <f>B12-C12</f>
        <v>0</v>
      </c>
    </row>
    <row r="13" spans="1:4">
      <c r="A13" s="27">
        <v>59</v>
      </c>
      <c r="B13" s="27">
        <f>TOTALES!$B13</f>
        <v>0</v>
      </c>
      <c r="C13" s="27">
        <f>SEPARADOS!$B13</f>
        <v>0</v>
      </c>
      <c r="D13" s="27">
        <f>B13-C13</f>
        <v>0</v>
      </c>
    </row>
    <row r="14" spans="1:4">
      <c r="A14" s="27">
        <v>60</v>
      </c>
      <c r="B14" s="27">
        <f>TOTALES!$B14</f>
        <v>0</v>
      </c>
      <c r="C14" s="27">
        <f>SEPARADOS!$B14</f>
        <v>0</v>
      </c>
      <c r="D14" s="27">
        <f>B14-C14</f>
        <v>0</v>
      </c>
    </row>
    <row r="15" spans="1:4">
      <c r="A15" s="27">
        <v>61</v>
      </c>
      <c r="B15" s="27">
        <f>TOTALES!$B15</f>
        <v>0</v>
      </c>
      <c r="C15" s="27">
        <f>SEPARADOS!$B15</f>
        <v>0</v>
      </c>
      <c r="D15" s="27">
        <f>B15-C15</f>
        <v>0</v>
      </c>
    </row>
    <row r="16" spans="1:4">
      <c r="A16" s="27">
        <v>62</v>
      </c>
      <c r="B16" s="27">
        <f>TOTALES!$B16</f>
        <v>0</v>
      </c>
      <c r="C16" s="27">
        <f>SEPARADOS!$B16</f>
        <v>0</v>
      </c>
      <c r="D16" s="27">
        <f>B16-C16</f>
        <v>0</v>
      </c>
    </row>
    <row r="17" spans="1:4">
      <c r="A17" s="27">
        <v>63</v>
      </c>
      <c r="B17" s="27">
        <f>TOTALES!$B17</f>
        <v>0</v>
      </c>
      <c r="C17" s="27">
        <f>SEPARADOS!$B17</f>
        <v>0</v>
      </c>
      <c r="D17" s="27">
        <f>B17-C17</f>
        <v>0</v>
      </c>
    </row>
    <row r="18" spans="1:4">
      <c r="A18" s="27">
        <v>64</v>
      </c>
      <c r="B18" s="27">
        <f>TOTALES!$B18</f>
        <v>0</v>
      </c>
      <c r="C18" s="27">
        <f>SEPARADOS!$B18</f>
        <v>0</v>
      </c>
      <c r="D18" s="27">
        <f>B18-C18</f>
        <v>0</v>
      </c>
    </row>
    <row r="19" spans="1:4">
      <c r="A19" s="27">
        <v>65</v>
      </c>
      <c r="B19" s="27">
        <f>TOTALES!$B19</f>
        <v>0</v>
      </c>
      <c r="C19" s="27">
        <f>SEPARADOS!$B19</f>
        <v>0</v>
      </c>
      <c r="D19" s="27">
        <f>B19-C19</f>
        <v>0</v>
      </c>
    </row>
    <row r="20" spans="1:4">
      <c r="A20" s="27">
        <v>66</v>
      </c>
      <c r="B20" s="27">
        <f>TOTALES!$B20</f>
        <v>0</v>
      </c>
      <c r="C20" s="27">
        <f>SEPARADOS!$B20</f>
        <v>0</v>
      </c>
      <c r="D20" s="27">
        <f>B20-C20</f>
        <v>0</v>
      </c>
    </row>
    <row r="21" spans="1:4">
      <c r="A21" s="27">
        <v>67</v>
      </c>
      <c r="B21" s="27">
        <f>TOTALES!$B21</f>
        <v>0</v>
      </c>
      <c r="C21" s="27">
        <f>SEPARADOS!$B21</f>
        <v>0</v>
      </c>
      <c r="D21" s="27">
        <f>B21-C21</f>
        <v>0</v>
      </c>
    </row>
    <row r="22" spans="1:4">
      <c r="A22" s="27">
        <v>68</v>
      </c>
      <c r="B22" s="27">
        <f>TOTALES!$B22</f>
        <v>62</v>
      </c>
      <c r="C22" s="27">
        <f>SEPARADOS!$B22</f>
        <v>31</v>
      </c>
      <c r="D22" s="27">
        <f>B22-C22</f>
        <v>31</v>
      </c>
    </row>
    <row r="23" spans="1:4">
      <c r="A23" s="27">
        <v>69</v>
      </c>
      <c r="B23" s="27">
        <f>TOTALES!$B23</f>
        <v>0</v>
      </c>
      <c r="C23" s="27">
        <f>SEPARADOS!$B23</f>
        <v>0</v>
      </c>
      <c r="D23" s="27">
        <f>B23-C23</f>
        <v>0</v>
      </c>
    </row>
    <row r="24" spans="1:4">
      <c r="A24" s="27">
        <v>70</v>
      </c>
      <c r="B24" s="27">
        <f>TOTALES!$B24</f>
        <v>0</v>
      </c>
      <c r="C24" s="27">
        <f>SEPARADOS!$B24</f>
        <v>0</v>
      </c>
      <c r="D24" s="27">
        <f>B24-C24</f>
        <v>0</v>
      </c>
    </row>
    <row r="25" spans="1:4" ht="21">
      <c r="A25" s="28" t="s">
        <v>21</v>
      </c>
      <c r="B25" s="28">
        <f>SUM(B4:B24)</f>
        <v>124</v>
      </c>
      <c r="C25" s="28">
        <f>SUM(C4:C24)</f>
        <v>62</v>
      </c>
      <c r="D25" s="28">
        <f>SUM(D4:D24)</f>
        <v>62</v>
      </c>
    </row>
  </sheetData>
  <mergeCells count="1">
    <mergeCell ref="A2:D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5"/>
  <dimension ref="A2:D22"/>
  <sheetViews>
    <sheetView tabSelected="1" workbookViewId="0">
      <selection activeCell="C8" sqref="C8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10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32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>
      <c r="A5" s="27">
        <v>34</v>
      </c>
      <c r="B5" s="27">
        <f>TOTALES!$B5</f>
        <v>2</v>
      </c>
      <c r="C5" s="27">
        <f>SEPARADOS!$B5</f>
        <v>2</v>
      </c>
      <c r="D5" s="27">
        <f>B5-C5</f>
        <v>0</v>
      </c>
    </row>
    <row r="6" spans="1:4">
      <c r="A6" s="27">
        <v>36</v>
      </c>
      <c r="B6" s="27">
        <f>TOTALES!$B6</f>
        <v>2</v>
      </c>
      <c r="C6" s="27">
        <f>SEPARADOS!$B6</f>
        <v>1</v>
      </c>
      <c r="D6" s="27">
        <f>B6-C6</f>
        <v>1</v>
      </c>
    </row>
    <row r="7" spans="1:4">
      <c r="A7" s="27">
        <v>38</v>
      </c>
      <c r="B7" s="27">
        <f>TOTALES!$B7</f>
        <v>10</v>
      </c>
      <c r="C7" s="27">
        <f>SEPARADOS!$B7</f>
        <v>9</v>
      </c>
      <c r="D7" s="27">
        <f>B7-C7</f>
        <v>1</v>
      </c>
    </row>
    <row r="8" spans="1:4">
      <c r="A8" s="27">
        <v>40</v>
      </c>
      <c r="B8" s="27">
        <f>TOTALES!$B8</f>
        <v>9</v>
      </c>
      <c r="C8" s="27">
        <f>SEPARADOS!$B8</f>
        <v>9</v>
      </c>
      <c r="D8" s="27">
        <f>B8-C8</f>
        <v>0</v>
      </c>
    </row>
    <row r="9" spans="1:4">
      <c r="A9" s="27">
        <v>42</v>
      </c>
      <c r="B9" s="27">
        <f>TOTALES!$B9</f>
        <v>22</v>
      </c>
      <c r="C9" s="27">
        <f>SEPARADOS!$B9</f>
        <v>1</v>
      </c>
      <c r="D9" s="27">
        <f>B9-C9</f>
        <v>21</v>
      </c>
    </row>
    <row r="10" spans="1:4">
      <c r="A10" s="27">
        <v>44</v>
      </c>
      <c r="B10" s="27">
        <f>TOTALES!$B10</f>
        <v>9</v>
      </c>
      <c r="C10" s="27">
        <f>SEPARADOS!$B10</f>
        <v>1</v>
      </c>
      <c r="D10" s="27">
        <f>B10-C10</f>
        <v>8</v>
      </c>
    </row>
    <row r="11" spans="1:4">
      <c r="A11" s="27">
        <v>46</v>
      </c>
      <c r="B11" s="27">
        <f>TOTALES!$B11</f>
        <v>6</v>
      </c>
      <c r="C11" s="27">
        <f>SEPARADOS!$B11</f>
        <v>6</v>
      </c>
      <c r="D11" s="27">
        <f>B11-C11</f>
        <v>0</v>
      </c>
    </row>
    <row r="12" spans="1:4">
      <c r="A12" s="27">
        <v>48</v>
      </c>
      <c r="B12" s="27">
        <f>TOTALES!$B12</f>
        <v>2</v>
      </c>
      <c r="C12" s="27">
        <f>SEPARADOS!$B12</f>
        <v>2</v>
      </c>
      <c r="D12" s="27">
        <f>B12-C12</f>
        <v>0</v>
      </c>
    </row>
    <row r="13" spans="1:4">
      <c r="A13" s="27">
        <v>50</v>
      </c>
      <c r="B13" s="27">
        <f>TOTALES!$B13</f>
        <v>0</v>
      </c>
      <c r="C13" s="27">
        <f>SEPARADOS!$B13</f>
        <v>0</v>
      </c>
      <c r="D13" s="27">
        <f>B13-C13</f>
        <v>0</v>
      </c>
    </row>
    <row r="14" spans="1:4">
      <c r="A14" s="27">
        <v>52</v>
      </c>
      <c r="B14" s="27">
        <f>TOTALES!$B14</f>
        <v>0</v>
      </c>
      <c r="C14" s="27">
        <f>SEPARADOS!$B14</f>
        <v>0</v>
      </c>
      <c r="D14" s="27">
        <f>B14-C14</f>
        <v>0</v>
      </c>
    </row>
    <row r="15" spans="1:4">
      <c r="A15" s="27">
        <v>54</v>
      </c>
      <c r="B15" s="27">
        <f>TOTALES!$B15</f>
        <v>0</v>
      </c>
      <c r="C15" s="27">
        <f>SEPARADOS!$B15</f>
        <v>0</v>
      </c>
      <c r="D15" s="27">
        <f>B15-C15</f>
        <v>0</v>
      </c>
    </row>
    <row r="16" spans="1:4">
      <c r="A16" s="27">
        <v>56</v>
      </c>
      <c r="B16" s="27">
        <f>TOTALES!$B16</f>
        <v>0</v>
      </c>
      <c r="C16" s="27">
        <f>SEPARADOS!$B16</f>
        <v>0</v>
      </c>
      <c r="D16" s="27">
        <f>B16-C16</f>
        <v>0</v>
      </c>
    </row>
    <row r="17" spans="1:4">
      <c r="A17" s="27">
        <v>58</v>
      </c>
      <c r="B17" s="27">
        <f>TOTALES!$B17</f>
        <v>0</v>
      </c>
      <c r="C17" s="27">
        <f>SEPARADOS!$B17</f>
        <v>0</v>
      </c>
      <c r="D17" s="27">
        <f>B17-C17</f>
        <v>0</v>
      </c>
    </row>
    <row r="18" spans="1:4">
      <c r="A18" s="27">
        <v>60</v>
      </c>
      <c r="B18" s="27">
        <f>TOTALES!$B18</f>
        <v>0</v>
      </c>
      <c r="C18" s="27">
        <f>SEPARADOS!$B18</f>
        <v>0</v>
      </c>
      <c r="D18" s="27">
        <f>B18-C18</f>
        <v>0</v>
      </c>
    </row>
    <row r="19" spans="1:4">
      <c r="A19" s="27">
        <v>62</v>
      </c>
      <c r="B19" s="27">
        <f>TOTALES!$B19</f>
        <v>0</v>
      </c>
      <c r="C19" s="27">
        <f>SEPARADOS!$B19</f>
        <v>0</v>
      </c>
      <c r="D19" s="27">
        <f>B19-C19</f>
        <v>0</v>
      </c>
    </row>
    <row r="20" spans="1:4">
      <c r="A20" s="27">
        <v>64</v>
      </c>
      <c r="B20" s="27">
        <f>TOTALES!$B20</f>
        <v>0</v>
      </c>
      <c r="C20" s="27">
        <f>SEPARADOS!$B20</f>
        <v>0</v>
      </c>
      <c r="D20" s="27">
        <f>B20-C20</f>
        <v>0</v>
      </c>
    </row>
    <row r="21" spans="1:4">
      <c r="A21" s="27">
        <v>66</v>
      </c>
      <c r="B21" s="27">
        <f>TOTALES!$B21</f>
        <v>0</v>
      </c>
      <c r="C21" s="27">
        <f>SEPARADOS!$B21</f>
        <v>0</v>
      </c>
      <c r="D21" s="27">
        <f>B21-C21</f>
        <v>0</v>
      </c>
    </row>
    <row r="22" spans="1:4" ht="21">
      <c r="A22" s="28" t="s">
        <v>21</v>
      </c>
      <c r="B22" s="28">
        <f>SUM(B4:B21)</f>
        <v>62</v>
      </c>
      <c r="C22" s="28">
        <f>SUM(C4:C21)</f>
        <v>31</v>
      </c>
      <c r="D22" s="28">
        <f>SUM(D4:D21)</f>
        <v>31</v>
      </c>
    </row>
  </sheetData>
  <mergeCells count="1">
    <mergeCell ref="A2:D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76"/>
  <dimension ref="A2:D16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12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 t="s">
        <v>18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>
      <c r="A5" s="27" t="s">
        <v>8</v>
      </c>
      <c r="B5" s="27">
        <f>TOTALES!$B5</f>
        <v>2</v>
      </c>
      <c r="C5" s="27">
        <f>SEPARADOS!$B5</f>
        <v>2</v>
      </c>
      <c r="D5" s="27">
        <f>B5-C5</f>
        <v>0</v>
      </c>
    </row>
    <row r="6" spans="1:4">
      <c r="A6" s="27" t="s">
        <v>5</v>
      </c>
      <c r="B6" s="27">
        <f>TOTALES!$B6</f>
        <v>2</v>
      </c>
      <c r="C6" s="27">
        <f>SEPARADOS!$B6</f>
        <v>1</v>
      </c>
      <c r="D6" s="27">
        <f>B6-C6</f>
        <v>1</v>
      </c>
    </row>
    <row r="7" spans="1:4">
      <c r="A7" s="27" t="s">
        <v>4</v>
      </c>
      <c r="B7" s="27">
        <f>TOTALES!$B7</f>
        <v>10</v>
      </c>
      <c r="C7" s="27">
        <f>SEPARADOS!$B7</f>
        <v>9</v>
      </c>
      <c r="D7" s="27">
        <f>B7-C7</f>
        <v>1</v>
      </c>
    </row>
    <row r="8" spans="1:4">
      <c r="A8" s="27" t="s">
        <v>2</v>
      </c>
      <c r="B8" s="27">
        <f>TOTALES!$B8</f>
        <v>9</v>
      </c>
      <c r="C8" s="27">
        <f>SEPARADOS!$B8</f>
        <v>9</v>
      </c>
      <c r="D8" s="27">
        <f>B8-C8</f>
        <v>0</v>
      </c>
    </row>
    <row r="9" spans="1:4">
      <c r="A9" s="27" t="s">
        <v>1</v>
      </c>
      <c r="B9" s="27">
        <f>TOTALES!$B9</f>
        <v>22</v>
      </c>
      <c r="C9" s="27">
        <f>SEPARADOS!$B9</f>
        <v>1</v>
      </c>
      <c r="D9" s="27">
        <f>B9-C9</f>
        <v>21</v>
      </c>
    </row>
    <row r="10" spans="1:4">
      <c r="A10" s="27" t="s">
        <v>3</v>
      </c>
      <c r="B10" s="27">
        <f>TOTALES!$B10</f>
        <v>9</v>
      </c>
      <c r="C10" s="27">
        <f>SEPARADOS!$B10</f>
        <v>1</v>
      </c>
      <c r="D10" s="27">
        <f>B10-C10</f>
        <v>8</v>
      </c>
    </row>
    <row r="11" spans="1:4">
      <c r="A11" s="27" t="s">
        <v>6</v>
      </c>
      <c r="B11" s="27">
        <f>TOTALES!$B11</f>
        <v>6</v>
      </c>
      <c r="C11" s="27">
        <f>SEPARADOS!$B11</f>
        <v>6</v>
      </c>
      <c r="D11" s="27">
        <f>B11-C11</f>
        <v>0</v>
      </c>
    </row>
    <row r="12" spans="1:4">
      <c r="A12" s="27" t="s">
        <v>7</v>
      </c>
      <c r="B12" s="27">
        <f>TOTALES!$B12</f>
        <v>2</v>
      </c>
      <c r="C12" s="27">
        <f>SEPARADOS!$B12</f>
        <v>2</v>
      </c>
      <c r="D12" s="27">
        <f>B12-C12</f>
        <v>0</v>
      </c>
    </row>
    <row r="13" spans="1:4">
      <c r="A13" s="27" t="s">
        <v>16</v>
      </c>
      <c r="B13" s="27">
        <f>TOTALES!$B13</f>
        <v>0</v>
      </c>
      <c r="C13" s="27">
        <f>SEPARADOS!$B13</f>
        <v>0</v>
      </c>
      <c r="D13" s="27">
        <f>B13-C13</f>
        <v>0</v>
      </c>
    </row>
    <row r="14" spans="1:4">
      <c r="A14" s="27" t="s">
        <v>17</v>
      </c>
      <c r="B14" s="27">
        <f>TOTALES!$B14</f>
        <v>0</v>
      </c>
      <c r="C14" s="27">
        <f>SEPARADOS!$B14</f>
        <v>0</v>
      </c>
      <c r="D14" s="27">
        <f>B14-C14</f>
        <v>0</v>
      </c>
    </row>
    <row r="15" spans="1:4">
      <c r="A15" s="27" t="s">
        <v>19</v>
      </c>
      <c r="B15" s="27">
        <f>TOTALES!$B15</f>
        <v>0</v>
      </c>
      <c r="C15" s="27">
        <f>SEPARADOS!$B15</f>
        <v>0</v>
      </c>
      <c r="D15" s="27">
        <f>B15-C15</f>
        <v>0</v>
      </c>
    </row>
    <row r="16" spans="1:4" ht="21">
      <c r="A16" s="28" t="s">
        <v>21</v>
      </c>
      <c r="B16" s="28">
        <f>SUM(B4:B15)</f>
        <v>62</v>
      </c>
      <c r="C16" s="28">
        <f>SUM(C4:C15)</f>
        <v>31</v>
      </c>
      <c r="D16" s="28">
        <f>SUM(D4:D15)</f>
        <v>31</v>
      </c>
    </row>
  </sheetData>
  <mergeCells count="1">
    <mergeCell ref="A2:D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77"/>
  <dimension ref="A2:D16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13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 t="s">
        <v>18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>
      <c r="A5" s="27" t="s">
        <v>8</v>
      </c>
      <c r="B5" s="27">
        <f>TOTALES!$B5</f>
        <v>2</v>
      </c>
      <c r="C5" s="27">
        <f>SEPARADOS!$B5</f>
        <v>2</v>
      </c>
      <c r="D5" s="27">
        <f>B5-C5</f>
        <v>0</v>
      </c>
    </row>
    <row r="6" spans="1:4">
      <c r="A6" s="27" t="s">
        <v>5</v>
      </c>
      <c r="B6" s="27">
        <f>TOTALES!$B6</f>
        <v>2</v>
      </c>
      <c r="C6" s="27">
        <f>SEPARADOS!$B6</f>
        <v>1</v>
      </c>
      <c r="D6" s="27">
        <f>B6-C6</f>
        <v>1</v>
      </c>
    </row>
    <row r="7" spans="1:4">
      <c r="A7" s="27" t="s">
        <v>4</v>
      </c>
      <c r="B7" s="27">
        <f>TOTALES!$B7</f>
        <v>10</v>
      </c>
      <c r="C7" s="27">
        <f>SEPARADOS!$B7</f>
        <v>9</v>
      </c>
      <c r="D7" s="27">
        <f>B7-C7</f>
        <v>1</v>
      </c>
    </row>
    <row r="8" spans="1:4">
      <c r="A8" s="27" t="s">
        <v>2</v>
      </c>
      <c r="B8" s="27">
        <f>TOTALES!$B8</f>
        <v>9</v>
      </c>
      <c r="C8" s="27">
        <f>SEPARADOS!$B8</f>
        <v>9</v>
      </c>
      <c r="D8" s="27">
        <f>B8-C8</f>
        <v>0</v>
      </c>
    </row>
    <row r="9" spans="1:4">
      <c r="A9" s="27" t="s">
        <v>1</v>
      </c>
      <c r="B9" s="27">
        <f>TOTALES!$B9</f>
        <v>22</v>
      </c>
      <c r="C9" s="27">
        <f>SEPARADOS!$B9</f>
        <v>1</v>
      </c>
      <c r="D9" s="27">
        <f>B9-C9</f>
        <v>21</v>
      </c>
    </row>
    <row r="10" spans="1:4">
      <c r="A10" s="27" t="s">
        <v>3</v>
      </c>
      <c r="B10" s="27">
        <f>TOTALES!$B10</f>
        <v>9</v>
      </c>
      <c r="C10" s="27">
        <f>SEPARADOS!$B10</f>
        <v>1</v>
      </c>
      <c r="D10" s="27">
        <f>B10-C10</f>
        <v>8</v>
      </c>
    </row>
    <row r="11" spans="1:4">
      <c r="A11" s="27" t="s">
        <v>6</v>
      </c>
      <c r="B11" s="27">
        <f>TOTALES!$B11</f>
        <v>6</v>
      </c>
      <c r="C11" s="27">
        <f>SEPARADOS!$B11</f>
        <v>6</v>
      </c>
      <c r="D11" s="27">
        <f>B11-C11</f>
        <v>0</v>
      </c>
    </row>
    <row r="12" spans="1:4">
      <c r="A12" s="27" t="s">
        <v>7</v>
      </c>
      <c r="B12" s="27">
        <f>TOTALES!$B12</f>
        <v>2</v>
      </c>
      <c r="C12" s="27">
        <f>SEPARADOS!$B12</f>
        <v>2</v>
      </c>
      <c r="D12" s="27">
        <f>B12-C12</f>
        <v>0</v>
      </c>
    </row>
    <row r="13" spans="1:4">
      <c r="A13" s="27" t="s">
        <v>16</v>
      </c>
      <c r="B13" s="27">
        <f>TOTALES!$B13</f>
        <v>0</v>
      </c>
      <c r="C13" s="27">
        <f>SEPARADOS!$B13</f>
        <v>0</v>
      </c>
      <c r="D13" s="27">
        <f>B13-C13</f>
        <v>0</v>
      </c>
    </row>
    <row r="14" spans="1:4">
      <c r="A14" s="27" t="s">
        <v>17</v>
      </c>
      <c r="B14" s="27">
        <f>TOTALES!$B14</f>
        <v>0</v>
      </c>
      <c r="C14" s="27">
        <f>SEPARADOS!$B14</f>
        <v>0</v>
      </c>
      <c r="D14" s="27">
        <f>B14-C14</f>
        <v>0</v>
      </c>
    </row>
    <row r="15" spans="1:4">
      <c r="A15" s="27" t="s">
        <v>19</v>
      </c>
      <c r="B15" s="27">
        <f>TOTALES!$B15</f>
        <v>0</v>
      </c>
      <c r="C15" s="27">
        <f>SEPARADOS!$B15</f>
        <v>0</v>
      </c>
      <c r="D15" s="27">
        <f>B15-C15</f>
        <v>0</v>
      </c>
    </row>
    <row r="16" spans="1:4" ht="21">
      <c r="A16" s="28" t="s">
        <v>21</v>
      </c>
      <c r="B16" s="28">
        <f>SUM(B4:B15)</f>
        <v>62</v>
      </c>
      <c r="C16" s="28">
        <f>SUM(C4:C15)</f>
        <v>31</v>
      </c>
      <c r="D16" s="28">
        <f>SUM(D4:D15)</f>
        <v>31</v>
      </c>
    </row>
  </sheetData>
  <mergeCells count="1">
    <mergeCell ref="A2:D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78"/>
  <dimension ref="A2:D30"/>
  <sheetViews>
    <sheetView workbookViewId="0">
      <selection activeCell="F8" sqref="F8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9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30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>
      <c r="A5" s="27">
        <v>31</v>
      </c>
      <c r="B5" s="27">
        <f>TOTALES!$B5</f>
        <v>2</v>
      </c>
      <c r="C5" s="27">
        <f>SEPARADOS!$B5</f>
        <v>2</v>
      </c>
      <c r="D5" s="27">
        <f>B5-C5</f>
        <v>0</v>
      </c>
    </row>
    <row r="6" spans="1:4">
      <c r="A6" s="27">
        <v>32</v>
      </c>
      <c r="B6" s="27">
        <f>TOTALES!$B6</f>
        <v>2</v>
      </c>
      <c r="C6" s="27">
        <f>SEPARADOS!$B6</f>
        <v>1</v>
      </c>
      <c r="D6" s="27">
        <f>B6-C6</f>
        <v>1</v>
      </c>
    </row>
    <row r="7" spans="1:4">
      <c r="A7" s="27">
        <v>33</v>
      </c>
      <c r="B7" s="27">
        <f>TOTALES!$B7</f>
        <v>10</v>
      </c>
      <c r="C7" s="27">
        <f>SEPARADOS!$B7</f>
        <v>9</v>
      </c>
      <c r="D7" s="27">
        <f>B7-C7</f>
        <v>1</v>
      </c>
    </row>
    <row r="8" spans="1:4">
      <c r="A8" s="27">
        <v>34</v>
      </c>
      <c r="B8" s="27">
        <f>TOTALES!$B8</f>
        <v>9</v>
      </c>
      <c r="C8" s="27">
        <f>SEPARADOS!$B8</f>
        <v>9</v>
      </c>
      <c r="D8" s="27">
        <f>B8-C8</f>
        <v>0</v>
      </c>
    </row>
    <row r="9" spans="1:4">
      <c r="A9" s="27">
        <v>35</v>
      </c>
      <c r="B9" s="27">
        <f>TOTALES!$B9</f>
        <v>22</v>
      </c>
      <c r="C9" s="27">
        <f>SEPARADOS!$B9</f>
        <v>1</v>
      </c>
      <c r="D9" s="27">
        <f>B9-C9</f>
        <v>21</v>
      </c>
    </row>
    <row r="10" spans="1:4">
      <c r="A10" s="27">
        <v>36</v>
      </c>
      <c r="B10" s="27">
        <f>TOTALES!$B10</f>
        <v>9</v>
      </c>
      <c r="C10" s="27">
        <f>SEPARADOS!$B10</f>
        <v>1</v>
      </c>
      <c r="D10" s="27">
        <f>B10-C10</f>
        <v>8</v>
      </c>
    </row>
    <row r="11" spans="1:4">
      <c r="A11" s="27">
        <v>37</v>
      </c>
      <c r="B11" s="27">
        <f>TOTALES!$B11</f>
        <v>6</v>
      </c>
      <c r="C11" s="27">
        <f>SEPARADOS!$B11</f>
        <v>6</v>
      </c>
      <c r="D11" s="27">
        <f>B11-C11</f>
        <v>0</v>
      </c>
    </row>
    <row r="12" spans="1:4">
      <c r="A12" s="27">
        <v>38</v>
      </c>
      <c r="B12" s="27">
        <f>TOTALES!$B12</f>
        <v>2</v>
      </c>
      <c r="C12" s="27">
        <f>SEPARADOS!$B12</f>
        <v>2</v>
      </c>
      <c r="D12" s="27">
        <f>B12-C12</f>
        <v>0</v>
      </c>
    </row>
    <row r="13" spans="1:4">
      <c r="A13" s="27">
        <v>39</v>
      </c>
      <c r="B13" s="27">
        <f>TOTALES!$B13</f>
        <v>0</v>
      </c>
      <c r="C13" s="27">
        <f>SEPARADOS!$B13</f>
        <v>0</v>
      </c>
      <c r="D13" s="27">
        <f>B13-C13</f>
        <v>0</v>
      </c>
    </row>
    <row r="14" spans="1:4">
      <c r="A14" s="27">
        <v>40</v>
      </c>
      <c r="B14" s="27">
        <f>TOTALES!$B14</f>
        <v>0</v>
      </c>
      <c r="C14" s="27">
        <f>SEPARADOS!$B14</f>
        <v>0</v>
      </c>
      <c r="D14" s="27">
        <f>B14-C14</f>
        <v>0</v>
      </c>
    </row>
    <row r="15" spans="1:4">
      <c r="A15" s="27">
        <v>41</v>
      </c>
      <c r="B15" s="27">
        <f>TOTALES!$B15</f>
        <v>0</v>
      </c>
      <c r="C15" s="27">
        <f>SEPARADOS!$B15</f>
        <v>0</v>
      </c>
      <c r="D15" s="27">
        <f>B15-C15</f>
        <v>0</v>
      </c>
    </row>
    <row r="16" spans="1:4">
      <c r="A16" s="27">
        <v>42</v>
      </c>
      <c r="B16" s="27">
        <f>TOTALES!$B16</f>
        <v>0</v>
      </c>
      <c r="C16" s="27">
        <f>SEPARADOS!$B16</f>
        <v>0</v>
      </c>
      <c r="D16" s="27">
        <f>B16-C16</f>
        <v>0</v>
      </c>
    </row>
    <row r="17" spans="1:4">
      <c r="A17" s="27">
        <v>43</v>
      </c>
      <c r="B17" s="27">
        <f>TOTALES!$B17</f>
        <v>0</v>
      </c>
      <c r="C17" s="27">
        <f>SEPARADOS!$B17</f>
        <v>0</v>
      </c>
      <c r="D17" s="27">
        <f>B17-C17</f>
        <v>0</v>
      </c>
    </row>
    <row r="18" spans="1:4">
      <c r="A18" s="27">
        <v>44</v>
      </c>
      <c r="B18" s="27">
        <f>TOTALES!$B18</f>
        <v>0</v>
      </c>
      <c r="C18" s="27">
        <f>SEPARADOS!$B18</f>
        <v>0</v>
      </c>
      <c r="D18" s="27">
        <f>B18-C18</f>
        <v>0</v>
      </c>
    </row>
    <row r="19" spans="1:4">
      <c r="A19" s="27">
        <v>45</v>
      </c>
      <c r="B19" s="27">
        <f>TOTALES!$B19</f>
        <v>0</v>
      </c>
      <c r="C19" s="27">
        <f>SEPARADOS!$B19</f>
        <v>0</v>
      </c>
      <c r="D19" s="27">
        <f>B19-C19</f>
        <v>0</v>
      </c>
    </row>
    <row r="20" spans="1:4">
      <c r="A20" s="27">
        <v>46</v>
      </c>
      <c r="B20" s="27">
        <f>TOTALES!$B20</f>
        <v>0</v>
      </c>
      <c r="C20" s="27">
        <f>SEPARADOS!$B20</f>
        <v>0</v>
      </c>
      <c r="D20" s="27">
        <f>B20-C20</f>
        <v>0</v>
      </c>
    </row>
    <row r="21" spans="1:4">
      <c r="A21" s="27">
        <v>47</v>
      </c>
      <c r="B21" s="27">
        <f>TOTALES!$B21</f>
        <v>0</v>
      </c>
      <c r="C21" s="27">
        <f>SEPARADOS!$B21</f>
        <v>0</v>
      </c>
      <c r="D21" s="27">
        <f>B21-C21</f>
        <v>0</v>
      </c>
    </row>
    <row r="22" spans="1:4">
      <c r="A22" s="27">
        <v>48</v>
      </c>
      <c r="B22" s="27">
        <f>TOTALES!$B22</f>
        <v>62</v>
      </c>
      <c r="C22" s="27">
        <f>SEPARADOS!$B22</f>
        <v>31</v>
      </c>
      <c r="D22" s="27">
        <f>B22-C22</f>
        <v>31</v>
      </c>
    </row>
    <row r="23" spans="1:4">
      <c r="A23" s="27">
        <v>49</v>
      </c>
      <c r="B23" s="27">
        <f>TOTALES!$B23</f>
        <v>0</v>
      </c>
      <c r="C23" s="27">
        <f>SEPARADOS!$B23</f>
        <v>0</v>
      </c>
      <c r="D23" s="27">
        <f>B23-C23</f>
        <v>0</v>
      </c>
    </row>
    <row r="24" spans="1:4">
      <c r="A24" s="27">
        <v>50</v>
      </c>
      <c r="B24" s="27">
        <f>TOTALES!$B24</f>
        <v>0</v>
      </c>
      <c r="C24" s="27">
        <f>SEPARADOS!$B24</f>
        <v>0</v>
      </c>
      <c r="D24" s="27">
        <f>B24-C24</f>
        <v>0</v>
      </c>
    </row>
    <row r="25" spans="1:4">
      <c r="A25" s="27">
        <v>51</v>
      </c>
      <c r="B25" s="27">
        <f>TOTALES!$B25</f>
        <v>0</v>
      </c>
      <c r="C25" s="27">
        <f>SEPARADOS!$B25</f>
        <v>0</v>
      </c>
      <c r="D25" s="27">
        <f>B25-C25</f>
        <v>0</v>
      </c>
    </row>
    <row r="26" spans="1:4">
      <c r="A26" s="27">
        <v>52</v>
      </c>
      <c r="B26" s="27">
        <f>TOTALES!$B26</f>
        <v>0</v>
      </c>
      <c r="C26" s="27">
        <f>SEPARADOS!$B26</f>
        <v>0</v>
      </c>
      <c r="D26" s="27">
        <f>B26-C26</f>
        <v>0</v>
      </c>
    </row>
    <row r="27" spans="1:4">
      <c r="A27" s="27">
        <v>53</v>
      </c>
      <c r="B27" s="27">
        <f>TOTALES!$B27</f>
        <v>0</v>
      </c>
      <c r="C27" s="27">
        <f>SEPARADOS!$B27</f>
        <v>0</v>
      </c>
      <c r="D27" s="27">
        <f>B27-C27</f>
        <v>0</v>
      </c>
    </row>
    <row r="28" spans="1:4">
      <c r="A28" s="27">
        <v>54</v>
      </c>
      <c r="B28" s="27">
        <f>TOTALES!$B28</f>
        <v>0</v>
      </c>
      <c r="C28" s="27">
        <f>SEPARADOS!$B28</f>
        <v>0</v>
      </c>
      <c r="D28" s="27">
        <f>B28-C28</f>
        <v>0</v>
      </c>
    </row>
    <row r="29" spans="1:4">
      <c r="A29" s="27">
        <v>55</v>
      </c>
      <c r="B29" s="27">
        <f>TOTALES!$B29</f>
        <v>0</v>
      </c>
      <c r="C29" s="27">
        <f>SEPARADOS!$B29</f>
        <v>0</v>
      </c>
      <c r="D29" s="27">
        <f>B29-C29</f>
        <v>0</v>
      </c>
    </row>
    <row r="30" spans="1:4" ht="21">
      <c r="A30" s="28" t="s">
        <v>21</v>
      </c>
      <c r="B30" s="28">
        <f>SUM(B4:B29)</f>
        <v>124</v>
      </c>
      <c r="C30" s="28">
        <f>SUM(C4:C29)</f>
        <v>62</v>
      </c>
      <c r="D30" s="28">
        <f>SUM(D4:D29)</f>
        <v>62</v>
      </c>
    </row>
  </sheetData>
  <mergeCells count="1">
    <mergeCell ref="A2:D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79"/>
  <dimension ref="A2:D22"/>
  <sheetViews>
    <sheetView workbookViewId="0">
      <selection activeCell="D9" sqref="D9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90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32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>
      <c r="A5" s="27">
        <v>34</v>
      </c>
      <c r="B5" s="27">
        <f>TOTALES!$B5</f>
        <v>2</v>
      </c>
      <c r="C5" s="27">
        <f>SEPARADOS!$B5</f>
        <v>2</v>
      </c>
      <c r="D5" s="27">
        <f>B5-C5</f>
        <v>0</v>
      </c>
    </row>
    <row r="6" spans="1:4">
      <c r="A6" s="27">
        <v>36</v>
      </c>
      <c r="B6" s="27">
        <f>TOTALES!$B6</f>
        <v>2</v>
      </c>
      <c r="C6" s="27">
        <f>SEPARADOS!$B6</f>
        <v>1</v>
      </c>
      <c r="D6" s="27">
        <f>B6-C6</f>
        <v>1</v>
      </c>
    </row>
    <row r="7" spans="1:4">
      <c r="A7" s="27">
        <v>38</v>
      </c>
      <c r="B7" s="27">
        <f>TOTALES!$B7</f>
        <v>10</v>
      </c>
      <c r="C7" s="27">
        <f>SEPARADOS!$B7</f>
        <v>9</v>
      </c>
      <c r="D7" s="27">
        <f>B7-C7</f>
        <v>1</v>
      </c>
    </row>
    <row r="8" spans="1:4">
      <c r="A8" s="27">
        <v>40</v>
      </c>
      <c r="B8" s="27">
        <f>TOTALES!$B8</f>
        <v>9</v>
      </c>
      <c r="C8" s="27">
        <f>SEPARADOS!$B8</f>
        <v>9</v>
      </c>
      <c r="D8" s="27">
        <f>B8-C8</f>
        <v>0</v>
      </c>
    </row>
    <row r="9" spans="1:4">
      <c r="A9" s="27">
        <v>42</v>
      </c>
      <c r="B9" s="27">
        <f>TOTALES!$B9</f>
        <v>22</v>
      </c>
      <c r="C9" s="27">
        <f>SEPARADOS!$B9</f>
        <v>1</v>
      </c>
      <c r="D9" s="27">
        <f>B9-C9</f>
        <v>21</v>
      </c>
    </row>
    <row r="10" spans="1:4">
      <c r="A10" s="27">
        <v>44</v>
      </c>
      <c r="B10" s="27">
        <f>TOTALES!$B10</f>
        <v>9</v>
      </c>
      <c r="C10" s="27">
        <f>SEPARADOS!$B10</f>
        <v>1</v>
      </c>
      <c r="D10" s="27">
        <f>B10-C10</f>
        <v>8</v>
      </c>
    </row>
    <row r="11" spans="1:4">
      <c r="A11" s="27">
        <v>46</v>
      </c>
      <c r="B11" s="27">
        <f>TOTALES!$B11</f>
        <v>6</v>
      </c>
      <c r="C11" s="27">
        <f>SEPARADOS!$B11</f>
        <v>6</v>
      </c>
      <c r="D11" s="27">
        <f>B11-C11</f>
        <v>0</v>
      </c>
    </row>
    <row r="12" spans="1:4">
      <c r="A12" s="27">
        <v>48</v>
      </c>
      <c r="B12" s="27">
        <f>TOTALES!$B12</f>
        <v>2</v>
      </c>
      <c r="C12" s="27">
        <f>SEPARADOS!$B12</f>
        <v>2</v>
      </c>
      <c r="D12" s="27">
        <f>B12-C12</f>
        <v>0</v>
      </c>
    </row>
    <row r="13" spans="1:4">
      <c r="A13" s="27">
        <v>50</v>
      </c>
      <c r="B13" s="27">
        <f>TOTALES!$B13</f>
        <v>0</v>
      </c>
      <c r="C13" s="27">
        <f>SEPARADOS!$B13</f>
        <v>0</v>
      </c>
      <c r="D13" s="27">
        <f>B13-C13</f>
        <v>0</v>
      </c>
    </row>
    <row r="14" spans="1:4">
      <c r="A14" s="27">
        <v>52</v>
      </c>
      <c r="B14" s="27">
        <f>TOTALES!$B14</f>
        <v>0</v>
      </c>
      <c r="C14" s="27">
        <f>SEPARADOS!$B14</f>
        <v>0</v>
      </c>
      <c r="D14" s="27">
        <f>B14-C14</f>
        <v>0</v>
      </c>
    </row>
    <row r="15" spans="1:4">
      <c r="A15" s="27">
        <v>54</v>
      </c>
      <c r="B15" s="27">
        <f>TOTALES!$B15</f>
        <v>0</v>
      </c>
      <c r="C15" s="27">
        <f>SEPARADOS!$B15</f>
        <v>0</v>
      </c>
      <c r="D15" s="27">
        <f>B15-C15</f>
        <v>0</v>
      </c>
    </row>
    <row r="16" spans="1:4">
      <c r="A16" s="27">
        <v>56</v>
      </c>
      <c r="B16" s="27">
        <f>TOTALES!$B16</f>
        <v>0</v>
      </c>
      <c r="C16" s="27">
        <f>SEPARADOS!$B16</f>
        <v>0</v>
      </c>
      <c r="D16" s="27">
        <f>B16-C16</f>
        <v>0</v>
      </c>
    </row>
    <row r="17" spans="1:4">
      <c r="A17" s="27">
        <v>58</v>
      </c>
      <c r="B17" s="27">
        <f>TOTALES!$B17</f>
        <v>0</v>
      </c>
      <c r="C17" s="27">
        <f>SEPARADOS!$B17</f>
        <v>0</v>
      </c>
      <c r="D17" s="27">
        <f>B17-C17</f>
        <v>0</v>
      </c>
    </row>
    <row r="18" spans="1:4">
      <c r="A18" s="27">
        <v>60</v>
      </c>
      <c r="B18" s="27">
        <f>TOTALES!$B18</f>
        <v>0</v>
      </c>
      <c r="C18" s="27">
        <f>SEPARADOS!$B18</f>
        <v>0</v>
      </c>
      <c r="D18" s="27">
        <f>B18-C18</f>
        <v>0</v>
      </c>
    </row>
    <row r="19" spans="1:4">
      <c r="A19" s="27">
        <v>62</v>
      </c>
      <c r="B19" s="27">
        <f>TOTALES!$B19</f>
        <v>0</v>
      </c>
      <c r="C19" s="27">
        <f>SEPARADOS!$B19</f>
        <v>0</v>
      </c>
      <c r="D19" s="27">
        <f>B19-C19</f>
        <v>0</v>
      </c>
    </row>
    <row r="20" spans="1:4">
      <c r="A20" s="27">
        <v>64</v>
      </c>
      <c r="B20" s="27">
        <f>TOTALES!$B20</f>
        <v>0</v>
      </c>
      <c r="C20" s="27">
        <f>SEPARADOS!$B20</f>
        <v>0</v>
      </c>
      <c r="D20" s="27">
        <f>B20-C20</f>
        <v>0</v>
      </c>
    </row>
    <row r="21" spans="1:4">
      <c r="A21" s="27">
        <v>66</v>
      </c>
      <c r="B21" s="27">
        <f>TOTALES!$B21</f>
        <v>0</v>
      </c>
      <c r="C21" s="27">
        <f>SEPARADOS!$B21</f>
        <v>0</v>
      </c>
      <c r="D21" s="27">
        <f>B21-C21</f>
        <v>0</v>
      </c>
    </row>
    <row r="22" spans="1:4" ht="21">
      <c r="A22" s="28" t="s">
        <v>21</v>
      </c>
      <c r="B22" s="28">
        <f>SUM(B4:B21)</f>
        <v>62</v>
      </c>
      <c r="C22" s="28">
        <f>SUM(C4:C21)</f>
        <v>31</v>
      </c>
      <c r="D22" s="28">
        <f>SUM(D4:D21)</f>
        <v>31</v>
      </c>
    </row>
  </sheetData>
  <mergeCells count="1">
    <mergeCell ref="A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80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92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1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 ht="21">
      <c r="A5" s="28" t="s">
        <v>21</v>
      </c>
      <c r="B5" s="28">
        <f>SUM(B4:B4)</f>
        <v>0</v>
      </c>
      <c r="C5" s="28">
        <f>SUM(C4:C4)</f>
        <v>0</v>
      </c>
      <c r="D5" s="28">
        <f>SUM(D4:D4)</f>
        <v>0</v>
      </c>
    </row>
  </sheetData>
  <mergeCells count="1">
    <mergeCell ref="A2:D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81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93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1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 ht="21">
      <c r="A5" s="28" t="s">
        <v>21</v>
      </c>
      <c r="B5" s="28">
        <f>SUM(B4:B4)</f>
        <v>0</v>
      </c>
      <c r="C5" s="28">
        <f>SUM(C4:C4)</f>
        <v>0</v>
      </c>
      <c r="D5" s="28">
        <f>SUM(D4:D4)</f>
        <v>0</v>
      </c>
    </row>
  </sheetData>
  <mergeCells count="1">
    <mergeCell ref="A2:D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82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94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1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 ht="21">
      <c r="A5" s="28" t="s">
        <v>21</v>
      </c>
      <c r="B5" s="28">
        <f>SUM(B4:B4)</f>
        <v>0</v>
      </c>
      <c r="C5" s="28">
        <f>SUM(C4:C4)</f>
        <v>0</v>
      </c>
      <c r="D5" s="28">
        <f>SUM(D4:D4)</f>
        <v>0</v>
      </c>
    </row>
  </sheetData>
  <mergeCells count="1">
    <mergeCell ref="A2:D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83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95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1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 ht="21">
      <c r="A5" s="28" t="s">
        <v>21</v>
      </c>
      <c r="B5" s="28">
        <f>SUM(B4:B4)</f>
        <v>0</v>
      </c>
      <c r="C5" s="28">
        <f>SUM(C4:C4)</f>
        <v>0</v>
      </c>
      <c r="D5" s="28">
        <f>SUM(D4:D4)</f>
        <v>0</v>
      </c>
    </row>
  </sheetData>
  <mergeCells count="1">
    <mergeCell ref="A2:D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84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96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1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 ht="21">
      <c r="A5" s="28" t="s">
        <v>21</v>
      </c>
      <c r="B5" s="28">
        <f>SUM(B4:B4)</f>
        <v>0</v>
      </c>
      <c r="C5" s="28">
        <f>SUM(C4:C4)</f>
        <v>0</v>
      </c>
      <c r="D5" s="28">
        <f>SUM(D4:D4)</f>
        <v>0</v>
      </c>
    </row>
  </sheetData>
  <mergeCells count="1">
    <mergeCell ref="A2:D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85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97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1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 ht="21">
      <c r="A5" s="28" t="s">
        <v>21</v>
      </c>
      <c r="B5" s="28">
        <f>SUM(B4:B4)</f>
        <v>0</v>
      </c>
      <c r="C5" s="28">
        <f>SUM(C4:C4)</f>
        <v>0</v>
      </c>
      <c r="D5" s="28">
        <f>SUM(D4:D4)</f>
        <v>0</v>
      </c>
    </row>
  </sheetData>
  <mergeCells count="1">
    <mergeCell ref="A2:D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86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104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1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 ht="21">
      <c r="A5" s="28" t="s">
        <v>21</v>
      </c>
      <c r="B5" s="28">
        <f>SUM(B4:B4)</f>
        <v>0</v>
      </c>
      <c r="C5" s="28">
        <f>SUM(C4:C4)</f>
        <v>0</v>
      </c>
      <c r="D5" s="28">
        <f>SUM(D4:D4)</f>
        <v>0</v>
      </c>
    </row>
  </sheetData>
  <mergeCells count="1">
    <mergeCell ref="A2:D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87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98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1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 ht="21">
      <c r="A5" s="28" t="s">
        <v>21</v>
      </c>
      <c r="B5" s="28">
        <f>SUM(B4:B4)</f>
        <v>0</v>
      </c>
      <c r="C5" s="28">
        <f>SUM(C4:C4)</f>
        <v>0</v>
      </c>
      <c r="D5" s="28">
        <f>SUM(D4:D4)</f>
        <v>0</v>
      </c>
    </row>
  </sheetData>
  <mergeCells count="1">
    <mergeCell ref="A2:D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88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99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1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 ht="21">
      <c r="A5" s="28" t="s">
        <v>21</v>
      </c>
      <c r="B5" s="28">
        <f>SUM(B4:B4)</f>
        <v>0</v>
      </c>
      <c r="C5" s="28">
        <f>SUM(C4:C4)</f>
        <v>0</v>
      </c>
      <c r="D5" s="28">
        <f>SUM(D4:D4)</f>
        <v>0</v>
      </c>
    </row>
  </sheetData>
  <mergeCells count="1">
    <mergeCell ref="A2:D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89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100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1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 ht="21">
      <c r="A5" s="28" t="s">
        <v>21</v>
      </c>
      <c r="B5" s="28">
        <f>SUM(B4:B4)</f>
        <v>0</v>
      </c>
      <c r="C5" s="28">
        <f>SUM(C4:C4)</f>
        <v>0</v>
      </c>
      <c r="D5" s="28">
        <f>SUM(D4:D4)</f>
        <v>0</v>
      </c>
    </row>
  </sheetData>
  <mergeCells count="1">
    <mergeCell ref="A2:D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90"/>
  <dimension ref="A2:D5"/>
  <sheetViews>
    <sheetView workbookViewId="0">
      <selection activeCell="C4" sqref="C4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5" t="s">
        <v>101</v>
      </c>
      <c r="B2" s="25"/>
      <c r="C2" s="25"/>
      <c r="D2" s="25"/>
    </row>
    <row r="3" spans="1:4">
      <c r="A3" s="26" t="s">
        <v>20</v>
      </c>
      <c r="B3" s="26" t="s">
        <v>21</v>
      </c>
      <c r="C3" s="26" t="s">
        <v>23</v>
      </c>
      <c r="D3" s="26" t="s">
        <v>24</v>
      </c>
    </row>
    <row r="4" spans="1:4">
      <c r="A4" s="27">
        <v>1</v>
      </c>
      <c r="B4" s="27">
        <f>TOTALES!$B4</f>
        <v>0</v>
      </c>
      <c r="C4" s="27">
        <f>SEPARADOS!$B4</f>
        <v>0</v>
      </c>
      <c r="D4" s="27">
        <f>B4-C4</f>
        <v>0</v>
      </c>
    </row>
    <row r="5" spans="1:4" ht="21">
      <c r="A5" s="28" t="s">
        <v>21</v>
      </c>
      <c r="B5" s="28">
        <f>SUM(B4:B4)</f>
        <v>0</v>
      </c>
      <c r="C5" s="28">
        <f>SUM(C4:C4)</f>
        <v>0</v>
      </c>
      <c r="D5" s="28">
        <f>SUM(D4:D4)</f>
        <v>0</v>
      </c>
    </row>
  </sheetData>
  <mergeCells count="1"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  <vt:lpstr>CAMISA ML</vt:lpstr>
      <vt:lpstr>ESC BORD 2</vt:lpstr>
      <vt:lpstr>GORRA IUSP</vt:lpstr>
      <vt:lpstr>HEBILLA</vt:lpstr>
      <vt:lpstr>HOMBRERA</vt:lpstr>
      <vt:lpstr>NOMB 2</vt:lpstr>
      <vt:lpstr>PISTOLERA</vt:lpstr>
      <vt:lpstr>P. CARG</vt:lpstr>
      <vt:lpstr>RIEL</vt:lpstr>
      <vt:lpstr>TRABA</vt:lpstr>
      <vt:lpstr>CINTO</vt:lpstr>
      <vt:lpstr>CORBATA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Edgard_Roul</cp:lastModifiedBy>
  <cp:lastPrinted>2023-05-12T16:03:18Z</cp:lastPrinted>
  <dcterms:created xsi:type="dcterms:W3CDTF">2023-04-19T16:42:15Z</dcterms:created>
  <dcterms:modified xsi:type="dcterms:W3CDTF">2023-05-14T17:32:12Z</dcterms:modified>
</cp:coreProperties>
</file>